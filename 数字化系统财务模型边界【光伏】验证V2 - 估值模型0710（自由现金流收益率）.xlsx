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280" tabRatio="853" activeTab="2"/>
  </bookViews>
  <sheets>
    <sheet name="说明" sheetId="13" r:id="rId1"/>
    <sheet name="新建及改扩建项目投资概算明细 (光伏)" sheetId="5" r:id="rId2"/>
    <sheet name="参数输入表" sheetId="2" r:id="rId3"/>
    <sheet name="表1-资金筹措及还本付息表" sheetId="3" r:id="rId4"/>
    <sheet name="表2-折旧摊销表" sheetId="4" r:id="rId5"/>
    <sheet name="表3-成本费用表" sheetId="6" r:id="rId6"/>
    <sheet name="表4-收入税金表" sheetId="7" r:id="rId7"/>
    <sheet name="表5-利润表-资本金(标准格式)" sheetId="15" r:id="rId8"/>
    <sheet name="表6-现金流量表-资本金" sheetId="10" r:id="rId9"/>
    <sheet name="表7-利润表-全投资(标准格式)" sheetId="16" r:id="rId10"/>
    <sheet name="表8-现金流量表-全投资" sheetId="9" r:id="rId11"/>
    <sheet name="表9-现金流量表-财务计划(标准格式)" sheetId="17" r:id="rId12"/>
    <sheet name="折现率、非经营、长投计算表" sheetId="19" r:id="rId13"/>
    <sheet name="基准日往来账处理" sheetId="20" r:id="rId14"/>
    <sheet name="表10-资产负债表(标准格式)" sheetId="14" r:id="rId15"/>
    <sheet name="表11-现金流量表-估值" sheetId="18" r:id="rId16"/>
  </sheets>
  <calcPr calcId="191029" iterate="1" iterateCount="100" iterateDelta="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shao</author>
  </authors>
  <commentList>
    <comment ref="D34" authorId="0">
      <text>
        <r>
          <rPr>
            <b/>
            <sz val="9"/>
            <rFont val="宋体"/>
            <charset val="134"/>
          </rPr>
          <t>基于新增及改扩建项目所对应的装机容量的提前投产比例</t>
        </r>
        <r>
          <rPr>
            <sz val="9"/>
            <rFont val="宋体"/>
            <charset val="134"/>
          </rPr>
          <t xml:space="preserve">
</t>
        </r>
      </text>
    </comment>
    <comment ref="D38" authorId="0">
      <text>
        <r>
          <rPr>
            <b/>
            <sz val="9"/>
            <rFont val="宋体"/>
            <charset val="134"/>
          </rPr>
          <t>基于总装机容量计算的投产比例</t>
        </r>
        <r>
          <rPr>
            <sz val="9"/>
            <rFont val="宋体"/>
            <charset val="134"/>
          </rPr>
          <t xml:space="preserve">
</t>
        </r>
      </text>
    </comment>
  </commentList>
</comments>
</file>

<file path=xl/comments2.xml><?xml version="1.0" encoding="utf-8"?>
<comments xmlns="http://schemas.openxmlformats.org/spreadsheetml/2006/main">
  <authors>
    <author>邵玉环</author>
  </authors>
  <commentList>
    <comment ref="J17" authorId="0">
      <text>
        <r>
          <rPr>
            <b/>
            <sz val="9"/>
            <rFont val="宋体"/>
            <charset val="134"/>
          </rPr>
          <t>非整年利息</t>
        </r>
        <r>
          <rPr>
            <sz val="9"/>
            <rFont val="宋体"/>
            <charset val="134"/>
          </rPr>
          <t xml:space="preserve">
</t>
        </r>
      </text>
    </comment>
    <comment ref="J64" authorId="0">
      <text>
        <r>
          <rPr>
            <b/>
            <sz val="9"/>
            <rFont val="宋体"/>
            <charset val="134"/>
          </rPr>
          <t>非整年利息</t>
        </r>
      </text>
    </comment>
    <comment ref="J74" authorId="0">
      <text>
        <r>
          <rPr>
            <b/>
            <sz val="9"/>
            <rFont val="宋体"/>
            <charset val="134"/>
          </rPr>
          <t>非整年利息</t>
        </r>
      </text>
    </comment>
    <comment ref="J84" authorId="0">
      <text>
        <r>
          <rPr>
            <b/>
            <sz val="9"/>
            <rFont val="宋体"/>
            <charset val="134"/>
          </rPr>
          <t xml:space="preserve">非整年利息
</t>
        </r>
      </text>
    </comment>
  </commentList>
</comments>
</file>

<file path=xl/comments3.xml><?xml version="1.0" encoding="utf-8"?>
<comments xmlns="http://schemas.openxmlformats.org/spreadsheetml/2006/main">
  <authors>
    <author>邵玉环</author>
  </authors>
  <commentList>
    <comment ref="J114" authorId="0">
      <text>
        <r>
          <rPr>
            <b/>
            <sz val="9"/>
            <rFont val="宋体"/>
            <charset val="134"/>
          </rPr>
          <t>非完整年</t>
        </r>
      </text>
    </comment>
  </commentList>
</comments>
</file>

<file path=xl/comments4.xml><?xml version="1.0" encoding="utf-8"?>
<comments xmlns="http://schemas.openxmlformats.org/spreadsheetml/2006/main">
  <authors>
    <author>邵玉环</author>
    <author>LBC</author>
    <author>syh</author>
  </authors>
  <commentList>
    <comment ref="J3" authorId="0">
      <text>
        <r>
          <rPr>
            <sz val="9"/>
            <rFont val="宋体"/>
            <charset val="134"/>
          </rPr>
          <t>需为文本格式</t>
        </r>
      </text>
    </comment>
    <comment ref="C24" authorId="1">
      <text>
        <r>
          <rPr>
            <sz val="9"/>
            <rFont val="宋体"/>
            <charset val="134"/>
          </rPr>
          <t>增值税即征即退收入为免税收入，不需要在税金表中进行销项税计算。</t>
        </r>
      </text>
    </comment>
    <comment ref="C27" authorId="1">
      <text>
        <r>
          <rPr>
            <sz val="9"/>
            <rFont val="宋体"/>
            <charset val="134"/>
          </rPr>
          <t>政府运营补贴收入为免税收入，不需要在税金表中进行销项税计算</t>
        </r>
      </text>
    </comment>
    <comment ref="C86" authorId="0">
      <text>
        <r>
          <rPr>
            <sz val="9"/>
            <rFont val="宋体"/>
            <charset val="134"/>
          </rPr>
          <t xml:space="preserve">一般取1个月的付现成本
</t>
        </r>
      </text>
    </comment>
    <comment ref="J86" authorId="0">
      <text>
        <r>
          <rPr>
            <b/>
            <sz val="9"/>
            <rFont val="宋体"/>
            <charset val="134"/>
          </rPr>
          <t>非整年时</t>
        </r>
        <r>
          <rPr>
            <sz val="9"/>
            <rFont val="宋体"/>
            <charset val="134"/>
          </rPr>
          <t xml:space="preserve">
</t>
        </r>
      </text>
    </comment>
    <comment ref="I92" authorId="2">
      <text>
        <r>
          <rPr>
            <b/>
            <sz val="9"/>
            <rFont val="宋体"/>
            <charset val="134"/>
          </rPr>
          <t>syh:</t>
        </r>
        <r>
          <rPr>
            <sz val="9"/>
            <rFont val="宋体"/>
            <charset val="134"/>
          </rPr>
          <t xml:space="preserve">
公式较特别</t>
        </r>
      </text>
    </comment>
  </commentList>
</comments>
</file>

<file path=xl/comments5.xml><?xml version="1.0" encoding="utf-8"?>
<comments xmlns="http://schemas.openxmlformats.org/spreadsheetml/2006/main">
  <authors>
    <author>LBC</author>
  </authors>
  <commentList>
    <comment ref="C6" authorId="0">
      <text>
        <r>
          <rPr>
            <sz val="9"/>
            <rFont val="宋体"/>
            <charset val="134"/>
          </rPr>
          <t>参数表中各年的营业收入在“销售商品、提供劳务收到的现金”科目中求和。（可能存在多项营业收入的可能）</t>
        </r>
      </text>
    </comment>
    <comment ref="C18" authorId="0">
      <text>
        <r>
          <rPr>
            <sz val="9"/>
            <rFont val="宋体"/>
            <charset val="134"/>
          </rPr>
          <t>税费返还关联：
增值税即征即退（收入税金表）</t>
        </r>
      </text>
    </comment>
    <comment ref="C19" authorId="0">
      <text>
        <r>
          <rPr>
            <sz val="9"/>
            <rFont val="宋体"/>
            <charset val="134"/>
          </rPr>
          <t xml:space="preserve">参数表中各年的
其他收入（增值税即征即退除外）、营业外收入在“收到其他与经营活动有关的现金”科目中求和，（可能存在多项其他收入及营业外收入的可能）
</t>
        </r>
      </text>
    </comment>
    <comment ref="C29" authorId="0">
      <text>
        <r>
          <rPr>
            <sz val="9"/>
            <rFont val="宋体"/>
            <charset val="134"/>
          </rPr>
          <t>所有税费包括：
（1）实缴增值税（引用自收入税金表）；
（2）增值税附加税（引用自收入税金表）；
（3）城镇土地使用税（引用自收入税金表）；
（4）企业所得税（引用自 利润表-资本金）</t>
        </r>
      </text>
    </comment>
    <comment ref="C41" authorId="0">
      <text>
        <r>
          <rPr>
            <sz val="9"/>
            <rFont val="宋体"/>
            <charset val="134"/>
          </rPr>
          <t>关联参数表中：
对应年度的大修及更新重置投资金额</t>
        </r>
      </text>
    </comment>
  </commentList>
</comments>
</file>

<file path=xl/comments6.xml><?xml version="1.0" encoding="utf-8"?>
<comments xmlns="http://schemas.openxmlformats.org/spreadsheetml/2006/main">
  <authors>
    <author>syh</author>
    <author>shao</author>
  </authors>
  <commentList>
    <comment ref="E21" authorId="0">
      <text>
        <r>
          <rPr>
            <b/>
            <sz val="9"/>
            <rFont val="宋体"/>
            <charset val="134"/>
          </rPr>
          <t>syh:</t>
        </r>
        <r>
          <rPr>
            <sz val="9"/>
            <rFont val="宋体"/>
            <charset val="134"/>
          </rPr>
          <t xml:space="preserve">
系统中改为选择项，分为自动输入和手动输入。自动输入就按照备注中的默认值设计。</t>
        </r>
      </text>
    </comment>
    <comment ref="C39" authorId="1">
      <text>
        <r>
          <rPr>
            <b/>
            <sz val="9"/>
            <rFont val="宋体"/>
            <charset val="134"/>
          </rPr>
          <t>允许自定义</t>
        </r>
      </text>
    </comment>
  </commentList>
</comments>
</file>

<file path=xl/comments7.xml><?xml version="1.0" encoding="utf-8"?>
<comments xmlns="http://schemas.openxmlformats.org/spreadsheetml/2006/main">
  <authors>
    <author>syh</author>
    <author>邵玉环</author>
  </authors>
  <commentList>
    <comment ref="I9" authorId="0">
      <text>
        <r>
          <rPr>
            <b/>
            <sz val="9"/>
            <rFont val="宋体"/>
            <charset val="134"/>
          </rPr>
          <t>syh:</t>
        </r>
        <r>
          <rPr>
            <sz val="9"/>
            <rFont val="宋体"/>
            <charset val="134"/>
          </rPr>
          <t xml:space="preserve">
剥离了非经营数据</t>
        </r>
      </text>
    </comment>
    <comment ref="B80" authorId="1">
      <text>
        <r>
          <rPr>
            <sz val="9"/>
            <rFont val="宋体"/>
            <charset val="134"/>
          </rPr>
          <t>假设均在最后一期处置</t>
        </r>
      </text>
    </comment>
    <comment ref="I87" authorId="0">
      <text>
        <r>
          <rPr>
            <b/>
            <sz val="9"/>
            <rFont val="宋体"/>
            <charset val="134"/>
          </rPr>
          <t>syh:</t>
        </r>
        <r>
          <rPr>
            <sz val="9"/>
            <rFont val="宋体"/>
            <charset val="134"/>
          </rPr>
          <t xml:space="preserve">
剥离了非经营数据</t>
        </r>
      </text>
    </comment>
  </commentList>
</comments>
</file>

<file path=xl/comments8.xml><?xml version="1.0" encoding="utf-8"?>
<comments xmlns="http://schemas.openxmlformats.org/spreadsheetml/2006/main">
  <authors>
    <author>邵玉环</author>
    <author>LBC</author>
    <author>syh</author>
  </authors>
  <commentList>
    <comment ref="C14" authorId="0">
      <text>
        <r>
          <rPr>
            <b/>
            <sz val="9"/>
            <rFont val="宋体"/>
            <charset val="134"/>
          </rPr>
          <t>往来款根据合同条款选余额处理方式:（保留余额或等额增加货币资金</t>
        </r>
      </text>
    </comment>
    <comment ref="C21" authorId="1">
      <text>
        <r>
          <rPr>
            <sz val="9"/>
            <rFont val="宋体"/>
            <charset val="134"/>
          </rPr>
          <t>关联收入税金表：
可抵扣进项税余额
勾稽关系修改为其他流动资产</t>
        </r>
      </text>
    </comment>
    <comment ref="C30" authorId="0">
      <text>
        <r>
          <rPr>
            <sz val="9"/>
            <rFont val="宋体"/>
            <charset val="134"/>
          </rPr>
          <t>内容为可抵扣进项税</t>
        </r>
      </text>
    </comment>
    <comment ref="I30" authorId="2">
      <text>
        <r>
          <rPr>
            <b/>
            <sz val="9"/>
            <rFont val="宋体"/>
            <charset val="134"/>
          </rPr>
          <t>syh:</t>
        </r>
        <r>
          <rPr>
            <sz val="9"/>
            <rFont val="宋体"/>
            <charset val="134"/>
          </rPr>
          <t xml:space="preserve">
公式较特别</t>
        </r>
      </text>
    </comment>
  </commentList>
</comments>
</file>

<file path=xl/sharedStrings.xml><?xml version="1.0" encoding="utf-8"?>
<sst xmlns="http://schemas.openxmlformats.org/spreadsheetml/2006/main" count="5511" uniqueCount="1140">
  <si>
    <t>参数输入表中：</t>
  </si>
  <si>
    <t>标黄项为相对固定模块</t>
  </si>
  <si>
    <t>标绿项为对成本类、收入类数据进行分类，成本参数按照：“生产成本/销售费用/管理费用/研发费用”划分；收入参数按照：“营业收入/其他收入/营业外收入”划分</t>
  </si>
  <si>
    <t>标橙项为固定的分类原则</t>
  </si>
  <si>
    <t>标紫项为在参数表中不需要手动输入、勾选的内容，根据其他输入参数自动计算得出，可不在参数输入界面呈现。</t>
  </si>
  <si>
    <t>标红项为引用同样红色sheet中相关数据</t>
  </si>
  <si>
    <t>标蓝项为可不展示内容，大部分为中间过程计算表/中间计算过程</t>
  </si>
  <si>
    <r>
      <rPr>
        <sz val="11"/>
        <color theme="1"/>
        <rFont val="微软雅黑"/>
        <charset val="134"/>
      </rPr>
      <t>【</t>
    </r>
    <r>
      <rPr>
        <b/>
        <sz val="11"/>
        <color theme="1"/>
        <rFont val="微软雅黑"/>
        <charset val="134"/>
      </rPr>
      <t>成本费用表】</t>
    </r>
    <r>
      <rPr>
        <sz val="11"/>
        <color theme="1"/>
        <rFont val="微软雅黑"/>
        <charset val="134"/>
      </rPr>
      <t>、【</t>
    </r>
    <r>
      <rPr>
        <b/>
        <sz val="11"/>
        <color theme="1"/>
        <rFont val="微软雅黑"/>
        <charset val="134"/>
      </rPr>
      <t>收入税金表】</t>
    </r>
    <r>
      <rPr>
        <sz val="11"/>
        <color theme="1"/>
        <rFont val="微软雅黑"/>
        <charset val="134"/>
      </rPr>
      <t>、【</t>
    </r>
    <r>
      <rPr>
        <b/>
        <sz val="11"/>
        <color theme="1"/>
        <rFont val="微软雅黑"/>
        <charset val="134"/>
      </rPr>
      <t>利润表】</t>
    </r>
    <r>
      <rPr>
        <sz val="11"/>
        <color theme="1"/>
        <rFont val="微软雅黑"/>
        <charset val="134"/>
      </rPr>
      <t>体现的是会计报表相关数据，涉及到的收入及成本数据均为不含增值税金额，</t>
    </r>
    <r>
      <rPr>
        <b/>
        <sz val="11"/>
        <color theme="1"/>
        <rFont val="微软雅黑"/>
        <charset val="134"/>
      </rPr>
      <t>不含税金额计算公式为： 【含税金额/（1+增值税税率）】；增值税计算公式为：【不含税金额*增值税税率】或【含税金额/（1+增值税税率）*增值税税率】</t>
    </r>
  </si>
  <si>
    <r>
      <rPr>
        <sz val="11"/>
        <color theme="1"/>
        <rFont val="微软雅黑"/>
        <charset val="134"/>
      </rPr>
      <t>【</t>
    </r>
    <r>
      <rPr>
        <b/>
        <sz val="11"/>
        <color theme="1"/>
        <rFont val="微软雅黑"/>
        <charset val="134"/>
      </rPr>
      <t>成本费用表</t>
    </r>
    <r>
      <rPr>
        <sz val="11"/>
        <color theme="1"/>
        <rFont val="微软雅黑"/>
        <charset val="134"/>
      </rPr>
      <t>】中各项成本按照：一、营业总成本：（1）生产成本；（2）销售费用；（3）管理费用；（4）研发费用；（5）财务费用；二、营业外支出，进行划分，其中需重点关注</t>
    </r>
    <r>
      <rPr>
        <b/>
        <sz val="11"/>
        <color theme="1"/>
        <rFont val="微软雅黑"/>
        <charset val="134"/>
      </rPr>
      <t>长期待摊费用成本项</t>
    </r>
    <r>
      <rPr>
        <sz val="11"/>
        <color theme="1"/>
        <rFont val="微软雅黑"/>
        <charset val="134"/>
      </rPr>
      <t>，在成本费用表中以逐年摊销的形式出现。</t>
    </r>
  </si>
  <si>
    <r>
      <rPr>
        <sz val="11"/>
        <color theme="1"/>
        <rFont val="微软雅黑"/>
        <charset val="134"/>
      </rPr>
      <t>【</t>
    </r>
    <r>
      <rPr>
        <b/>
        <sz val="11"/>
        <color theme="1"/>
        <rFont val="微软雅黑"/>
        <charset val="134"/>
      </rPr>
      <t>成本费用表</t>
    </r>
    <r>
      <rPr>
        <sz val="11"/>
        <color theme="1"/>
        <rFont val="微软雅黑"/>
        <charset val="134"/>
      </rPr>
      <t>】中标蓝的内容为不展示内容，为中间计算表，其中数据均还原成含税金额，用于后续的【</t>
    </r>
    <r>
      <rPr>
        <b/>
        <sz val="11"/>
        <color theme="1"/>
        <rFont val="微软雅黑"/>
        <charset val="134"/>
      </rPr>
      <t>现金流量表</t>
    </r>
    <r>
      <rPr>
        <sz val="11"/>
        <color theme="1"/>
        <rFont val="微软雅黑"/>
        <charset val="134"/>
      </rPr>
      <t>】引用</t>
    </r>
  </si>
  <si>
    <r>
      <rPr>
        <sz val="11"/>
        <color theme="1"/>
        <rFont val="微软雅黑"/>
        <charset val="134"/>
      </rPr>
      <t>【</t>
    </r>
    <r>
      <rPr>
        <b/>
        <sz val="11"/>
        <color theme="1"/>
        <rFont val="微软雅黑"/>
        <charset val="134"/>
      </rPr>
      <t>收入表</t>
    </r>
    <r>
      <rPr>
        <sz val="11"/>
        <color theme="1"/>
        <rFont val="微软雅黑"/>
        <charset val="134"/>
      </rPr>
      <t>】中各项收入按照：一、营业收入；二、其他收入；三、营业外收入，营业收入及营业外收入需展示二级目录（具体的收入项）</t>
    </r>
  </si>
  <si>
    <r>
      <rPr>
        <sz val="11"/>
        <color theme="1"/>
        <rFont val="微软雅黑"/>
        <charset val="134"/>
      </rPr>
      <t>【</t>
    </r>
    <r>
      <rPr>
        <b/>
        <sz val="11"/>
        <color theme="1"/>
        <rFont val="微软雅黑"/>
        <charset val="134"/>
      </rPr>
      <t>现金流量表</t>
    </r>
    <r>
      <rPr>
        <sz val="11"/>
        <color theme="1"/>
        <rFont val="微软雅黑"/>
        <charset val="134"/>
      </rPr>
      <t>】体现的是公司账上实际收到或支付的现金流，因此涉及到的收入及成本数据均为含增值税金额，数据需引用成本费用表中还原后的含税金额或参数输入表中的含税金额。同时，收入数据需关注付款比例及回款期限的应用。原理为当年的部分比例收入的滞后支付，第一年的某项收入现金流为预测现金流*首年支付比例，第二年的某项收入现金流为：当年预测现金流*当年支付比例+上一年预测现金流*（1-上一年支付比例）</t>
    </r>
  </si>
  <si>
    <r>
      <rPr>
        <sz val="11"/>
        <color theme="1"/>
        <rFont val="微软雅黑"/>
        <charset val="134"/>
      </rPr>
      <t>【</t>
    </r>
    <r>
      <rPr>
        <b/>
        <sz val="11"/>
        <color theme="1"/>
        <rFont val="微软雅黑"/>
        <charset val="134"/>
      </rPr>
      <t>现金流量表-财务计划</t>
    </r>
    <r>
      <rPr>
        <sz val="11"/>
        <color theme="1"/>
        <rFont val="微软雅黑"/>
        <charset val="134"/>
      </rPr>
      <t>】增加IF判定条件，当某年的累计盈余资金&lt;MAX(“流动资金（本项目为960万元）”,“当年的生产经营现金支出合计（成本费用表标蓝表第一行）)，给出明显提示（允许用户在参数输入界面填写各年度短期借款当期借款金额及还本金额，再重新生成新的结果）</t>
    </r>
  </si>
  <si>
    <r>
      <rPr>
        <b/>
        <sz val="12"/>
        <color theme="1"/>
        <rFont val="微软雅黑"/>
        <charset val="134"/>
      </rPr>
      <t>工程分年度投资输入表</t>
    </r>
    <r>
      <rPr>
        <b/>
        <sz val="10"/>
        <color rgb="FFFF0000"/>
        <rFont val="微软雅黑"/>
        <charset val="134"/>
      </rPr>
      <t>（可研中抓取数据）</t>
    </r>
  </si>
  <si>
    <t>错误计算进项税的方式</t>
  </si>
  <si>
    <t>序号</t>
  </si>
  <si>
    <t>科目</t>
  </si>
  <si>
    <t>合计</t>
  </si>
  <si>
    <t>单位</t>
  </si>
  <si>
    <t>2023年</t>
  </si>
  <si>
    <t>2024年</t>
  </si>
  <si>
    <t>增值税税率</t>
  </si>
  <si>
    <t>差额</t>
  </si>
  <si>
    <t>设备购置费</t>
  </si>
  <si>
    <t>万元</t>
  </si>
  <si>
    <t>建安工程费</t>
  </si>
  <si>
    <t>其他费用</t>
  </si>
  <si>
    <t>基本预备费</t>
  </si>
  <si>
    <t>储能投资</t>
  </si>
  <si>
    <t>送出线路投资</t>
  </si>
  <si>
    <t>配套支持资金</t>
  </si>
  <si>
    <t>静态投资</t>
  </si>
  <si>
    <t>价差预备费</t>
  </si>
  <si>
    <t>建设投资</t>
  </si>
  <si>
    <t>投资进度</t>
  </si>
  <si>
    <t>工程增值税进项税</t>
  </si>
  <si>
    <t>工程可抵扣进项税合计</t>
  </si>
  <si>
    <t>工程可抵扣进项税累计</t>
  </si>
  <si>
    <t>可抵扣进项税为后台计算，不需要作为成果展示</t>
  </si>
  <si>
    <r>
      <rPr>
        <sz val="16"/>
        <rFont val="微软雅黑"/>
        <charset val="134"/>
      </rPr>
      <t>【</t>
    </r>
    <r>
      <rPr>
        <sz val="16"/>
        <color rgb="FFFF0000"/>
        <rFont val="微软雅黑"/>
        <charset val="134"/>
      </rPr>
      <t>光伏</t>
    </r>
    <r>
      <rPr>
        <sz val="16"/>
        <rFont val="微软雅黑"/>
        <charset val="134"/>
      </rPr>
      <t>】财务评价计算模型边界条件输入参数表</t>
    </r>
  </si>
  <si>
    <r>
      <rPr>
        <b/>
        <sz val="12"/>
        <rFont val="宋体"/>
        <charset val="134"/>
      </rPr>
      <t>类别</t>
    </r>
  </si>
  <si>
    <r>
      <rPr>
        <b/>
        <sz val="12"/>
        <rFont val="宋体"/>
        <charset val="134"/>
      </rPr>
      <t>序号</t>
    </r>
  </si>
  <si>
    <r>
      <rPr>
        <b/>
        <sz val="12"/>
        <rFont val="宋体"/>
        <charset val="134"/>
      </rPr>
      <t>参数</t>
    </r>
  </si>
  <si>
    <r>
      <rPr>
        <b/>
        <sz val="12"/>
        <rFont val="宋体"/>
        <charset val="134"/>
      </rPr>
      <t>操作类型</t>
    </r>
  </si>
  <si>
    <t>数据结构化整理</t>
  </si>
  <si>
    <r>
      <rPr>
        <b/>
        <sz val="12"/>
        <rFont val="宋体"/>
        <charset val="134"/>
      </rPr>
      <t>收入</t>
    </r>
    <r>
      <rPr>
        <b/>
        <sz val="12"/>
        <rFont val="Times New Roman"/>
        <charset val="134"/>
      </rPr>
      <t>/</t>
    </r>
    <r>
      <rPr>
        <b/>
        <sz val="12"/>
        <rFont val="宋体"/>
        <charset val="134"/>
      </rPr>
      <t>成本归类</t>
    </r>
  </si>
  <si>
    <r>
      <rPr>
        <b/>
        <sz val="12"/>
        <rFont val="宋体"/>
        <charset val="134"/>
      </rPr>
      <t>参数释义</t>
    </r>
    <r>
      <rPr>
        <b/>
        <sz val="12"/>
        <rFont val="Times New Roman"/>
        <charset val="134"/>
      </rPr>
      <t>/</t>
    </r>
    <r>
      <rPr>
        <b/>
        <sz val="12"/>
        <rFont val="宋体"/>
        <charset val="134"/>
      </rPr>
      <t>计算公式</t>
    </r>
  </si>
  <si>
    <r>
      <rPr>
        <b/>
        <sz val="12"/>
        <rFont val="宋体"/>
        <charset val="134"/>
      </rPr>
      <t>数值</t>
    </r>
  </si>
  <si>
    <r>
      <rPr>
        <b/>
        <sz val="12"/>
        <rFont val="宋体"/>
        <charset val="134"/>
      </rPr>
      <t>单位</t>
    </r>
  </si>
  <si>
    <r>
      <rPr>
        <b/>
        <sz val="12"/>
        <rFont val="宋体"/>
        <charset val="134"/>
      </rPr>
      <t>取值说明</t>
    </r>
  </si>
  <si>
    <r>
      <rPr>
        <b/>
        <sz val="12"/>
        <rFont val="宋体"/>
        <charset val="134"/>
      </rPr>
      <t>备注</t>
    </r>
  </si>
  <si>
    <t>项目投产日</t>
  </si>
  <si>
    <t>下拉菜单选择【日历】</t>
  </si>
  <si>
    <t>项目运营期</t>
  </si>
  <si>
    <r>
      <rPr>
        <sz val="12"/>
        <rFont val="宋体"/>
        <charset val="134"/>
      </rPr>
      <t>手动输入</t>
    </r>
  </si>
  <si>
    <t>年</t>
  </si>
  <si>
    <t>项目结束日</t>
  </si>
  <si>
    <t>自动计算</t>
  </si>
  <si>
    <t>审计期间</t>
  </si>
  <si>
    <t>历史数据占用的年度范围</t>
  </si>
  <si>
    <t>评估基准日</t>
  </si>
  <si>
    <t>预测期</t>
  </si>
  <si>
    <t>预测期占用的年度范围</t>
  </si>
  <si>
    <t>估值结果</t>
  </si>
  <si>
    <t xml:space="preserve"> 股权价值</t>
  </si>
  <si>
    <t xml:space="preserve"> 企业价值</t>
  </si>
  <si>
    <t>新建及改扩建项目</t>
  </si>
  <si>
    <r>
      <rPr>
        <b/>
        <sz val="12"/>
        <rFont val="宋体"/>
        <charset val="134"/>
      </rPr>
      <t>基础信息</t>
    </r>
  </si>
  <si>
    <r>
      <rPr>
        <b/>
        <sz val="12"/>
        <color theme="1"/>
        <rFont val="宋体"/>
        <charset val="134"/>
      </rPr>
      <t>建设期</t>
    </r>
  </si>
  <si>
    <t>自动计算，向上取整</t>
  </si>
  <si>
    <t>测算表占用的年度范围</t>
  </si>
  <si>
    <t>建设期起始日期</t>
  </si>
  <si>
    <r>
      <rPr>
        <sz val="11"/>
        <color theme="1"/>
        <rFont val="宋体"/>
        <charset val="134"/>
      </rPr>
      <t>年</t>
    </r>
    <r>
      <rPr>
        <sz val="11"/>
        <color theme="1"/>
        <rFont val="Times New Roman"/>
        <charset val="134"/>
      </rPr>
      <t>/</t>
    </r>
    <r>
      <rPr>
        <sz val="11"/>
        <color theme="1"/>
        <rFont val="宋体"/>
        <charset val="134"/>
      </rPr>
      <t>月</t>
    </r>
  </si>
  <si>
    <t>输入完动工年月及建设期结束日期，自动配置出参数表及计算表中建设期所占报表年度（如建设期为7年5个月，建设期实际占8个报表年）</t>
  </si>
  <si>
    <t>建设期结束日期</t>
  </si>
  <si>
    <r>
      <rPr>
        <b/>
        <sz val="12"/>
        <color theme="1"/>
        <rFont val="宋体"/>
        <charset val="134"/>
      </rPr>
      <t>施工进度安排</t>
    </r>
  </si>
  <si>
    <r>
      <rPr>
        <sz val="12"/>
        <color theme="1"/>
        <rFont val="宋体"/>
        <charset val="134"/>
      </rPr>
      <t>建设期第</t>
    </r>
    <r>
      <rPr>
        <sz val="12"/>
        <color theme="1"/>
        <rFont val="Times New Roman"/>
        <charset val="134"/>
      </rPr>
      <t>1</t>
    </r>
    <r>
      <rPr>
        <sz val="12"/>
        <color theme="1"/>
        <rFont val="宋体"/>
        <charset val="134"/>
      </rPr>
      <t>年</t>
    </r>
  </si>
  <si>
    <r>
      <rPr>
        <sz val="12"/>
        <color rgb="FFFF0000"/>
        <rFont val="宋体"/>
        <charset val="134"/>
      </rPr>
      <t>自动计算</t>
    </r>
  </si>
  <si>
    <t>%</t>
  </si>
  <si>
    <r>
      <rPr>
        <sz val="12"/>
        <color theme="1"/>
        <rFont val="宋体"/>
        <charset val="134"/>
      </rPr>
      <t>建设期第</t>
    </r>
    <r>
      <rPr>
        <sz val="12"/>
        <color theme="1"/>
        <rFont val="Times New Roman"/>
        <charset val="134"/>
      </rPr>
      <t>2</t>
    </r>
    <r>
      <rPr>
        <sz val="12"/>
        <color theme="1"/>
        <rFont val="宋体"/>
        <charset val="134"/>
      </rPr>
      <t>年</t>
    </r>
  </si>
  <si>
    <t>……</t>
  </si>
  <si>
    <t>根据需要（向上取整）配置</t>
  </si>
  <si>
    <t>投产起始日期</t>
  </si>
  <si>
    <r>
      <rPr>
        <sz val="12"/>
        <rFont val="宋体"/>
        <charset val="134"/>
      </rPr>
      <t>手动输入</t>
    </r>
    <r>
      <rPr>
        <sz val="12"/>
        <rFont val="Times New Roman"/>
        <charset val="134"/>
      </rPr>
      <t>/</t>
    </r>
    <r>
      <rPr>
        <sz val="12"/>
        <rFont val="宋体"/>
        <charset val="134"/>
      </rPr>
      <t>下拉菜单选择【日历】</t>
    </r>
  </si>
  <si>
    <r>
      <rPr>
        <sz val="11"/>
        <color theme="1"/>
        <rFont val="宋体"/>
        <charset val="134"/>
      </rPr>
      <t>第</t>
    </r>
    <r>
      <rPr>
        <sz val="11"/>
        <color theme="1"/>
        <rFont val="Times New Roman"/>
        <charset val="134"/>
      </rPr>
      <t>n</t>
    </r>
    <r>
      <rPr>
        <sz val="11"/>
        <color theme="1"/>
        <rFont val="宋体"/>
        <charset val="134"/>
      </rPr>
      <t>年</t>
    </r>
    <r>
      <rPr>
        <sz val="11"/>
        <color theme="1"/>
        <rFont val="Times New Roman"/>
        <charset val="134"/>
      </rPr>
      <t>/</t>
    </r>
    <r>
      <rPr>
        <sz val="11"/>
        <color theme="1"/>
        <rFont val="宋体"/>
        <charset val="134"/>
      </rPr>
      <t>第</t>
    </r>
    <r>
      <rPr>
        <sz val="11"/>
        <color theme="1"/>
        <rFont val="Times New Roman"/>
        <charset val="134"/>
      </rPr>
      <t>n</t>
    </r>
    <r>
      <rPr>
        <sz val="11"/>
        <color theme="1"/>
        <rFont val="宋体"/>
        <charset val="134"/>
      </rPr>
      <t>月</t>
    </r>
  </si>
  <si>
    <t>运营期</t>
  </si>
  <si>
    <t>手动输入</t>
  </si>
  <si>
    <r>
      <rPr>
        <b/>
        <sz val="12"/>
        <color theme="1"/>
        <rFont val="宋体"/>
        <charset val="134"/>
      </rPr>
      <t>试运营期</t>
    </r>
  </si>
  <si>
    <r>
      <rPr>
        <sz val="12"/>
        <rFont val="宋体"/>
        <charset val="134"/>
      </rPr>
      <t>选择时间区间</t>
    </r>
  </si>
  <si>
    <t>用于最后的累计盈余资金判定</t>
  </si>
  <si>
    <r>
      <rPr>
        <b/>
        <sz val="12"/>
        <color theme="1"/>
        <rFont val="宋体"/>
        <charset val="134"/>
      </rPr>
      <t>项目所在地</t>
    </r>
  </si>
  <si>
    <r>
      <rPr>
        <sz val="12"/>
        <rFont val="宋体"/>
        <charset val="134"/>
      </rPr>
      <t>下拉菜单选择</t>
    </r>
  </si>
  <si>
    <r>
      <rPr>
        <sz val="11"/>
        <color theme="1"/>
        <rFont val="宋体"/>
        <charset val="134"/>
      </rPr>
      <t>判定是否属于西部地区</t>
    </r>
  </si>
  <si>
    <r>
      <rPr>
        <sz val="12"/>
        <color theme="1"/>
        <rFont val="宋体"/>
        <charset val="134"/>
      </rPr>
      <t>所在省份</t>
    </r>
  </si>
  <si>
    <r>
      <rPr>
        <sz val="12"/>
        <color theme="1"/>
        <rFont val="宋体"/>
        <charset val="134"/>
      </rPr>
      <t>所在市、县</t>
    </r>
  </si>
  <si>
    <t>全生命周期小时数</t>
  </si>
  <si>
    <t>h</t>
  </si>
  <si>
    <t>基准日累计发电小时数</t>
  </si>
  <si>
    <t>国补最晚截止日</t>
  </si>
  <si>
    <t>生产相关</t>
  </si>
  <si>
    <t>总装机容量</t>
  </si>
  <si>
    <t>MW</t>
  </si>
  <si>
    <t>1MW=1000kW</t>
  </si>
  <si>
    <t xml:space="preserve">  其中：基准日实际装机容量</t>
  </si>
  <si>
    <t xml:space="preserve">       新增及改扩建装机容量</t>
  </si>
  <si>
    <t>年利用小时数</t>
  </si>
  <si>
    <t>新建及改扩建项目投产比例</t>
  </si>
  <si>
    <r>
      <rPr>
        <sz val="11"/>
        <color theme="1"/>
        <rFont val="宋体"/>
        <charset val="134"/>
      </rPr>
      <t>建设期第</t>
    </r>
    <r>
      <rPr>
        <sz val="11"/>
        <color theme="1"/>
        <rFont val="Times New Roman"/>
        <charset val="134"/>
      </rPr>
      <t>1</t>
    </r>
    <r>
      <rPr>
        <sz val="11"/>
        <color theme="1"/>
        <rFont val="宋体"/>
        <charset val="134"/>
      </rPr>
      <t>年</t>
    </r>
  </si>
  <si>
    <r>
      <rPr>
        <sz val="11"/>
        <rFont val="宋体"/>
        <charset val="134"/>
      </rPr>
      <t>手动输入</t>
    </r>
  </si>
  <si>
    <r>
      <rPr>
        <sz val="11"/>
        <color theme="1"/>
        <rFont val="宋体"/>
        <charset val="134"/>
      </rPr>
      <t>建设期第</t>
    </r>
    <r>
      <rPr>
        <sz val="11"/>
        <color theme="1"/>
        <rFont val="Times New Roman"/>
        <charset val="134"/>
      </rPr>
      <t>2年</t>
    </r>
  </si>
  <si>
    <t>建设期后</t>
  </si>
  <si>
    <t>全生命周期投产比例</t>
  </si>
  <si>
    <r>
      <rPr>
        <sz val="11"/>
        <color theme="1"/>
        <rFont val="宋体"/>
        <charset val="134"/>
      </rPr>
      <t>合作期第</t>
    </r>
    <r>
      <rPr>
        <sz val="11"/>
        <color theme="1"/>
        <rFont val="Times New Roman"/>
        <charset val="134"/>
      </rPr>
      <t>1</t>
    </r>
    <r>
      <rPr>
        <sz val="11"/>
        <color theme="1"/>
        <rFont val="宋体"/>
        <charset val="134"/>
      </rPr>
      <t>年</t>
    </r>
  </si>
  <si>
    <r>
      <rPr>
        <sz val="11"/>
        <color theme="1"/>
        <rFont val="宋体"/>
        <charset val="134"/>
      </rPr>
      <t>合作期第</t>
    </r>
    <r>
      <rPr>
        <sz val="11"/>
        <color theme="1"/>
        <rFont val="Times New Roman"/>
        <charset val="134"/>
      </rPr>
      <t>2年</t>
    </r>
  </si>
  <si>
    <r>
      <rPr>
        <sz val="11"/>
        <color theme="1"/>
        <rFont val="宋体"/>
        <charset val="134"/>
      </rPr>
      <t>合作期第</t>
    </r>
    <r>
      <rPr>
        <sz val="11"/>
        <color theme="1"/>
        <rFont val="Times New Roman"/>
        <charset val="134"/>
      </rPr>
      <t>3年</t>
    </r>
  </si>
  <si>
    <r>
      <rPr>
        <sz val="11"/>
        <color theme="1"/>
        <rFont val="宋体"/>
        <charset val="134"/>
      </rPr>
      <t>合作期第</t>
    </r>
    <r>
      <rPr>
        <sz val="11"/>
        <color theme="1"/>
        <rFont val="Times New Roman"/>
        <charset val="134"/>
      </rPr>
      <t>4年</t>
    </r>
  </si>
  <si>
    <r>
      <rPr>
        <sz val="11"/>
        <color theme="1"/>
        <rFont val="宋体"/>
        <charset val="134"/>
      </rPr>
      <t>合作期第</t>
    </r>
    <r>
      <rPr>
        <sz val="11"/>
        <color theme="1"/>
        <rFont val="Times New Roman"/>
        <charset val="134"/>
      </rPr>
      <t>5年</t>
    </r>
  </si>
  <si>
    <r>
      <rPr>
        <sz val="11"/>
        <color theme="1"/>
        <rFont val="宋体"/>
        <charset val="134"/>
      </rPr>
      <t>合作期第</t>
    </r>
    <r>
      <rPr>
        <sz val="11"/>
        <color theme="1"/>
        <rFont val="Times New Roman"/>
        <charset val="134"/>
      </rPr>
      <t>6年</t>
    </r>
  </si>
  <si>
    <r>
      <rPr>
        <sz val="11"/>
        <color theme="1"/>
        <rFont val="宋体"/>
        <charset val="134"/>
      </rPr>
      <t>合作期第</t>
    </r>
    <r>
      <rPr>
        <sz val="11"/>
        <color theme="1"/>
        <rFont val="Times New Roman"/>
        <charset val="134"/>
      </rPr>
      <t>7年</t>
    </r>
  </si>
  <si>
    <r>
      <rPr>
        <sz val="11"/>
        <color theme="1"/>
        <rFont val="宋体"/>
        <charset val="134"/>
      </rPr>
      <t>合作期第</t>
    </r>
    <r>
      <rPr>
        <sz val="11"/>
        <color theme="1"/>
        <rFont val="Times New Roman"/>
        <charset val="134"/>
      </rPr>
      <t>8年</t>
    </r>
  </si>
  <si>
    <r>
      <rPr>
        <sz val="11"/>
        <color theme="1"/>
        <rFont val="宋体"/>
        <charset val="134"/>
      </rPr>
      <t>合作期第</t>
    </r>
    <r>
      <rPr>
        <sz val="11"/>
        <color theme="1"/>
        <rFont val="Times New Roman"/>
        <charset val="134"/>
      </rPr>
      <t>9年</t>
    </r>
  </si>
  <si>
    <r>
      <rPr>
        <sz val="11"/>
        <color theme="1"/>
        <rFont val="宋体"/>
        <charset val="134"/>
      </rPr>
      <t>合作期第</t>
    </r>
    <r>
      <rPr>
        <sz val="11"/>
        <color theme="1"/>
        <rFont val="Times New Roman"/>
        <charset val="134"/>
      </rPr>
      <t>10年</t>
    </r>
  </si>
  <si>
    <r>
      <rPr>
        <sz val="11"/>
        <color theme="1"/>
        <rFont val="宋体"/>
        <charset val="134"/>
      </rPr>
      <t>合作期第</t>
    </r>
    <r>
      <rPr>
        <sz val="11"/>
        <color theme="1"/>
        <rFont val="Times New Roman"/>
        <charset val="134"/>
      </rPr>
      <t>11年</t>
    </r>
  </si>
  <si>
    <r>
      <rPr>
        <sz val="11"/>
        <color theme="1"/>
        <rFont val="宋体"/>
        <charset val="134"/>
      </rPr>
      <t>合作期第</t>
    </r>
    <r>
      <rPr>
        <sz val="11"/>
        <color theme="1"/>
        <rFont val="Times New Roman"/>
        <charset val="134"/>
      </rPr>
      <t>12年</t>
    </r>
  </si>
  <si>
    <r>
      <rPr>
        <sz val="11"/>
        <color theme="1"/>
        <rFont val="宋体"/>
        <charset val="134"/>
      </rPr>
      <t>合作期第</t>
    </r>
    <r>
      <rPr>
        <sz val="11"/>
        <color theme="1"/>
        <rFont val="Times New Roman"/>
        <charset val="134"/>
      </rPr>
      <t>13年</t>
    </r>
  </si>
  <si>
    <r>
      <rPr>
        <sz val="11"/>
        <color theme="1"/>
        <rFont val="宋体"/>
        <charset val="134"/>
      </rPr>
      <t>合作期第</t>
    </r>
    <r>
      <rPr>
        <sz val="11"/>
        <color theme="1"/>
        <rFont val="Times New Roman"/>
        <charset val="134"/>
      </rPr>
      <t>14年</t>
    </r>
  </si>
  <si>
    <r>
      <rPr>
        <sz val="11"/>
        <color theme="1"/>
        <rFont val="宋体"/>
        <charset val="134"/>
      </rPr>
      <t>合作期第</t>
    </r>
    <r>
      <rPr>
        <sz val="11"/>
        <color theme="1"/>
        <rFont val="Times New Roman"/>
        <charset val="134"/>
      </rPr>
      <t>15年</t>
    </r>
  </si>
  <si>
    <r>
      <rPr>
        <sz val="11"/>
        <color theme="1"/>
        <rFont val="宋体"/>
        <charset val="134"/>
      </rPr>
      <t>合作期第</t>
    </r>
    <r>
      <rPr>
        <sz val="11"/>
        <color theme="1"/>
        <rFont val="Times New Roman"/>
        <charset val="134"/>
      </rPr>
      <t>16年</t>
    </r>
  </si>
  <si>
    <r>
      <rPr>
        <sz val="11"/>
        <color theme="1"/>
        <rFont val="宋体"/>
        <charset val="134"/>
      </rPr>
      <t>合作期第</t>
    </r>
    <r>
      <rPr>
        <sz val="11"/>
        <color theme="1"/>
        <rFont val="Times New Roman"/>
        <charset val="134"/>
      </rPr>
      <t>17年</t>
    </r>
  </si>
  <si>
    <r>
      <rPr>
        <sz val="11"/>
        <color theme="1"/>
        <rFont val="宋体"/>
        <charset val="134"/>
      </rPr>
      <t>合作期第</t>
    </r>
    <r>
      <rPr>
        <sz val="11"/>
        <color theme="1"/>
        <rFont val="Times New Roman"/>
        <charset val="134"/>
      </rPr>
      <t>18年</t>
    </r>
  </si>
  <si>
    <r>
      <rPr>
        <sz val="11"/>
        <color theme="1"/>
        <rFont val="宋体"/>
        <charset val="134"/>
      </rPr>
      <t>合作期第</t>
    </r>
    <r>
      <rPr>
        <sz val="11"/>
        <color theme="1"/>
        <rFont val="Times New Roman"/>
        <charset val="134"/>
      </rPr>
      <t>19年</t>
    </r>
  </si>
  <si>
    <r>
      <rPr>
        <sz val="11"/>
        <color theme="1"/>
        <rFont val="宋体"/>
        <charset val="134"/>
      </rPr>
      <t>合作期第</t>
    </r>
    <r>
      <rPr>
        <sz val="11"/>
        <color theme="1"/>
        <rFont val="Times New Roman"/>
        <charset val="134"/>
      </rPr>
      <t>20年</t>
    </r>
  </si>
  <si>
    <r>
      <rPr>
        <sz val="11"/>
        <color theme="1"/>
        <rFont val="宋体"/>
        <charset val="134"/>
      </rPr>
      <t>合作期第</t>
    </r>
    <r>
      <rPr>
        <sz val="11"/>
        <color theme="1"/>
        <rFont val="Times New Roman"/>
        <charset val="134"/>
      </rPr>
      <t>21年</t>
    </r>
  </si>
  <si>
    <r>
      <rPr>
        <sz val="11"/>
        <color theme="1"/>
        <rFont val="宋体"/>
        <charset val="134"/>
      </rPr>
      <t>合作期第</t>
    </r>
    <r>
      <rPr>
        <sz val="11"/>
        <color theme="1"/>
        <rFont val="Times New Roman"/>
        <charset val="134"/>
      </rPr>
      <t>22年</t>
    </r>
  </si>
  <si>
    <r>
      <rPr>
        <sz val="11"/>
        <color theme="1"/>
        <rFont val="宋体"/>
        <charset val="134"/>
      </rPr>
      <t>合作期第</t>
    </r>
    <r>
      <rPr>
        <sz val="11"/>
        <color theme="1"/>
        <rFont val="Times New Roman"/>
        <charset val="134"/>
      </rPr>
      <t>23年</t>
    </r>
  </si>
  <si>
    <r>
      <rPr>
        <sz val="11"/>
        <color theme="1"/>
        <rFont val="宋体"/>
        <charset val="134"/>
      </rPr>
      <t>合作期第</t>
    </r>
    <r>
      <rPr>
        <sz val="11"/>
        <color theme="1"/>
        <rFont val="Times New Roman"/>
        <charset val="134"/>
      </rPr>
      <t>24年</t>
    </r>
  </si>
  <si>
    <r>
      <rPr>
        <sz val="11"/>
        <color theme="1"/>
        <rFont val="宋体"/>
        <charset val="134"/>
      </rPr>
      <t>合作期第</t>
    </r>
    <r>
      <rPr>
        <sz val="11"/>
        <color theme="1"/>
        <rFont val="Times New Roman"/>
        <charset val="134"/>
      </rPr>
      <t>25年</t>
    </r>
  </si>
  <si>
    <r>
      <rPr>
        <sz val="11"/>
        <color theme="1"/>
        <rFont val="宋体"/>
        <charset val="134"/>
      </rPr>
      <t>合作期第</t>
    </r>
    <r>
      <rPr>
        <sz val="11"/>
        <color theme="1"/>
        <rFont val="Times New Roman"/>
        <charset val="134"/>
      </rPr>
      <t>26年</t>
    </r>
  </si>
  <si>
    <r>
      <rPr>
        <sz val="11"/>
        <color theme="1"/>
        <rFont val="宋体"/>
        <charset val="134"/>
      </rPr>
      <t>合作期第</t>
    </r>
    <r>
      <rPr>
        <sz val="11"/>
        <color theme="1"/>
        <rFont val="Times New Roman"/>
        <charset val="134"/>
      </rPr>
      <t>27年</t>
    </r>
  </si>
  <si>
    <t>发电量</t>
  </si>
  <si>
    <r>
      <rPr>
        <sz val="12"/>
        <rFont val="宋体"/>
        <charset val="134"/>
      </rPr>
      <t>抽水蓄能上网电量</t>
    </r>
    <r>
      <rPr>
        <sz val="12"/>
        <rFont val="Times New Roman"/>
        <charset val="134"/>
      </rPr>
      <t>=</t>
    </r>
    <r>
      <rPr>
        <sz val="12"/>
        <rFont val="宋体"/>
        <charset val="134"/>
      </rPr>
      <t>年利用小时数</t>
    </r>
    <r>
      <rPr>
        <sz val="12"/>
        <rFont val="Times New Roman"/>
        <charset val="134"/>
      </rPr>
      <t>*</t>
    </r>
    <r>
      <rPr>
        <sz val="12"/>
        <rFont val="宋体"/>
        <charset val="134"/>
      </rPr>
      <t>实际装机容量</t>
    </r>
  </si>
  <si>
    <t>MWh</t>
  </si>
  <si>
    <r>
      <rPr>
        <sz val="11"/>
        <color theme="1"/>
        <rFont val="Times New Roman"/>
        <charset val="134"/>
      </rPr>
      <t>1MWh=0.1</t>
    </r>
    <r>
      <rPr>
        <sz val="11"/>
        <color theme="1"/>
        <rFont val="宋体"/>
        <charset val="134"/>
      </rPr>
      <t>万度电</t>
    </r>
  </si>
  <si>
    <t>引用</t>
  </si>
  <si>
    <t>衰减率</t>
  </si>
  <si>
    <t>限电率</t>
  </si>
  <si>
    <t>保障内交易电量占比</t>
  </si>
  <si>
    <t>市场化交易电量占比</t>
  </si>
  <si>
    <t>现货市场交易电量占比</t>
  </si>
  <si>
    <t>售电电价</t>
  </si>
  <si>
    <t>保障内交易电价（合作期1-27年）</t>
  </si>
  <si>
    <r>
      <rPr>
        <sz val="11"/>
        <color theme="1"/>
        <rFont val="宋体"/>
        <charset val="134"/>
      </rPr>
      <t>元</t>
    </r>
    <r>
      <rPr>
        <sz val="11"/>
        <color theme="1"/>
        <rFont val="Times New Roman"/>
        <charset val="134"/>
      </rPr>
      <t>/kWh</t>
    </r>
  </si>
  <si>
    <t>市场化交易电价（合作期1-27年）</t>
  </si>
  <si>
    <t>现货市场交易电价（合作期1-27年）</t>
  </si>
  <si>
    <t>加权平均电价（合作期1-27年）</t>
  </si>
  <si>
    <t>补贴电价</t>
  </si>
  <si>
    <t>新建及改扩建项目投资概算</t>
  </si>
  <si>
    <r>
      <rPr>
        <sz val="12"/>
        <rFont val="宋体"/>
        <charset val="134"/>
      </rPr>
      <t>手动输入</t>
    </r>
    <r>
      <rPr>
        <sz val="12"/>
        <rFont val="Times New Roman"/>
        <charset val="134"/>
      </rPr>
      <t>/</t>
    </r>
    <r>
      <rPr>
        <sz val="12"/>
        <rFont val="宋体"/>
        <charset val="134"/>
      </rPr>
      <t>下拉菜单选择【增值税税率】</t>
    </r>
  </si>
  <si>
    <r>
      <rPr>
        <sz val="11"/>
        <color theme="1"/>
        <rFont val="宋体"/>
        <charset val="134"/>
      </rPr>
      <t>增值税税率（自动生成含税和不含税价）：</t>
    </r>
    <r>
      <rPr>
        <sz val="11"/>
        <color theme="1"/>
        <rFont val="Times New Roman"/>
        <charset val="134"/>
      </rPr>
      <t>13%/9%/6%/0%</t>
    </r>
  </si>
  <si>
    <r>
      <rPr>
        <sz val="11"/>
        <color theme="1"/>
        <rFont val="宋体"/>
        <charset val="134"/>
      </rPr>
      <t>万元</t>
    </r>
  </si>
  <si>
    <t>建安工程费用</t>
  </si>
  <si>
    <r>
      <rPr>
        <b/>
        <sz val="12"/>
        <color theme="1"/>
        <rFont val="宋体"/>
        <charset val="134"/>
      </rPr>
      <t>送出线路投资</t>
    </r>
  </si>
  <si>
    <r>
      <rPr>
        <b/>
        <sz val="12"/>
        <color theme="1"/>
        <rFont val="宋体"/>
        <charset val="134"/>
      </rPr>
      <t>配套支持资金</t>
    </r>
  </si>
  <si>
    <t>静态投资（工程）</t>
  </si>
  <si>
    <r>
      <rPr>
        <sz val="11"/>
        <color theme="1"/>
        <rFont val="宋体"/>
        <charset val="134"/>
      </rPr>
      <t>投资概算</t>
    </r>
    <r>
      <rPr>
        <sz val="11"/>
        <color theme="1"/>
        <rFont val="Times New Roman"/>
        <charset val="134"/>
      </rPr>
      <t>1-6</t>
    </r>
    <r>
      <rPr>
        <sz val="11"/>
        <color theme="1"/>
        <rFont val="宋体"/>
        <charset val="134"/>
      </rPr>
      <t>合计</t>
    </r>
  </si>
  <si>
    <t>静态投资（自主投资）</t>
  </si>
  <si>
    <r>
      <rPr>
        <sz val="11"/>
        <color theme="1"/>
        <rFont val="宋体"/>
        <charset val="134"/>
      </rPr>
      <t>静态总投资（自主投资）</t>
    </r>
    <r>
      <rPr>
        <sz val="11"/>
        <color theme="1"/>
        <rFont val="Times New Roman"/>
        <charset val="134"/>
      </rPr>
      <t>=</t>
    </r>
    <r>
      <rPr>
        <sz val="11"/>
        <color theme="1"/>
        <rFont val="宋体"/>
        <charset val="134"/>
      </rPr>
      <t>项目静态总投资</t>
    </r>
    <r>
      <rPr>
        <sz val="11"/>
        <color theme="1"/>
        <rFont val="Times New Roman"/>
        <charset val="134"/>
      </rPr>
      <t>-</t>
    </r>
    <r>
      <rPr>
        <sz val="11"/>
        <color theme="1"/>
        <rFont val="宋体"/>
        <charset val="134"/>
      </rPr>
      <t>建设补贴</t>
    </r>
  </si>
  <si>
    <t>静态总投资（工程）</t>
  </si>
  <si>
    <t>静态总投资（自主投资）</t>
  </si>
  <si>
    <r>
      <rPr>
        <b/>
        <sz val="12"/>
        <color theme="1"/>
        <rFont val="宋体"/>
        <charset val="134"/>
      </rPr>
      <t>建设期利息</t>
    </r>
  </si>
  <si>
    <r>
      <rPr>
        <sz val="11"/>
        <color theme="1"/>
        <rFont val="宋体"/>
        <charset val="134"/>
      </rPr>
      <t>计入总投资的资本化利息，直接引用资金筹措表数据</t>
    </r>
  </si>
  <si>
    <r>
      <rPr>
        <b/>
        <sz val="12"/>
        <color theme="1"/>
        <rFont val="宋体"/>
        <charset val="134"/>
      </rPr>
      <t>项目动态总投资</t>
    </r>
    <r>
      <rPr>
        <b/>
        <sz val="10"/>
        <color theme="1"/>
        <rFont val="Times New Roman"/>
        <charset val="134"/>
      </rPr>
      <t xml:space="preserve"> (</t>
    </r>
    <r>
      <rPr>
        <b/>
        <sz val="10"/>
        <color theme="1"/>
        <rFont val="宋体"/>
        <charset val="134"/>
      </rPr>
      <t>不含流动资金</t>
    </r>
    <r>
      <rPr>
        <b/>
        <sz val="10"/>
        <color theme="1"/>
        <rFont val="Times New Roman"/>
        <charset val="134"/>
      </rPr>
      <t>)</t>
    </r>
  </si>
  <si>
    <r>
      <rPr>
        <sz val="11"/>
        <color theme="1"/>
        <rFont val="宋体"/>
        <charset val="134"/>
      </rPr>
      <t>项目动态总投资</t>
    </r>
    <r>
      <rPr>
        <sz val="9"/>
        <color theme="1"/>
        <rFont val="宋体"/>
        <charset val="134"/>
      </rPr>
      <t>（不含流动资金）</t>
    </r>
    <r>
      <rPr>
        <sz val="11"/>
        <color theme="1"/>
        <rFont val="Times New Roman"/>
        <charset val="134"/>
      </rPr>
      <t>=</t>
    </r>
    <r>
      <rPr>
        <sz val="11"/>
        <color theme="1"/>
        <rFont val="宋体"/>
        <charset val="134"/>
      </rPr>
      <t>项目静态总投资</t>
    </r>
    <r>
      <rPr>
        <sz val="11"/>
        <color theme="1"/>
        <rFont val="Times New Roman"/>
        <charset val="134"/>
      </rPr>
      <t>+</t>
    </r>
    <r>
      <rPr>
        <sz val="11"/>
        <color theme="1"/>
        <rFont val="宋体"/>
        <charset val="134"/>
      </rPr>
      <t>建设期利息</t>
    </r>
  </si>
  <si>
    <r>
      <rPr>
        <b/>
        <sz val="12"/>
        <color theme="1"/>
        <rFont val="宋体"/>
        <charset val="134"/>
      </rPr>
      <t>动态总投资</t>
    </r>
    <r>
      <rPr>
        <b/>
        <sz val="10"/>
        <color theme="1"/>
        <rFont val="宋体"/>
        <charset val="134"/>
      </rPr>
      <t>（自主投资</t>
    </r>
    <r>
      <rPr>
        <b/>
        <sz val="10"/>
        <color theme="1"/>
        <rFont val="Times New Roman"/>
        <charset val="134"/>
      </rPr>
      <t>_</t>
    </r>
    <r>
      <rPr>
        <b/>
        <sz val="10"/>
        <color theme="1"/>
        <rFont val="宋体"/>
        <charset val="134"/>
      </rPr>
      <t>不含流动资金）</t>
    </r>
  </si>
  <si>
    <r>
      <rPr>
        <sz val="11"/>
        <color theme="1"/>
        <rFont val="宋体"/>
        <charset val="134"/>
      </rPr>
      <t>动态总投资</t>
    </r>
    <r>
      <rPr>
        <sz val="9"/>
        <color theme="1"/>
        <rFont val="宋体"/>
        <charset val="134"/>
      </rPr>
      <t>（自主投资</t>
    </r>
    <r>
      <rPr>
        <sz val="9"/>
        <color theme="1"/>
        <rFont val="Times New Roman"/>
        <charset val="134"/>
      </rPr>
      <t>_</t>
    </r>
    <r>
      <rPr>
        <sz val="9"/>
        <color theme="1"/>
        <rFont val="宋体"/>
        <charset val="134"/>
      </rPr>
      <t>不含流动资金）</t>
    </r>
    <r>
      <rPr>
        <sz val="11"/>
        <color theme="1"/>
        <rFont val="Times New Roman"/>
        <charset val="134"/>
      </rPr>
      <t>=</t>
    </r>
    <r>
      <rPr>
        <sz val="11"/>
        <color theme="1"/>
        <rFont val="宋体"/>
        <charset val="134"/>
      </rPr>
      <t>静态总投资（自主投资）</t>
    </r>
    <r>
      <rPr>
        <sz val="11"/>
        <color theme="1"/>
        <rFont val="Times New Roman"/>
        <charset val="134"/>
      </rPr>
      <t>+</t>
    </r>
    <r>
      <rPr>
        <sz val="11"/>
        <color theme="1"/>
        <rFont val="宋体"/>
        <charset val="134"/>
      </rPr>
      <t>建设期利息</t>
    </r>
  </si>
  <si>
    <t>流动资金计算方式</t>
  </si>
  <si>
    <t>计算规则</t>
  </si>
  <si>
    <t>单位千瓦指标计算/手动输入</t>
  </si>
  <si>
    <t>流动资金单位千瓦指标</t>
  </si>
  <si>
    <r>
      <rPr>
        <sz val="11"/>
        <color theme="1"/>
        <rFont val="宋体"/>
        <charset val="134"/>
      </rPr>
      <t>元</t>
    </r>
    <r>
      <rPr>
        <sz val="11"/>
        <color theme="1"/>
        <rFont val="Times New Roman"/>
        <charset val="134"/>
      </rPr>
      <t>/kW</t>
    </r>
  </si>
  <si>
    <t>流动资金</t>
  </si>
  <si>
    <r>
      <rPr>
        <b/>
        <sz val="12"/>
        <color theme="1"/>
        <rFont val="宋体"/>
        <charset val="134"/>
      </rPr>
      <t>可抵扣进项税</t>
    </r>
  </si>
  <si>
    <r>
      <rPr>
        <sz val="11"/>
        <color theme="1"/>
        <rFont val="宋体"/>
        <charset val="134"/>
      </rPr>
      <t>根据项目设计概算梳理出设备类、建安类、服务类投资，再分别按照对应适用税率（现行标准为</t>
    </r>
    <r>
      <rPr>
        <sz val="11"/>
        <color theme="1"/>
        <rFont val="Times New Roman"/>
        <charset val="134"/>
      </rPr>
      <t>13%</t>
    </r>
    <r>
      <rPr>
        <sz val="11"/>
        <color theme="1"/>
        <rFont val="宋体"/>
        <charset val="134"/>
      </rPr>
      <t>、</t>
    </r>
    <r>
      <rPr>
        <sz val="11"/>
        <color theme="1"/>
        <rFont val="Times New Roman"/>
        <charset val="134"/>
      </rPr>
      <t>9%</t>
    </r>
    <r>
      <rPr>
        <sz val="11"/>
        <color theme="1"/>
        <rFont val="宋体"/>
        <charset val="134"/>
      </rPr>
      <t>、</t>
    </r>
    <r>
      <rPr>
        <sz val="11"/>
        <color theme="1"/>
        <rFont val="Times New Roman"/>
        <charset val="134"/>
      </rPr>
      <t>6%</t>
    </r>
    <r>
      <rPr>
        <sz val="11"/>
        <color theme="1"/>
        <rFont val="宋体"/>
        <charset val="134"/>
      </rPr>
      <t>）计算出可抵扣增值税额</t>
    </r>
  </si>
  <si>
    <r>
      <rPr>
        <b/>
        <sz val="12"/>
        <color theme="1"/>
        <rFont val="宋体"/>
        <charset val="134"/>
      </rPr>
      <t>建设补贴</t>
    </r>
  </si>
  <si>
    <t>基准日长期借款</t>
  </si>
  <si>
    <t>长期借款余额</t>
  </si>
  <si>
    <t>引用基准日资产负债表</t>
  </si>
  <si>
    <t>长期贷款利率</t>
  </si>
  <si>
    <t>长期借款利息计算方式</t>
  </si>
  <si>
    <r>
      <rPr>
        <sz val="12"/>
        <rFont val="宋体"/>
        <charset val="134"/>
      </rPr>
      <t>自动计算</t>
    </r>
    <r>
      <rPr>
        <sz val="12"/>
        <rFont val="Times New Roman"/>
        <charset val="134"/>
      </rPr>
      <t>/</t>
    </r>
    <r>
      <rPr>
        <sz val="12"/>
        <rFont val="宋体"/>
        <charset val="134"/>
      </rPr>
      <t>其他</t>
    </r>
    <r>
      <rPr>
        <sz val="12"/>
        <rFont val="Times New Roman"/>
        <charset val="134"/>
      </rPr>
      <t>(</t>
    </r>
    <r>
      <rPr>
        <sz val="12"/>
        <rFont val="宋体"/>
        <charset val="134"/>
      </rPr>
      <t>手动填写各年的利息</t>
    </r>
    <r>
      <rPr>
        <sz val="12"/>
        <rFont val="Times New Roman"/>
        <charset val="134"/>
      </rPr>
      <t>)</t>
    </r>
  </si>
  <si>
    <t>新增长期借款</t>
  </si>
  <si>
    <t>长期借款还本计划</t>
  </si>
  <si>
    <t>还本合计额应等于基准日长期借款余额及新增长期借款</t>
  </si>
  <si>
    <t>新建及改扩建项目借款</t>
  </si>
  <si>
    <r>
      <rPr>
        <b/>
        <sz val="12"/>
        <rFont val="宋体"/>
        <charset val="134"/>
      </rPr>
      <t>投融资相关</t>
    </r>
  </si>
  <si>
    <r>
      <rPr>
        <b/>
        <sz val="12"/>
        <color theme="1"/>
        <rFont val="宋体"/>
        <charset val="134"/>
      </rPr>
      <t>资本金比例</t>
    </r>
  </si>
  <si>
    <r>
      <rPr>
        <sz val="11"/>
        <color theme="1"/>
        <rFont val="宋体"/>
        <charset val="134"/>
      </rPr>
      <t>资本金比例原则上在</t>
    </r>
    <r>
      <rPr>
        <sz val="11"/>
        <color theme="1"/>
        <rFont val="Times New Roman"/>
        <charset val="134"/>
      </rPr>
      <t>20%-30%</t>
    </r>
    <r>
      <rPr>
        <sz val="11"/>
        <color theme="1"/>
        <rFont val="宋体"/>
        <charset val="134"/>
      </rPr>
      <t>之间</t>
    </r>
  </si>
  <si>
    <r>
      <rPr>
        <b/>
        <sz val="12"/>
        <color theme="1"/>
        <rFont val="宋体"/>
        <charset val="134"/>
      </rPr>
      <t>资本金</t>
    </r>
  </si>
  <si>
    <r>
      <rPr>
        <b/>
        <sz val="12"/>
        <color theme="1"/>
        <rFont val="宋体"/>
        <charset val="134"/>
      </rPr>
      <t>宽限期</t>
    </r>
  </si>
  <si>
    <t>建设期仅付息，不还本</t>
  </si>
  <si>
    <r>
      <rPr>
        <b/>
        <sz val="12"/>
        <color theme="1"/>
        <rFont val="宋体"/>
        <charset val="134"/>
      </rPr>
      <t>建设期利息贷款利率</t>
    </r>
  </si>
  <si>
    <r>
      <rPr>
        <sz val="11"/>
        <color theme="1"/>
        <rFont val="宋体"/>
        <charset val="134"/>
      </rPr>
      <t>用于计算建设期利息的贷款利率</t>
    </r>
  </si>
  <si>
    <r>
      <rPr>
        <b/>
        <sz val="12"/>
        <color theme="1"/>
        <rFont val="宋体"/>
        <charset val="134"/>
      </rPr>
      <t>长期贷款利率</t>
    </r>
  </si>
  <si>
    <r>
      <rPr>
        <sz val="11"/>
        <color theme="1"/>
        <rFont val="宋体"/>
        <charset val="134"/>
      </rPr>
      <t>原则上按照开发主体在项目所在地实际融资水平取值，不得高于同期限银行贷款基础利率（</t>
    </r>
    <r>
      <rPr>
        <sz val="11"/>
        <color theme="1"/>
        <rFont val="Times New Roman"/>
        <charset val="134"/>
      </rPr>
      <t>LPR</t>
    </r>
    <r>
      <rPr>
        <sz val="11"/>
        <color theme="1"/>
        <rFont val="宋体"/>
        <charset val="134"/>
      </rPr>
      <t>）</t>
    </r>
  </si>
  <si>
    <r>
      <rPr>
        <b/>
        <sz val="12"/>
        <color theme="1"/>
        <rFont val="宋体"/>
        <charset val="134"/>
      </rPr>
      <t>短期贷款利率</t>
    </r>
  </si>
  <si>
    <r>
      <rPr>
        <b/>
        <sz val="12"/>
        <color theme="1"/>
        <rFont val="宋体"/>
        <charset val="134"/>
      </rPr>
      <t>长期借款本金偿还方式</t>
    </r>
  </si>
  <si>
    <r>
      <rPr>
        <sz val="11"/>
        <color theme="1"/>
        <rFont val="宋体"/>
        <charset val="134"/>
      </rPr>
      <t>等额本息</t>
    </r>
    <r>
      <rPr>
        <sz val="11"/>
        <color theme="1"/>
        <rFont val="Times New Roman"/>
        <charset val="134"/>
      </rPr>
      <t>/</t>
    </r>
    <r>
      <rPr>
        <sz val="11"/>
        <color theme="1"/>
        <rFont val="宋体"/>
        <charset val="134"/>
      </rPr>
      <t>等额本金</t>
    </r>
    <r>
      <rPr>
        <sz val="11"/>
        <color theme="1"/>
        <rFont val="Times New Roman"/>
        <charset val="134"/>
      </rPr>
      <t>/</t>
    </r>
    <r>
      <rPr>
        <sz val="11"/>
        <color theme="1"/>
        <rFont val="宋体"/>
        <charset val="134"/>
      </rPr>
      <t>其他</t>
    </r>
  </si>
  <si>
    <r>
      <rPr>
        <b/>
        <sz val="12"/>
        <color theme="1"/>
        <rFont val="宋体"/>
        <charset val="134"/>
      </rPr>
      <t>长期借款本金还款期限</t>
    </r>
  </si>
  <si>
    <r>
      <rPr>
        <sz val="11"/>
        <color theme="1"/>
        <rFont val="宋体"/>
        <charset val="134"/>
      </rPr>
      <t>年</t>
    </r>
  </si>
  <si>
    <r>
      <rPr>
        <sz val="11"/>
        <color theme="1"/>
        <rFont val="宋体"/>
        <charset val="134"/>
      </rPr>
      <t>还款期限建议取值</t>
    </r>
    <r>
      <rPr>
        <sz val="11"/>
        <color theme="1"/>
        <rFont val="Times New Roman"/>
        <charset val="134"/>
      </rPr>
      <t>15</t>
    </r>
    <r>
      <rPr>
        <sz val="11"/>
        <color theme="1"/>
        <rFont val="宋体"/>
        <charset val="134"/>
      </rPr>
      <t>年，最终根据与银行沟通协商情况据实调整</t>
    </r>
  </si>
  <si>
    <r>
      <rPr>
        <b/>
        <sz val="12"/>
        <color theme="1"/>
        <rFont val="宋体"/>
        <charset val="134"/>
      </rPr>
      <t>流动资金中资本金占比</t>
    </r>
  </si>
  <si>
    <r>
      <rPr>
        <b/>
        <sz val="12"/>
        <rFont val="宋体"/>
        <charset val="134"/>
      </rPr>
      <t>项目公司注册资本</t>
    </r>
  </si>
  <si>
    <r>
      <rPr>
        <sz val="12"/>
        <rFont val="宋体"/>
        <charset val="134"/>
      </rPr>
      <t>万元</t>
    </r>
  </si>
  <si>
    <r>
      <rPr>
        <b/>
        <sz val="12"/>
        <rFont val="宋体"/>
        <charset val="134"/>
      </rPr>
      <t>盈余公积金</t>
    </r>
  </si>
  <si>
    <r>
      <rPr>
        <sz val="12"/>
        <color theme="1"/>
        <rFont val="宋体"/>
        <charset val="134"/>
      </rPr>
      <t>法定盈余公积金提取上限</t>
    </r>
  </si>
  <si>
    <r>
      <rPr>
        <sz val="11"/>
        <color theme="1"/>
        <rFont val="宋体"/>
        <charset val="134"/>
      </rPr>
      <t>法定盈余公积金按当年净利润</t>
    </r>
    <r>
      <rPr>
        <sz val="11"/>
        <color theme="1"/>
        <rFont val="Times New Roman"/>
        <charset val="134"/>
      </rPr>
      <t>10%</t>
    </r>
    <r>
      <rPr>
        <sz val="11"/>
        <color theme="1"/>
        <rFont val="宋体"/>
        <charset val="134"/>
      </rPr>
      <t>提取，累计提取至注册资本的</t>
    </r>
    <r>
      <rPr>
        <sz val="11"/>
        <color theme="1"/>
        <rFont val="Times New Roman"/>
        <charset val="134"/>
      </rPr>
      <t>50%</t>
    </r>
    <r>
      <rPr>
        <sz val="11"/>
        <color theme="1"/>
        <rFont val="宋体"/>
        <charset val="134"/>
      </rPr>
      <t>不再提取</t>
    </r>
  </si>
  <si>
    <r>
      <rPr>
        <sz val="12"/>
        <color theme="1"/>
        <rFont val="宋体"/>
        <charset val="134"/>
      </rPr>
      <t>法定盈余公积金提取比例</t>
    </r>
  </si>
  <si>
    <r>
      <rPr>
        <sz val="12"/>
        <rFont val="宋体"/>
        <charset val="134"/>
      </rPr>
      <t>默认成固定值</t>
    </r>
  </si>
  <si>
    <r>
      <rPr>
        <sz val="11"/>
        <color theme="1"/>
        <rFont val="宋体"/>
        <charset val="134"/>
      </rPr>
      <t>法定盈余公积金按当年净利润</t>
    </r>
    <r>
      <rPr>
        <sz val="11"/>
        <color theme="1"/>
        <rFont val="Times New Roman"/>
        <charset val="134"/>
      </rPr>
      <t>10%</t>
    </r>
    <r>
      <rPr>
        <sz val="11"/>
        <color theme="1"/>
        <rFont val="宋体"/>
        <charset val="134"/>
      </rPr>
      <t>提取</t>
    </r>
  </si>
  <si>
    <r>
      <rPr>
        <sz val="12"/>
        <color theme="1"/>
        <rFont val="宋体"/>
        <charset val="134"/>
      </rPr>
      <t>任意盈余公积金提取比例</t>
    </r>
  </si>
  <si>
    <t>短期借款</t>
  </si>
  <si>
    <t>基准日短期借款</t>
  </si>
  <si>
    <r>
      <rPr>
        <sz val="11"/>
        <rFont val="宋体"/>
        <charset val="134"/>
      </rPr>
      <t>万元</t>
    </r>
  </si>
  <si>
    <t>新增短期借款额</t>
  </si>
  <si>
    <r>
      <rPr>
        <sz val="11"/>
        <rFont val="宋体"/>
        <charset val="134"/>
      </rPr>
      <t>手动输入，初始默认为</t>
    </r>
    <r>
      <rPr>
        <sz val="11"/>
        <rFont val="Times New Roman"/>
        <charset val="134"/>
      </rPr>
      <t>0</t>
    </r>
  </si>
  <si>
    <r>
      <rPr>
        <sz val="11"/>
        <color theme="1"/>
        <rFont val="宋体"/>
        <charset val="134"/>
      </rPr>
      <t>合作期第</t>
    </r>
    <r>
      <rPr>
        <sz val="11"/>
        <color theme="1"/>
        <rFont val="Times New Roman"/>
        <charset val="134"/>
      </rPr>
      <t>3</t>
    </r>
    <r>
      <rPr>
        <sz val="11"/>
        <color theme="1"/>
        <rFont val="宋体"/>
        <charset val="134"/>
      </rPr>
      <t>年</t>
    </r>
  </si>
  <si>
    <r>
      <rPr>
        <sz val="11"/>
        <color theme="1"/>
        <rFont val="宋体"/>
        <charset val="134"/>
      </rPr>
      <t>合作期第</t>
    </r>
    <r>
      <rPr>
        <sz val="11"/>
        <color theme="1"/>
        <rFont val="Times New Roman"/>
        <charset val="134"/>
      </rPr>
      <t>5</t>
    </r>
    <r>
      <rPr>
        <sz val="11"/>
        <color theme="1"/>
        <rFont val="宋体"/>
        <charset val="134"/>
      </rPr>
      <t>年</t>
    </r>
  </si>
  <si>
    <r>
      <rPr>
        <sz val="11"/>
        <color theme="1"/>
        <rFont val="宋体"/>
        <charset val="134"/>
      </rPr>
      <t>合作期第</t>
    </r>
    <r>
      <rPr>
        <sz val="11"/>
        <color theme="1"/>
        <rFont val="Times New Roman"/>
        <charset val="134"/>
      </rPr>
      <t>7</t>
    </r>
    <r>
      <rPr>
        <sz val="11"/>
        <color theme="1"/>
        <rFont val="宋体"/>
        <charset val="134"/>
      </rPr>
      <t>年</t>
    </r>
  </si>
  <si>
    <r>
      <rPr>
        <sz val="11"/>
        <color theme="1"/>
        <rFont val="宋体"/>
        <charset val="134"/>
      </rPr>
      <t>合作期第</t>
    </r>
    <r>
      <rPr>
        <sz val="11"/>
        <color theme="1"/>
        <rFont val="Times New Roman"/>
        <charset val="134"/>
      </rPr>
      <t>9</t>
    </r>
    <r>
      <rPr>
        <sz val="11"/>
        <color theme="1"/>
        <rFont val="宋体"/>
        <charset val="134"/>
      </rPr>
      <t>年</t>
    </r>
  </si>
  <si>
    <r>
      <rPr>
        <sz val="11"/>
        <color theme="1"/>
        <rFont val="宋体"/>
        <charset val="134"/>
      </rPr>
      <t>合作期第</t>
    </r>
    <r>
      <rPr>
        <sz val="11"/>
        <color theme="1"/>
        <rFont val="Times New Roman"/>
        <charset val="134"/>
      </rPr>
      <t>1</t>
    </r>
    <r>
      <rPr>
        <sz val="11"/>
        <color theme="1"/>
        <rFont val="宋体"/>
        <charset val="134"/>
      </rPr>
      <t>1年</t>
    </r>
  </si>
  <si>
    <r>
      <rPr>
        <sz val="11"/>
        <color theme="1"/>
        <rFont val="宋体"/>
        <charset val="134"/>
      </rPr>
      <t>合作期第</t>
    </r>
    <r>
      <rPr>
        <sz val="11"/>
        <color theme="1"/>
        <rFont val="Times New Roman"/>
        <charset val="134"/>
      </rPr>
      <t>1</t>
    </r>
    <r>
      <rPr>
        <sz val="11"/>
        <color theme="1"/>
        <rFont val="宋体"/>
        <charset val="134"/>
      </rPr>
      <t>3年</t>
    </r>
  </si>
  <si>
    <r>
      <rPr>
        <sz val="11"/>
        <color theme="1"/>
        <rFont val="宋体"/>
        <charset val="134"/>
      </rPr>
      <t>合作期第</t>
    </r>
    <r>
      <rPr>
        <sz val="11"/>
        <color theme="1"/>
        <rFont val="Times New Roman"/>
        <charset val="134"/>
      </rPr>
      <t>1</t>
    </r>
    <r>
      <rPr>
        <sz val="11"/>
        <color theme="1"/>
        <rFont val="宋体"/>
        <charset val="134"/>
      </rPr>
      <t>5年</t>
    </r>
  </si>
  <si>
    <r>
      <rPr>
        <sz val="11"/>
        <color theme="1"/>
        <rFont val="宋体"/>
        <charset val="134"/>
      </rPr>
      <t>合作期第</t>
    </r>
    <r>
      <rPr>
        <sz val="11"/>
        <color theme="1"/>
        <rFont val="Times New Roman"/>
        <charset val="134"/>
      </rPr>
      <t>1</t>
    </r>
    <r>
      <rPr>
        <sz val="11"/>
        <color theme="1"/>
        <rFont val="宋体"/>
        <charset val="134"/>
      </rPr>
      <t>7年</t>
    </r>
  </si>
  <si>
    <r>
      <rPr>
        <sz val="11"/>
        <color theme="1"/>
        <rFont val="宋体"/>
        <charset val="134"/>
      </rPr>
      <t>合作期第</t>
    </r>
    <r>
      <rPr>
        <sz val="11"/>
        <color theme="1"/>
        <rFont val="Times New Roman"/>
        <charset val="134"/>
      </rPr>
      <t>1</t>
    </r>
    <r>
      <rPr>
        <sz val="11"/>
        <color theme="1"/>
        <rFont val="宋体"/>
        <charset val="134"/>
      </rPr>
      <t>9年</t>
    </r>
  </si>
  <si>
    <r>
      <rPr>
        <sz val="11"/>
        <color theme="1"/>
        <rFont val="宋体"/>
        <charset val="134"/>
      </rPr>
      <t>合作期第</t>
    </r>
    <r>
      <rPr>
        <sz val="11"/>
        <color theme="1"/>
        <rFont val="Times New Roman"/>
        <charset val="134"/>
      </rPr>
      <t>2</t>
    </r>
    <r>
      <rPr>
        <sz val="11"/>
        <color theme="1"/>
        <rFont val="宋体"/>
        <charset val="134"/>
      </rPr>
      <t>1年</t>
    </r>
  </si>
  <si>
    <r>
      <rPr>
        <sz val="11"/>
        <color theme="1"/>
        <rFont val="宋体"/>
        <charset val="134"/>
      </rPr>
      <t>合作期第</t>
    </r>
    <r>
      <rPr>
        <sz val="11"/>
        <color theme="1"/>
        <rFont val="Times New Roman"/>
        <charset val="134"/>
      </rPr>
      <t>2</t>
    </r>
    <r>
      <rPr>
        <sz val="11"/>
        <color theme="1"/>
        <rFont val="宋体"/>
        <charset val="134"/>
      </rPr>
      <t>3年</t>
    </r>
  </si>
  <si>
    <r>
      <rPr>
        <sz val="11"/>
        <color theme="1"/>
        <rFont val="宋体"/>
        <charset val="134"/>
      </rPr>
      <t>合作期第</t>
    </r>
    <r>
      <rPr>
        <sz val="11"/>
        <color theme="1"/>
        <rFont val="Times New Roman"/>
        <charset val="134"/>
      </rPr>
      <t>2</t>
    </r>
    <r>
      <rPr>
        <sz val="11"/>
        <color theme="1"/>
        <rFont val="宋体"/>
        <charset val="134"/>
      </rPr>
      <t>5年</t>
    </r>
  </si>
  <si>
    <r>
      <rPr>
        <sz val="11"/>
        <color theme="1"/>
        <rFont val="宋体"/>
        <charset val="134"/>
      </rPr>
      <t>合作期第</t>
    </r>
    <r>
      <rPr>
        <sz val="11"/>
        <color theme="1"/>
        <rFont val="Times New Roman"/>
        <charset val="134"/>
      </rPr>
      <t>2</t>
    </r>
    <r>
      <rPr>
        <sz val="11"/>
        <color theme="1"/>
        <rFont val="宋体"/>
        <charset val="134"/>
      </rPr>
      <t>7年</t>
    </r>
  </si>
  <si>
    <t>短期借款还本</t>
  </si>
  <si>
    <t>全投资模式计算规则</t>
  </si>
  <si>
    <t>下拉菜单选择</t>
  </si>
  <si>
    <t>含建设期利息</t>
  </si>
  <si>
    <r>
      <rPr>
        <b/>
        <sz val="12"/>
        <rFont val="宋体"/>
        <charset val="134"/>
      </rPr>
      <t>成本费用</t>
    </r>
  </si>
  <si>
    <r>
      <rPr>
        <b/>
        <sz val="12"/>
        <color theme="1"/>
        <rFont val="宋体"/>
        <charset val="134"/>
      </rPr>
      <t>材料费</t>
    </r>
  </si>
  <si>
    <t>自动生成含税价、不含税价及增值税</t>
  </si>
  <si>
    <r>
      <rPr>
        <sz val="12"/>
        <color rgb="FF0070C0"/>
        <rFont val="宋体"/>
        <charset val="134"/>
      </rPr>
      <t>数量</t>
    </r>
    <r>
      <rPr>
        <sz val="12"/>
        <color rgb="FF0070C0"/>
        <rFont val="Times New Roman"/>
        <charset val="134"/>
      </rPr>
      <t>*</t>
    </r>
    <r>
      <rPr>
        <sz val="12"/>
        <color rgb="FF0070C0"/>
        <rFont val="宋体"/>
        <charset val="134"/>
      </rPr>
      <t>单价</t>
    </r>
  </si>
  <si>
    <r>
      <rPr>
        <b/>
        <sz val="12"/>
        <rFont val="宋体"/>
        <charset val="134"/>
      </rPr>
      <t>生产成本</t>
    </r>
  </si>
  <si>
    <r>
      <rPr>
        <sz val="12"/>
        <rFont val="宋体"/>
        <charset val="134"/>
      </rPr>
      <t>在运营期前</t>
    </r>
    <r>
      <rPr>
        <sz val="12"/>
        <rFont val="Times New Roman"/>
        <charset val="134"/>
      </rPr>
      <t>5</t>
    </r>
    <r>
      <rPr>
        <sz val="12"/>
        <rFont val="宋体"/>
        <charset val="134"/>
      </rPr>
      <t>年（质保期内）将材料费和运行维护费用合并考虑，建议取值不低于</t>
    </r>
    <r>
      <rPr>
        <sz val="12"/>
        <rFont val="Times New Roman"/>
        <charset val="134"/>
      </rPr>
      <t>1</t>
    </r>
    <r>
      <rPr>
        <sz val="12"/>
        <rFont val="宋体"/>
        <charset val="134"/>
      </rPr>
      <t>万元</t>
    </r>
    <r>
      <rPr>
        <sz val="12"/>
        <rFont val="Times New Roman"/>
        <charset val="134"/>
      </rPr>
      <t>/</t>
    </r>
    <r>
      <rPr>
        <sz val="12"/>
        <rFont val="宋体"/>
        <charset val="134"/>
      </rPr>
      <t>兆瓦</t>
    </r>
    <r>
      <rPr>
        <sz val="12"/>
        <rFont val="Times New Roman"/>
        <charset val="134"/>
      </rPr>
      <t>/</t>
    </r>
    <r>
      <rPr>
        <sz val="12"/>
        <rFont val="宋体"/>
        <charset val="134"/>
      </rPr>
      <t>年；自运营期第</t>
    </r>
    <r>
      <rPr>
        <sz val="12"/>
        <rFont val="Times New Roman"/>
        <charset val="134"/>
      </rPr>
      <t>6</t>
    </r>
    <r>
      <rPr>
        <sz val="12"/>
        <rFont val="宋体"/>
        <charset val="134"/>
      </rPr>
      <t>年起单独考虑材料费，建议取值不低于</t>
    </r>
    <r>
      <rPr>
        <sz val="12"/>
        <rFont val="Times New Roman"/>
        <charset val="134"/>
      </rPr>
      <t>0.1</t>
    </r>
    <r>
      <rPr>
        <sz val="12"/>
        <rFont val="宋体"/>
        <charset val="134"/>
      </rPr>
      <t>万元</t>
    </r>
    <r>
      <rPr>
        <sz val="12"/>
        <rFont val="Times New Roman"/>
        <charset val="134"/>
      </rPr>
      <t>/</t>
    </r>
    <r>
      <rPr>
        <sz val="12"/>
        <rFont val="宋体"/>
        <charset val="134"/>
      </rPr>
      <t>兆瓦</t>
    </r>
    <r>
      <rPr>
        <sz val="12"/>
        <rFont val="Times New Roman"/>
        <charset val="134"/>
      </rPr>
      <t>/</t>
    </r>
    <r>
      <rPr>
        <sz val="12"/>
        <rFont val="宋体"/>
        <charset val="134"/>
      </rPr>
      <t>年。</t>
    </r>
    <r>
      <rPr>
        <sz val="12"/>
        <rFont val="Times New Roman"/>
        <charset val="134"/>
      </rPr>
      <t xml:space="preserve">
</t>
    </r>
    <r>
      <rPr>
        <sz val="12"/>
        <rFont val="宋体"/>
        <charset val="134"/>
      </rPr>
      <t>（对于外委运维，应结合运维合同约定的工作界面，视情况进行调整）</t>
    </r>
  </si>
  <si>
    <t>材料费计费数量</t>
  </si>
  <si>
    <t>数量</t>
  </si>
  <si>
    <t>材料费单价</t>
  </si>
  <si>
    <t>单价</t>
  </si>
  <si>
    <r>
      <rPr>
        <sz val="12"/>
        <rFont val="宋体"/>
        <charset val="134"/>
      </rPr>
      <t>万元</t>
    </r>
    <r>
      <rPr>
        <sz val="12"/>
        <rFont val="Times New Roman"/>
        <charset val="134"/>
      </rPr>
      <t>/</t>
    </r>
    <r>
      <rPr>
        <sz val="12"/>
        <rFont val="宋体"/>
        <charset val="134"/>
      </rPr>
      <t>兆瓦</t>
    </r>
    <r>
      <rPr>
        <sz val="12"/>
        <rFont val="Times New Roman"/>
        <charset val="134"/>
      </rPr>
      <t>/</t>
    </r>
    <r>
      <rPr>
        <sz val="12"/>
        <rFont val="宋体"/>
        <charset val="134"/>
      </rPr>
      <t>年</t>
    </r>
  </si>
  <si>
    <t>13%/9%/6%/0%</t>
  </si>
  <si>
    <r>
      <rPr>
        <b/>
        <sz val="12"/>
        <rFont val="宋体"/>
        <charset val="134"/>
      </rPr>
      <t>维修费</t>
    </r>
  </si>
  <si>
    <r>
      <rPr>
        <sz val="12"/>
        <color rgb="FF0070C0"/>
        <rFont val="宋体"/>
        <charset val="134"/>
      </rPr>
      <t>总价</t>
    </r>
    <r>
      <rPr>
        <sz val="12"/>
        <color rgb="FF0070C0"/>
        <rFont val="Times New Roman"/>
        <charset val="134"/>
      </rPr>
      <t>/</t>
    </r>
    <r>
      <rPr>
        <sz val="12"/>
        <color rgb="FF0070C0"/>
        <rFont val="宋体"/>
        <charset val="134"/>
      </rPr>
      <t>基数</t>
    </r>
    <r>
      <rPr>
        <sz val="12"/>
        <color rgb="FF0070C0"/>
        <rFont val="Times New Roman"/>
        <charset val="134"/>
      </rPr>
      <t>*</t>
    </r>
    <r>
      <rPr>
        <sz val="12"/>
        <color rgb="FF0070C0"/>
        <rFont val="宋体"/>
        <charset val="134"/>
      </rPr>
      <t>比例</t>
    </r>
  </si>
  <si>
    <r>
      <rPr>
        <sz val="11"/>
        <color theme="1"/>
        <rFont val="宋体"/>
        <charset val="134"/>
      </rPr>
      <t>在运营期前</t>
    </r>
    <r>
      <rPr>
        <sz val="11"/>
        <color theme="1"/>
        <rFont val="Times New Roman"/>
        <charset val="134"/>
      </rPr>
      <t>5</t>
    </r>
    <r>
      <rPr>
        <sz val="11"/>
        <color theme="1"/>
        <rFont val="宋体"/>
        <charset val="134"/>
      </rPr>
      <t>年（质保期内）将材料费和运行维护费用合并考虑，建议取值不低于</t>
    </r>
    <r>
      <rPr>
        <sz val="11"/>
        <color theme="1"/>
        <rFont val="Times New Roman"/>
        <charset val="134"/>
      </rPr>
      <t>1</t>
    </r>
    <r>
      <rPr>
        <sz val="11"/>
        <color theme="1"/>
        <rFont val="宋体"/>
        <charset val="134"/>
      </rPr>
      <t>万元</t>
    </r>
    <r>
      <rPr>
        <sz val="11"/>
        <color theme="1"/>
        <rFont val="Times New Roman"/>
        <charset val="134"/>
      </rPr>
      <t>/</t>
    </r>
    <r>
      <rPr>
        <sz val="11"/>
        <color theme="1"/>
        <rFont val="宋体"/>
        <charset val="134"/>
      </rPr>
      <t>兆瓦</t>
    </r>
    <r>
      <rPr>
        <sz val="11"/>
        <color theme="1"/>
        <rFont val="Times New Roman"/>
        <charset val="134"/>
      </rPr>
      <t>/</t>
    </r>
    <r>
      <rPr>
        <sz val="11"/>
        <color theme="1"/>
        <rFont val="宋体"/>
        <charset val="134"/>
      </rPr>
      <t>年；自运营期第</t>
    </r>
    <r>
      <rPr>
        <sz val="11"/>
        <color theme="1"/>
        <rFont val="Times New Roman"/>
        <charset val="134"/>
      </rPr>
      <t>6</t>
    </r>
    <r>
      <rPr>
        <sz val="11"/>
        <color theme="1"/>
        <rFont val="宋体"/>
        <charset val="134"/>
      </rPr>
      <t>年开始单独考虑运行维修费，结合固定资产磨损状态，建议第六年按照不低于项目固定资产原值</t>
    </r>
    <r>
      <rPr>
        <sz val="11"/>
        <color theme="1"/>
        <rFont val="Times New Roman"/>
        <charset val="134"/>
      </rPr>
      <t>0.3%</t>
    </r>
    <r>
      <rPr>
        <sz val="11"/>
        <color theme="1"/>
        <rFont val="宋体"/>
        <charset val="134"/>
      </rPr>
      <t>取值，之后每</t>
    </r>
    <r>
      <rPr>
        <sz val="11"/>
        <color theme="1"/>
        <rFont val="Times New Roman"/>
        <charset val="134"/>
      </rPr>
      <t>5</t>
    </r>
    <r>
      <rPr>
        <sz val="11"/>
        <color theme="1"/>
        <rFont val="宋体"/>
        <charset val="134"/>
      </rPr>
      <t>年上调不低于</t>
    </r>
    <r>
      <rPr>
        <sz val="11"/>
        <color theme="1"/>
        <rFont val="Times New Roman"/>
        <charset val="134"/>
      </rPr>
      <t>0.1%</t>
    </r>
    <r>
      <rPr>
        <sz val="11"/>
        <color theme="1"/>
        <rFont val="宋体"/>
        <charset val="134"/>
      </rPr>
      <t>。</t>
    </r>
    <r>
      <rPr>
        <sz val="11"/>
        <color theme="1"/>
        <rFont val="Times New Roman"/>
        <charset val="134"/>
      </rPr>
      <t xml:space="preserve">
</t>
    </r>
    <r>
      <rPr>
        <sz val="11"/>
        <color theme="1"/>
        <rFont val="宋体"/>
        <charset val="134"/>
      </rPr>
      <t>（对于外委运维，应结合运维合同约定的工作界面，视情况进行调整）</t>
    </r>
  </si>
  <si>
    <t>维修费取费基数</t>
  </si>
  <si>
    <r>
      <rPr>
        <sz val="12"/>
        <color rgb="FF0070C0"/>
        <rFont val="宋体"/>
        <charset val="134"/>
      </rPr>
      <t>总价</t>
    </r>
    <r>
      <rPr>
        <sz val="12"/>
        <color rgb="FF0070C0"/>
        <rFont val="Times New Roman"/>
        <charset val="134"/>
      </rPr>
      <t>/</t>
    </r>
    <r>
      <rPr>
        <sz val="12"/>
        <color rgb="FF0070C0"/>
        <rFont val="宋体"/>
        <charset val="134"/>
      </rPr>
      <t>基数</t>
    </r>
  </si>
  <si>
    <t>可选择静态总投资/动态总投资/其他【】</t>
  </si>
  <si>
    <t>维修费费率</t>
  </si>
  <si>
    <t>比例</t>
  </si>
  <si>
    <r>
      <rPr>
        <b/>
        <sz val="12"/>
        <rFont val="宋体"/>
        <charset val="134"/>
      </rPr>
      <t>保险费</t>
    </r>
  </si>
  <si>
    <r>
      <rPr>
        <b/>
        <sz val="12"/>
        <rFont val="宋体"/>
        <charset val="134"/>
      </rPr>
      <t>管理费用</t>
    </r>
  </si>
  <si>
    <r>
      <rPr>
        <sz val="11"/>
        <color theme="1"/>
        <rFont val="宋体"/>
        <charset val="134"/>
      </rPr>
      <t>原则上应按照实际购买险种和对应集采价格进行计算。</t>
    </r>
    <r>
      <rPr>
        <sz val="11"/>
        <color theme="1"/>
        <rFont val="Times New Roman"/>
        <charset val="134"/>
      </rPr>
      <t xml:space="preserve">
</t>
    </r>
    <r>
      <rPr>
        <sz val="11"/>
        <color theme="1"/>
        <rFont val="宋体"/>
        <charset val="134"/>
      </rPr>
      <t>如暂无固定统一的保险供应商及价格，在运营期前</t>
    </r>
    <r>
      <rPr>
        <sz val="11"/>
        <color theme="1"/>
        <rFont val="Times New Roman"/>
        <charset val="134"/>
      </rPr>
      <t>5</t>
    </r>
    <r>
      <rPr>
        <sz val="11"/>
        <color theme="1"/>
        <rFont val="宋体"/>
        <charset val="134"/>
      </rPr>
      <t>年（质保期内）建议按照项目固定资产现值</t>
    </r>
    <r>
      <rPr>
        <sz val="11"/>
        <color theme="1"/>
        <rFont val="Times New Roman"/>
        <charset val="134"/>
      </rPr>
      <t>0.011%</t>
    </r>
    <r>
      <rPr>
        <sz val="11"/>
        <color theme="1"/>
        <rFont val="宋体"/>
        <charset val="134"/>
      </rPr>
      <t>取值，自运营期第</t>
    </r>
    <r>
      <rPr>
        <sz val="11"/>
        <color theme="1"/>
        <rFont val="Times New Roman"/>
        <charset val="134"/>
      </rPr>
      <t>6</t>
    </r>
    <r>
      <rPr>
        <sz val="11"/>
        <color theme="1"/>
        <rFont val="宋体"/>
        <charset val="134"/>
      </rPr>
      <t>年开始取值</t>
    </r>
    <r>
      <rPr>
        <sz val="11"/>
        <color theme="1"/>
        <rFont val="Times New Roman"/>
        <charset val="134"/>
      </rPr>
      <t>0.031%</t>
    </r>
    <r>
      <rPr>
        <sz val="11"/>
        <color theme="1"/>
        <rFont val="宋体"/>
        <charset val="134"/>
      </rPr>
      <t>。</t>
    </r>
  </si>
  <si>
    <r>
      <rPr>
        <sz val="12"/>
        <color theme="1"/>
        <rFont val="宋体"/>
        <charset val="134"/>
      </rPr>
      <t>取费基数</t>
    </r>
  </si>
  <si>
    <t>保险费费率</t>
  </si>
  <si>
    <r>
      <rPr>
        <b/>
        <sz val="12"/>
        <rFont val="宋体"/>
        <charset val="134"/>
      </rPr>
      <t>生产人员薪酬及福利</t>
    </r>
  </si>
  <si>
    <r>
      <rPr>
        <sz val="12"/>
        <rFont val="宋体"/>
        <charset val="134"/>
      </rPr>
      <t>生产人员（正式</t>
    </r>
    <r>
      <rPr>
        <sz val="12"/>
        <rFont val="Times New Roman"/>
        <charset val="134"/>
      </rPr>
      <t>/</t>
    </r>
    <r>
      <rPr>
        <sz val="12"/>
        <rFont val="宋体"/>
        <charset val="134"/>
      </rPr>
      <t>劳务派遣）</t>
    </r>
  </si>
  <si>
    <r>
      <rPr>
        <sz val="12"/>
        <color rgb="FF0070C0"/>
        <rFont val="宋体"/>
        <charset val="134"/>
      </rPr>
      <t>数量</t>
    </r>
  </si>
  <si>
    <r>
      <rPr>
        <sz val="12"/>
        <color theme="1"/>
        <rFont val="宋体"/>
        <charset val="134"/>
      </rPr>
      <t>正式员工</t>
    </r>
  </si>
  <si>
    <r>
      <rPr>
        <sz val="12"/>
        <rFont val="宋体"/>
        <charset val="134"/>
      </rPr>
      <t>人</t>
    </r>
  </si>
  <si>
    <r>
      <rPr>
        <sz val="12"/>
        <color theme="1"/>
        <rFont val="宋体"/>
        <charset val="134"/>
      </rPr>
      <t>劳务派遣</t>
    </r>
  </si>
  <si>
    <r>
      <rPr>
        <sz val="12"/>
        <rFont val="宋体"/>
        <charset val="134"/>
      </rPr>
      <t>人均工资</t>
    </r>
  </si>
  <si>
    <r>
      <rPr>
        <sz val="12"/>
        <rFont val="宋体"/>
        <charset val="134"/>
      </rPr>
      <t>万元</t>
    </r>
    <r>
      <rPr>
        <sz val="12"/>
        <rFont val="Times New Roman"/>
        <charset val="134"/>
      </rPr>
      <t>/</t>
    </r>
    <r>
      <rPr>
        <sz val="12"/>
        <rFont val="宋体"/>
        <charset val="134"/>
      </rPr>
      <t>人</t>
    </r>
    <r>
      <rPr>
        <sz val="12"/>
        <rFont val="Times New Roman"/>
        <charset val="134"/>
      </rPr>
      <t>/</t>
    </r>
    <r>
      <rPr>
        <sz val="12"/>
        <rFont val="宋体"/>
        <charset val="134"/>
      </rPr>
      <t>年</t>
    </r>
  </si>
  <si>
    <r>
      <rPr>
        <sz val="12"/>
        <color theme="1"/>
        <rFont val="宋体"/>
        <charset val="134"/>
      </rPr>
      <t>正式员工工资</t>
    </r>
  </si>
  <si>
    <r>
      <rPr>
        <sz val="12"/>
        <color theme="1"/>
        <rFont val="宋体"/>
        <charset val="134"/>
      </rPr>
      <t>劳务派遣工资</t>
    </r>
  </si>
  <si>
    <r>
      <rPr>
        <sz val="12"/>
        <rFont val="宋体"/>
        <charset val="134"/>
      </rPr>
      <t>社会保险及福利费用系数</t>
    </r>
  </si>
  <si>
    <r>
      <rPr>
        <sz val="12"/>
        <rFont val="宋体"/>
        <charset val="134"/>
      </rPr>
      <t>上涨系数调整</t>
    </r>
  </si>
  <si>
    <r>
      <rPr>
        <sz val="12"/>
        <rFont val="宋体"/>
        <charset val="134"/>
      </rPr>
      <t>可自定义增长形式</t>
    </r>
  </si>
  <si>
    <r>
      <rPr>
        <b/>
        <sz val="12"/>
        <rFont val="宋体"/>
        <charset val="134"/>
      </rPr>
      <t>生产成本</t>
    </r>
    <r>
      <rPr>
        <b/>
        <sz val="12"/>
        <rFont val="Times New Roman"/>
        <charset val="134"/>
      </rPr>
      <t>/</t>
    </r>
    <r>
      <rPr>
        <b/>
        <sz val="12"/>
        <rFont val="宋体"/>
        <charset val="134"/>
      </rPr>
      <t>销售费用</t>
    </r>
    <r>
      <rPr>
        <b/>
        <sz val="12"/>
        <rFont val="Times New Roman"/>
        <charset val="134"/>
      </rPr>
      <t>/</t>
    </r>
    <r>
      <rPr>
        <b/>
        <sz val="12"/>
        <rFont val="宋体"/>
        <charset val="134"/>
      </rPr>
      <t>管理费用</t>
    </r>
    <r>
      <rPr>
        <b/>
        <sz val="12"/>
        <rFont val="Times New Roman"/>
        <charset val="134"/>
      </rPr>
      <t>/</t>
    </r>
    <r>
      <rPr>
        <b/>
        <sz val="12"/>
        <rFont val="宋体"/>
        <charset val="134"/>
      </rPr>
      <t>研发费用</t>
    </r>
  </si>
  <si>
    <t>其他费用计费数量</t>
  </si>
  <si>
    <t>其他费用单价</t>
  </si>
  <si>
    <r>
      <rPr>
        <sz val="11"/>
        <color theme="1"/>
        <rFont val="宋体"/>
        <charset val="134"/>
      </rPr>
      <t>万元</t>
    </r>
    <r>
      <rPr>
        <sz val="11"/>
        <color theme="1"/>
        <rFont val="Times New Roman"/>
        <charset val="134"/>
      </rPr>
      <t>/MW</t>
    </r>
  </si>
  <si>
    <t>储能费用</t>
  </si>
  <si>
    <t>储能费用计费数量</t>
  </si>
  <si>
    <t>储能费用单价</t>
  </si>
  <si>
    <r>
      <rPr>
        <sz val="12"/>
        <rFont val="宋体"/>
        <charset val="134"/>
      </rPr>
      <t>元</t>
    </r>
    <r>
      <rPr>
        <sz val="12"/>
        <rFont val="Times New Roman"/>
        <charset val="134"/>
      </rPr>
      <t>/kw/</t>
    </r>
    <r>
      <rPr>
        <sz val="12"/>
        <rFont val="宋体"/>
        <charset val="134"/>
      </rPr>
      <t>年</t>
    </r>
  </si>
  <si>
    <t>场地租金费用</t>
  </si>
  <si>
    <t>租地面积</t>
  </si>
  <si>
    <t>亩</t>
  </si>
  <si>
    <t>租金单价</t>
  </si>
  <si>
    <t>元/亩/年</t>
  </si>
  <si>
    <t>期末拆除费用</t>
  </si>
  <si>
    <t>期末拆除费用计费基数</t>
  </si>
  <si>
    <t>总价/基数</t>
  </si>
  <si>
    <t>期末拆除费用费率</t>
  </si>
  <si>
    <r>
      <rPr>
        <b/>
        <sz val="12"/>
        <color theme="1"/>
        <rFont val="宋体"/>
        <charset val="134"/>
      </rPr>
      <t>资产折旧摊销</t>
    </r>
  </si>
  <si>
    <r>
      <rPr>
        <sz val="12"/>
        <rFont val="宋体"/>
        <charset val="134"/>
      </rPr>
      <t>不需要归类</t>
    </r>
  </si>
  <si>
    <t>新建及改扩建项目固定资产折旧</t>
  </si>
  <si>
    <r>
      <rPr>
        <sz val="12"/>
        <color theme="1"/>
        <rFont val="宋体"/>
        <charset val="134"/>
      </rPr>
      <t>固定资产原值</t>
    </r>
  </si>
  <si>
    <r>
      <rPr>
        <sz val="11"/>
        <color theme="1"/>
        <rFont val="宋体"/>
        <charset val="134"/>
      </rPr>
      <t>固定资产原值</t>
    </r>
    <r>
      <rPr>
        <sz val="11"/>
        <color theme="1"/>
        <rFont val="Times New Roman"/>
        <charset val="134"/>
      </rPr>
      <t>=</t>
    </r>
    <r>
      <rPr>
        <sz val="11"/>
        <color theme="1"/>
        <rFont val="宋体"/>
        <charset val="134"/>
      </rPr>
      <t>项目动态总投资（自主投资</t>
    </r>
    <r>
      <rPr>
        <sz val="11"/>
        <color theme="1"/>
        <rFont val="Times New Roman"/>
        <charset val="134"/>
      </rPr>
      <t>_</t>
    </r>
    <r>
      <rPr>
        <sz val="11"/>
        <color theme="1"/>
        <rFont val="宋体"/>
        <charset val="134"/>
      </rPr>
      <t>不含流动资金）</t>
    </r>
    <r>
      <rPr>
        <sz val="11"/>
        <color theme="1"/>
        <rFont val="Times New Roman"/>
        <charset val="134"/>
      </rPr>
      <t>-</t>
    </r>
    <r>
      <rPr>
        <sz val="11"/>
        <color theme="1"/>
        <rFont val="宋体"/>
        <charset val="134"/>
      </rPr>
      <t>可抵扣进项税</t>
    </r>
    <r>
      <rPr>
        <sz val="11"/>
        <color theme="1"/>
        <rFont val="Times New Roman"/>
        <charset val="134"/>
      </rPr>
      <t>=</t>
    </r>
    <r>
      <rPr>
        <sz val="11"/>
        <color theme="1"/>
        <rFont val="宋体"/>
        <charset val="134"/>
      </rPr>
      <t>项目静态总投资</t>
    </r>
    <r>
      <rPr>
        <sz val="11"/>
        <color theme="1"/>
        <rFont val="Times New Roman"/>
        <charset val="134"/>
      </rPr>
      <t>-</t>
    </r>
    <r>
      <rPr>
        <sz val="11"/>
        <color theme="1"/>
        <rFont val="宋体"/>
        <charset val="134"/>
      </rPr>
      <t>建设补贴</t>
    </r>
    <r>
      <rPr>
        <sz val="11"/>
        <color theme="1"/>
        <rFont val="Times New Roman"/>
        <charset val="134"/>
      </rPr>
      <t>+</t>
    </r>
    <r>
      <rPr>
        <sz val="11"/>
        <color theme="1"/>
        <rFont val="宋体"/>
        <charset val="134"/>
      </rPr>
      <t>建设期利息</t>
    </r>
    <r>
      <rPr>
        <sz val="11"/>
        <color theme="1"/>
        <rFont val="Times New Roman"/>
        <charset val="134"/>
      </rPr>
      <t>-</t>
    </r>
    <r>
      <rPr>
        <sz val="11"/>
        <color theme="1"/>
        <rFont val="宋体"/>
        <charset val="134"/>
      </rPr>
      <t>可抵扣进项税</t>
    </r>
  </si>
  <si>
    <r>
      <rPr>
        <sz val="12"/>
        <color theme="1"/>
        <rFont val="宋体"/>
        <charset val="134"/>
      </rPr>
      <t>固定资产折旧计提方式</t>
    </r>
  </si>
  <si>
    <r>
      <rPr>
        <sz val="12"/>
        <rFont val="宋体"/>
        <charset val="134"/>
      </rPr>
      <t>直线法</t>
    </r>
    <r>
      <rPr>
        <sz val="12"/>
        <rFont val="Times New Roman"/>
        <charset val="134"/>
      </rPr>
      <t>/</t>
    </r>
    <r>
      <rPr>
        <sz val="12"/>
        <rFont val="宋体"/>
        <charset val="134"/>
      </rPr>
      <t>其他</t>
    </r>
    <r>
      <rPr>
        <sz val="12"/>
        <rFont val="Times New Roman"/>
        <charset val="134"/>
      </rPr>
      <t>(</t>
    </r>
    <r>
      <rPr>
        <sz val="12"/>
        <rFont val="宋体"/>
        <charset val="134"/>
      </rPr>
      <t>手动填写各年的折旧额</t>
    </r>
    <r>
      <rPr>
        <sz val="12"/>
        <rFont val="Times New Roman"/>
        <charset val="134"/>
      </rPr>
      <t>)</t>
    </r>
  </si>
  <si>
    <r>
      <rPr>
        <sz val="11"/>
        <color theme="1"/>
        <rFont val="宋体"/>
        <charset val="134"/>
      </rPr>
      <t>原则上采用平均年限法进行折旧，折旧年限取值</t>
    </r>
    <r>
      <rPr>
        <sz val="11"/>
        <color theme="1"/>
        <rFont val="Times New Roman"/>
        <charset val="134"/>
      </rPr>
      <t>18</t>
    </r>
    <r>
      <rPr>
        <sz val="11"/>
        <color theme="1"/>
        <rFont val="宋体"/>
        <charset val="134"/>
      </rPr>
      <t>年，残值率取值</t>
    </r>
    <r>
      <rPr>
        <sz val="11"/>
        <color theme="1"/>
        <rFont val="Times New Roman"/>
        <charset val="134"/>
      </rPr>
      <t>0%</t>
    </r>
  </si>
  <si>
    <r>
      <rPr>
        <sz val="12"/>
        <color theme="1"/>
        <rFont val="宋体"/>
        <charset val="134"/>
      </rPr>
      <t>固定资产折旧年限</t>
    </r>
  </si>
  <si>
    <r>
      <rPr>
        <sz val="12"/>
        <color theme="1"/>
        <rFont val="宋体"/>
        <charset val="134"/>
      </rPr>
      <t>固定资产残值率</t>
    </r>
  </si>
  <si>
    <t>新增无形资产摊销</t>
  </si>
  <si>
    <r>
      <rPr>
        <sz val="12"/>
        <color theme="1"/>
        <rFont val="宋体"/>
        <charset val="134"/>
      </rPr>
      <t>无形资产原值</t>
    </r>
  </si>
  <si>
    <r>
      <rPr>
        <sz val="12"/>
        <color theme="1"/>
        <rFont val="宋体"/>
        <charset val="134"/>
      </rPr>
      <t>无形资产摊销计提方式</t>
    </r>
  </si>
  <si>
    <r>
      <rPr>
        <sz val="12"/>
        <color theme="1"/>
        <rFont val="宋体"/>
        <charset val="134"/>
      </rPr>
      <t>无形资产摊销年限</t>
    </r>
  </si>
  <si>
    <r>
      <rPr>
        <sz val="12"/>
        <color theme="1"/>
        <rFont val="宋体"/>
        <charset val="134"/>
      </rPr>
      <t>无形资产残值率</t>
    </r>
  </si>
  <si>
    <t>9.3</t>
  </si>
  <si>
    <t>存量固定资产折旧</t>
  </si>
  <si>
    <t>固定资产折旧计提方式</t>
  </si>
  <si>
    <t>直线法/其他(手动填写各年的折旧额)</t>
  </si>
  <si>
    <t>固定资产原值</t>
  </si>
  <si>
    <t>固定资产净值</t>
  </si>
  <si>
    <t>剩余折旧年限</t>
  </si>
  <si>
    <t>固定资产残值率</t>
  </si>
  <si>
    <t>存量无形资产摊销</t>
  </si>
  <si>
    <t>无形资产原值</t>
  </si>
  <si>
    <t>无形资产净值</t>
  </si>
  <si>
    <r>
      <rPr>
        <sz val="12"/>
        <rFont val="宋体"/>
        <charset val="134"/>
      </rPr>
      <t>直线法</t>
    </r>
    <r>
      <rPr>
        <sz val="12"/>
        <rFont val="Times New Roman"/>
        <charset val="134"/>
      </rPr>
      <t>/</t>
    </r>
    <r>
      <rPr>
        <sz val="12"/>
        <rFont val="宋体"/>
        <charset val="134"/>
      </rPr>
      <t>其他</t>
    </r>
    <r>
      <rPr>
        <sz val="12"/>
        <rFont val="Times New Roman"/>
        <charset val="134"/>
      </rPr>
      <t>(</t>
    </r>
    <r>
      <rPr>
        <sz val="12"/>
        <rFont val="宋体"/>
        <charset val="134"/>
      </rPr>
      <t>手动填写各年的摊销额</t>
    </r>
    <r>
      <rPr>
        <sz val="12"/>
        <rFont val="Times New Roman"/>
        <charset val="134"/>
      </rPr>
      <t>)</t>
    </r>
  </si>
  <si>
    <t>无形资产摊销年限</t>
  </si>
  <si>
    <r>
      <rPr>
        <b/>
        <sz val="12"/>
        <color theme="1"/>
        <rFont val="宋体"/>
        <charset val="134"/>
      </rPr>
      <t>计入长期待摊的成本项</t>
    </r>
  </si>
  <si>
    <r>
      <rPr>
        <sz val="12"/>
        <rFont val="宋体"/>
        <charset val="134"/>
      </rPr>
      <t>适用于一次性支付多年租金等情形</t>
    </r>
  </si>
  <si>
    <t>新增计入长期待摊的成本金额</t>
  </si>
  <si>
    <t>合作期第1年</t>
  </si>
  <si>
    <r>
      <rPr>
        <sz val="11"/>
        <color rgb="FF0070C0"/>
        <rFont val="宋体"/>
        <charset val="134"/>
      </rPr>
      <t>总价</t>
    </r>
    <r>
      <rPr>
        <sz val="11"/>
        <color rgb="FF0070C0"/>
        <rFont val="Times New Roman"/>
        <charset val="134"/>
      </rPr>
      <t>/</t>
    </r>
    <r>
      <rPr>
        <sz val="11"/>
        <color rgb="FF0070C0"/>
        <rFont val="宋体"/>
        <charset val="134"/>
      </rPr>
      <t>基数</t>
    </r>
  </si>
  <si>
    <t>合作期第2年</t>
  </si>
  <si>
    <t>合作期第3年</t>
  </si>
  <si>
    <t>合作期第4年</t>
  </si>
  <si>
    <t>合作期第5年</t>
  </si>
  <si>
    <t>合作期第6年</t>
  </si>
  <si>
    <t>合作期第7年</t>
  </si>
  <si>
    <t>合作期第8年</t>
  </si>
  <si>
    <t>合作期第9年</t>
  </si>
  <si>
    <t>合作期第10年</t>
  </si>
  <si>
    <t>合作期第11年</t>
  </si>
  <si>
    <t>合作期第12年</t>
  </si>
  <si>
    <t>合作期第13年</t>
  </si>
  <si>
    <t>合作期第14年</t>
  </si>
  <si>
    <t>合作期第15年</t>
  </si>
  <si>
    <t>合作期第16年</t>
  </si>
  <si>
    <t>合作期第17年</t>
  </si>
  <si>
    <t>合作期第18年</t>
  </si>
  <si>
    <t>合作期第19年</t>
  </si>
  <si>
    <t>合作期第20年</t>
  </si>
  <si>
    <t>合作期第21年</t>
  </si>
  <si>
    <t>合作期第22年</t>
  </si>
  <si>
    <t>合作期第23年</t>
  </si>
  <si>
    <t>合作期第24年</t>
  </si>
  <si>
    <t>合作期第25年</t>
  </si>
  <si>
    <t>合作期第26年</t>
  </si>
  <si>
    <t>合作期第27年</t>
  </si>
  <si>
    <r>
      <rPr>
        <sz val="12"/>
        <color theme="1"/>
        <rFont val="宋体"/>
        <charset val="134"/>
      </rPr>
      <t>摊销计提方式</t>
    </r>
  </si>
  <si>
    <r>
      <rPr>
        <sz val="12"/>
        <color theme="1"/>
        <rFont val="宋体"/>
        <charset val="134"/>
      </rPr>
      <t>摊销年限</t>
    </r>
  </si>
  <si>
    <r>
      <rPr>
        <sz val="12"/>
        <rFont val="宋体"/>
        <charset val="134"/>
      </rPr>
      <t>年</t>
    </r>
  </si>
  <si>
    <t>存量计入长期待摊的成本金额</t>
  </si>
  <si>
    <t>长期待摊费用净值</t>
  </si>
  <si>
    <r>
      <rPr>
        <b/>
        <sz val="12"/>
        <color theme="1"/>
        <rFont val="宋体"/>
        <charset val="134"/>
      </rPr>
      <t>大修及更新重置</t>
    </r>
  </si>
  <si>
    <r>
      <rPr>
        <sz val="12"/>
        <color theme="1"/>
        <rFont val="宋体"/>
        <charset val="134"/>
      </rPr>
      <t>大修及更新重置投资</t>
    </r>
  </si>
  <si>
    <r>
      <rPr>
        <sz val="12"/>
        <color theme="1"/>
        <rFont val="宋体"/>
        <charset val="134"/>
      </rPr>
      <t>折旧摊销计提方式</t>
    </r>
  </si>
  <si>
    <r>
      <rPr>
        <sz val="12"/>
        <color theme="1"/>
        <rFont val="宋体"/>
        <charset val="134"/>
      </rPr>
      <t>大修及更新重置投资折旧年限</t>
    </r>
  </si>
  <si>
    <t>税率</t>
  </si>
  <si>
    <r>
      <rPr>
        <sz val="12"/>
        <color theme="1"/>
        <rFont val="宋体"/>
        <charset val="134"/>
      </rPr>
      <t>增值税进项税</t>
    </r>
  </si>
  <si>
    <r>
      <rPr>
        <sz val="11"/>
        <color theme="1"/>
        <rFont val="宋体"/>
        <charset val="134"/>
      </rPr>
      <t>大修及更新重置进项税</t>
    </r>
    <r>
      <rPr>
        <sz val="11"/>
        <color theme="1"/>
        <rFont val="Times New Roman"/>
        <charset val="134"/>
      </rPr>
      <t>=</t>
    </r>
    <r>
      <rPr>
        <sz val="11"/>
        <color theme="1"/>
        <rFont val="宋体"/>
        <charset val="134"/>
      </rPr>
      <t>大修及更新重置投资</t>
    </r>
    <r>
      <rPr>
        <sz val="11"/>
        <color theme="1"/>
        <rFont val="Times New Roman"/>
        <charset val="134"/>
      </rPr>
      <t>/</t>
    </r>
    <r>
      <rPr>
        <sz val="11"/>
        <color theme="1"/>
        <rFont val="宋体"/>
        <charset val="134"/>
      </rPr>
      <t>（</t>
    </r>
    <r>
      <rPr>
        <sz val="11"/>
        <color theme="1"/>
        <rFont val="Times New Roman"/>
        <charset val="134"/>
      </rPr>
      <t>1+</t>
    </r>
    <r>
      <rPr>
        <sz val="11"/>
        <color theme="1"/>
        <rFont val="宋体"/>
        <charset val="134"/>
      </rPr>
      <t>增值税税率（自动生成含税和不含税价））</t>
    </r>
    <r>
      <rPr>
        <sz val="11"/>
        <color theme="1"/>
        <rFont val="Times New Roman"/>
        <charset val="134"/>
      </rPr>
      <t>*</t>
    </r>
    <r>
      <rPr>
        <sz val="11"/>
        <color theme="1"/>
        <rFont val="宋体"/>
        <charset val="134"/>
      </rPr>
      <t>增值税税率（自动生成含税和不含税价）</t>
    </r>
  </si>
  <si>
    <r>
      <rPr>
        <b/>
        <sz val="12"/>
        <color theme="1"/>
        <rFont val="宋体"/>
        <charset val="134"/>
      </rPr>
      <t>营业外支出</t>
    </r>
  </si>
  <si>
    <t>总额</t>
  </si>
  <si>
    <r>
      <rPr>
        <b/>
        <sz val="12"/>
        <rFont val="宋体"/>
        <charset val="134"/>
      </rPr>
      <t>营业外支出</t>
    </r>
  </si>
  <si>
    <r>
      <rPr>
        <sz val="12"/>
        <color theme="1"/>
        <rFont val="宋体"/>
        <charset val="134"/>
      </rPr>
      <t>营业外支出金额</t>
    </r>
  </si>
  <si>
    <r>
      <rPr>
        <sz val="12"/>
        <rFont val="宋体"/>
        <charset val="134"/>
      </rPr>
      <t>捐赠</t>
    </r>
    <r>
      <rPr>
        <sz val="12"/>
        <rFont val="Times New Roman"/>
        <charset val="134"/>
      </rPr>
      <t>/</t>
    </r>
    <r>
      <rPr>
        <sz val="12"/>
        <rFont val="宋体"/>
        <charset val="134"/>
      </rPr>
      <t>税前分红</t>
    </r>
    <r>
      <rPr>
        <sz val="12"/>
        <rFont val="Times New Roman"/>
        <charset val="134"/>
      </rPr>
      <t>/</t>
    </r>
    <r>
      <rPr>
        <sz val="12"/>
        <rFont val="宋体"/>
        <charset val="134"/>
      </rPr>
      <t>扶贫支出等</t>
    </r>
  </si>
  <si>
    <r>
      <rPr>
        <b/>
        <sz val="12"/>
        <rFont val="宋体"/>
        <charset val="134"/>
      </rPr>
      <t>收入</t>
    </r>
  </si>
  <si>
    <r>
      <rPr>
        <b/>
        <sz val="12"/>
        <rFont val="宋体"/>
        <charset val="134"/>
      </rPr>
      <t>营业收入</t>
    </r>
  </si>
  <si>
    <r>
      <rPr>
        <b/>
        <sz val="12"/>
        <rFont val="宋体"/>
        <charset val="134"/>
      </rPr>
      <t>发电销售收入</t>
    </r>
  </si>
  <si>
    <t>上网电量</t>
  </si>
  <si>
    <t>引用生产板块相关数据</t>
  </si>
  <si>
    <t>万度</t>
  </si>
  <si>
    <t>上网电价</t>
  </si>
  <si>
    <t>元/kWh</t>
  </si>
  <si>
    <t>电网辅助服务分摊（合作期1-27年）</t>
  </si>
  <si>
    <t>两个细则考核（合作期1-27年）</t>
  </si>
  <si>
    <r>
      <rPr>
        <sz val="12"/>
        <rFont val="宋体"/>
        <charset val="134"/>
      </rPr>
      <t>首年付款比例</t>
    </r>
  </si>
  <si>
    <r>
      <rPr>
        <sz val="12"/>
        <rFont val="宋体"/>
        <charset val="134"/>
      </rPr>
      <t>回款周期</t>
    </r>
  </si>
  <si>
    <r>
      <rPr>
        <sz val="11"/>
        <color theme="1"/>
        <rFont val="宋体"/>
        <charset val="134"/>
      </rPr>
      <t>月</t>
    </r>
  </si>
  <si>
    <t>国补收入</t>
  </si>
  <si>
    <t>增值税率</t>
  </si>
  <si>
    <t>首年付款比例</t>
  </si>
  <si>
    <t>回款周期</t>
  </si>
  <si>
    <t>绿证交易收入</t>
  </si>
  <si>
    <t>绿证核发电量占比</t>
  </si>
  <si>
    <t>绿证交易单价</t>
  </si>
  <si>
    <r>
      <rPr>
        <sz val="11"/>
        <color theme="1"/>
        <rFont val="宋体"/>
        <charset val="134"/>
      </rPr>
      <t>元</t>
    </r>
    <r>
      <rPr>
        <sz val="11"/>
        <color theme="1"/>
        <rFont val="Times New Roman"/>
        <charset val="134"/>
      </rPr>
      <t>/</t>
    </r>
    <r>
      <rPr>
        <sz val="11"/>
        <color theme="1"/>
        <rFont val="宋体"/>
        <charset val="134"/>
      </rPr>
      <t>张</t>
    </r>
  </si>
  <si>
    <t>其他收益</t>
  </si>
  <si>
    <r>
      <rPr>
        <b/>
        <sz val="12"/>
        <rFont val="宋体"/>
        <charset val="134"/>
      </rPr>
      <t>其他收入</t>
    </r>
    <r>
      <rPr>
        <b/>
        <sz val="12"/>
        <rFont val="Times New Roman"/>
        <charset val="134"/>
      </rPr>
      <t>2</t>
    </r>
  </si>
  <si>
    <r>
      <rPr>
        <sz val="11"/>
        <color theme="1"/>
        <rFont val="宋体"/>
        <charset val="134"/>
      </rPr>
      <t>可自定义名称及计算规则</t>
    </r>
  </si>
  <si>
    <t>其他收入2计算量</t>
  </si>
  <si>
    <t>投产比例</t>
  </si>
  <si>
    <r>
      <rPr>
        <sz val="12"/>
        <color theme="1"/>
        <rFont val="宋体"/>
        <charset val="134"/>
      </rPr>
      <t>收入单价</t>
    </r>
  </si>
  <si>
    <r>
      <rPr>
        <sz val="12"/>
        <color theme="1"/>
        <rFont val="宋体"/>
        <charset val="134"/>
      </rPr>
      <t>首年付款比例</t>
    </r>
  </si>
  <si>
    <r>
      <rPr>
        <sz val="12"/>
        <color theme="1"/>
        <rFont val="宋体"/>
        <charset val="134"/>
      </rPr>
      <t>回款周期</t>
    </r>
  </si>
  <si>
    <r>
      <rPr>
        <b/>
        <sz val="12"/>
        <rFont val="宋体"/>
        <charset val="134"/>
      </rPr>
      <t>营业外收入</t>
    </r>
  </si>
  <si>
    <r>
      <rPr>
        <b/>
        <sz val="12"/>
        <rFont val="宋体"/>
        <charset val="134"/>
      </rPr>
      <t>政府运营补贴收入</t>
    </r>
    <r>
      <rPr>
        <b/>
        <sz val="10"/>
        <rFont val="宋体"/>
        <charset val="134"/>
      </rPr>
      <t>（一次性）</t>
    </r>
  </si>
  <si>
    <r>
      <rPr>
        <sz val="12"/>
        <color theme="1"/>
        <rFont val="宋体"/>
        <charset val="134"/>
      </rPr>
      <t>补贴金额</t>
    </r>
  </si>
  <si>
    <r>
      <rPr>
        <sz val="12"/>
        <color theme="1"/>
        <rFont val="宋体"/>
        <charset val="134"/>
      </rPr>
      <t>递延收益确认</t>
    </r>
  </si>
  <si>
    <r>
      <rPr>
        <b/>
        <sz val="12"/>
        <rFont val="宋体"/>
        <charset val="134"/>
      </rPr>
      <t>税金</t>
    </r>
  </si>
  <si>
    <t>增值税</t>
  </si>
  <si>
    <t>基准日可抵扣进项税余额</t>
  </si>
  <si>
    <t>增值税优惠政策</t>
  </si>
  <si>
    <r>
      <rPr>
        <sz val="12"/>
        <rFont val="宋体"/>
        <charset val="134"/>
      </rPr>
      <t>常规</t>
    </r>
    <r>
      <rPr>
        <sz val="12"/>
        <rFont val="Times New Roman"/>
        <charset val="134"/>
      </rPr>
      <t>/</t>
    </r>
    <r>
      <rPr>
        <sz val="12"/>
        <rFont val="宋体"/>
        <charset val="134"/>
      </rPr>
      <t>即征即退</t>
    </r>
  </si>
  <si>
    <r>
      <rPr>
        <sz val="12"/>
        <color theme="1"/>
        <rFont val="宋体"/>
        <charset val="134"/>
      </rPr>
      <t>常规</t>
    </r>
  </si>
  <si>
    <r>
      <rPr>
        <sz val="12"/>
        <rFont val="宋体"/>
        <charset val="134"/>
      </rPr>
      <t>菜单项</t>
    </r>
  </si>
  <si>
    <r>
      <rPr>
        <sz val="11"/>
        <color theme="1"/>
        <rFont val="宋体"/>
        <charset val="134"/>
      </rPr>
      <t>无增值税退税优惠</t>
    </r>
  </si>
  <si>
    <r>
      <rPr>
        <sz val="12"/>
        <color theme="1"/>
        <rFont val="宋体"/>
        <charset val="134"/>
      </rPr>
      <t>即征即退</t>
    </r>
  </si>
  <si>
    <r>
      <rPr>
        <sz val="12"/>
        <rFont val="宋体"/>
        <charset val="134"/>
      </rPr>
      <t>菜单项</t>
    </r>
    <r>
      <rPr>
        <sz val="12"/>
        <rFont val="Times New Roman"/>
        <charset val="134"/>
      </rPr>
      <t>/</t>
    </r>
    <r>
      <rPr>
        <sz val="12"/>
        <rFont val="宋体"/>
        <charset val="134"/>
      </rPr>
      <t>手动输入</t>
    </r>
  </si>
  <si>
    <r>
      <rPr>
        <sz val="16"/>
        <color theme="1"/>
        <rFont val="宋体"/>
        <charset val="134"/>
      </rPr>
      <t>【】</t>
    </r>
  </si>
  <si>
    <r>
      <rPr>
        <b/>
        <sz val="12"/>
        <rFont val="宋体"/>
        <charset val="134"/>
      </rPr>
      <t>企业所得税优惠政策</t>
    </r>
  </si>
  <si>
    <r>
      <rPr>
        <sz val="12"/>
        <rFont val="宋体"/>
        <charset val="134"/>
      </rPr>
      <t>下拉菜单选择</t>
    </r>
    <r>
      <rPr>
        <sz val="12"/>
        <rFont val="Times New Roman"/>
        <charset val="134"/>
      </rPr>
      <t xml:space="preserve">
</t>
    </r>
    <r>
      <rPr>
        <sz val="12"/>
        <rFont val="宋体"/>
        <charset val="134"/>
      </rPr>
      <t>（可多选）</t>
    </r>
  </si>
  <si>
    <r>
      <rPr>
        <sz val="12"/>
        <rFont val="宋体"/>
        <charset val="134"/>
      </rPr>
      <t>常规</t>
    </r>
    <r>
      <rPr>
        <sz val="12"/>
        <rFont val="Times New Roman"/>
        <charset val="134"/>
      </rPr>
      <t>/</t>
    </r>
    <r>
      <rPr>
        <sz val="12"/>
        <rFont val="宋体"/>
        <charset val="134"/>
      </rPr>
      <t>所得税三免三减半</t>
    </r>
    <r>
      <rPr>
        <sz val="12"/>
        <rFont val="Times New Roman"/>
        <charset val="134"/>
      </rPr>
      <t>/</t>
    </r>
    <r>
      <rPr>
        <sz val="12"/>
        <rFont val="宋体"/>
        <charset val="134"/>
      </rPr>
      <t>西部地区的鼓励类产业企业</t>
    </r>
  </si>
  <si>
    <r>
      <rPr>
        <sz val="16"/>
        <color theme="1"/>
        <rFont val="宋体"/>
        <charset val="134"/>
      </rPr>
      <t>三免三减半</t>
    </r>
  </si>
  <si>
    <r>
      <rPr>
        <sz val="11"/>
        <color theme="1"/>
        <rFont val="宋体"/>
        <charset val="134"/>
      </rPr>
      <t>①所得税三免三减半：自取得第一笔发电收入所属纳税年度起，免除第</t>
    </r>
    <r>
      <rPr>
        <sz val="11"/>
        <color theme="1"/>
        <rFont val="Times New Roman"/>
        <charset val="134"/>
      </rPr>
      <t>1-3</t>
    </r>
    <r>
      <rPr>
        <sz val="11"/>
        <color theme="1"/>
        <rFont val="宋体"/>
        <charset val="134"/>
      </rPr>
      <t>年所得税，减半征收第</t>
    </r>
    <r>
      <rPr>
        <sz val="11"/>
        <color theme="1"/>
        <rFont val="Times New Roman"/>
        <charset val="134"/>
      </rPr>
      <t>4-6</t>
    </r>
    <r>
      <rPr>
        <sz val="11"/>
        <color theme="1"/>
        <rFont val="宋体"/>
        <charset val="134"/>
      </rPr>
      <t>年所得税。</t>
    </r>
    <r>
      <rPr>
        <sz val="11"/>
        <color theme="1"/>
        <rFont val="Times New Roman"/>
        <charset val="134"/>
      </rPr>
      <t xml:space="preserve">
</t>
    </r>
    <r>
      <rPr>
        <sz val="11"/>
        <color theme="1"/>
        <rFont val="宋体"/>
        <charset val="134"/>
      </rPr>
      <t>②若符合西部地区的鼓励类产业企业政策：根据《关于延续西部大开发企业所得税政策的公告》和《西部地区鼓励类产业目录》，对于符合相应应条件的西部地区项目，在</t>
    </r>
    <r>
      <rPr>
        <sz val="11"/>
        <color theme="1"/>
        <rFont val="Times New Roman"/>
        <charset val="134"/>
      </rPr>
      <t>2030</t>
    </r>
    <r>
      <rPr>
        <sz val="11"/>
        <color theme="1"/>
        <rFont val="宋体"/>
        <charset val="134"/>
      </rPr>
      <t>年及以前的运营期可进一步考虑所得税率减按</t>
    </r>
    <r>
      <rPr>
        <sz val="11"/>
        <color theme="1"/>
        <rFont val="Times New Roman"/>
        <charset val="134"/>
      </rPr>
      <t>15%</t>
    </r>
    <r>
      <rPr>
        <sz val="11"/>
        <color theme="1"/>
        <rFont val="宋体"/>
        <charset val="134"/>
      </rPr>
      <t>执行的优惠政策。</t>
    </r>
  </si>
  <si>
    <r>
      <rPr>
        <sz val="12"/>
        <rFont val="宋体"/>
        <charset val="134"/>
      </rPr>
      <t>无所得税优惠</t>
    </r>
  </si>
  <si>
    <r>
      <rPr>
        <sz val="12"/>
        <color theme="1"/>
        <rFont val="宋体"/>
        <charset val="134"/>
      </rPr>
      <t>所得税三免三减半</t>
    </r>
  </si>
  <si>
    <r>
      <rPr>
        <sz val="12"/>
        <rFont val="宋体"/>
        <charset val="134"/>
      </rPr>
      <t>所得税三免三减半</t>
    </r>
  </si>
  <si>
    <r>
      <rPr>
        <sz val="11"/>
        <color theme="1"/>
        <rFont val="宋体"/>
        <charset val="134"/>
      </rPr>
      <t>自取得第一笔发电收入所属纳税年度起，免除第</t>
    </r>
    <r>
      <rPr>
        <sz val="11"/>
        <color theme="1"/>
        <rFont val="Times New Roman"/>
        <charset val="134"/>
      </rPr>
      <t>1-3</t>
    </r>
    <r>
      <rPr>
        <sz val="11"/>
        <color theme="1"/>
        <rFont val="宋体"/>
        <charset val="134"/>
      </rPr>
      <t>年所得税，减半征收第</t>
    </r>
    <r>
      <rPr>
        <sz val="11"/>
        <color theme="1"/>
        <rFont val="Times New Roman"/>
        <charset val="134"/>
      </rPr>
      <t>4-6</t>
    </r>
    <r>
      <rPr>
        <sz val="11"/>
        <color theme="1"/>
        <rFont val="宋体"/>
        <charset val="134"/>
      </rPr>
      <t>年所得税</t>
    </r>
  </si>
  <si>
    <r>
      <rPr>
        <sz val="12"/>
        <color theme="1"/>
        <rFont val="宋体"/>
        <charset val="134"/>
      </rPr>
      <t>西部地区的鼓励类产业企业</t>
    </r>
  </si>
  <si>
    <r>
      <rPr>
        <sz val="12"/>
        <rFont val="Times New Roman"/>
        <charset val="134"/>
      </rPr>
      <t>2030</t>
    </r>
    <r>
      <rPr>
        <sz val="12"/>
        <rFont val="宋体"/>
        <charset val="134"/>
      </rPr>
      <t>年前所得税适用</t>
    </r>
    <r>
      <rPr>
        <sz val="12"/>
        <rFont val="Times New Roman"/>
        <charset val="134"/>
      </rPr>
      <t>15%</t>
    </r>
    <r>
      <rPr>
        <sz val="12"/>
        <rFont val="宋体"/>
        <charset val="134"/>
      </rPr>
      <t>税率</t>
    </r>
  </si>
  <si>
    <r>
      <rPr>
        <sz val="11"/>
        <color theme="1"/>
        <rFont val="Times New Roman"/>
        <charset val="134"/>
      </rPr>
      <t>2030</t>
    </r>
    <r>
      <rPr>
        <sz val="11"/>
        <color theme="1"/>
        <rFont val="宋体"/>
        <charset val="134"/>
      </rPr>
      <t>年前适用</t>
    </r>
    <r>
      <rPr>
        <sz val="11"/>
        <color theme="1"/>
        <rFont val="Times New Roman"/>
        <charset val="134"/>
      </rPr>
      <t>15%</t>
    </r>
    <r>
      <rPr>
        <sz val="11"/>
        <color theme="1"/>
        <rFont val="宋体"/>
        <charset val="134"/>
      </rPr>
      <t>所得税税率</t>
    </r>
  </si>
  <si>
    <t>所得税税率</t>
  </si>
  <si>
    <t>引用折现率计算表</t>
  </si>
  <si>
    <r>
      <rPr>
        <b/>
        <sz val="12"/>
        <rFont val="宋体"/>
        <charset val="134"/>
      </rPr>
      <t>城市维护建设税税率</t>
    </r>
  </si>
  <si>
    <r>
      <rPr>
        <sz val="11"/>
        <color theme="1"/>
        <rFont val="宋体"/>
        <charset val="134"/>
      </rPr>
      <t>所在地为市区的，税率</t>
    </r>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所在地为县城、镇的，税率为</t>
    </r>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所在地不在市区、县城或镇的，税率为</t>
    </r>
    <r>
      <rPr>
        <sz val="11"/>
        <color theme="1"/>
        <rFont val="Times New Roman"/>
        <charset val="134"/>
      </rPr>
      <t>1%</t>
    </r>
    <r>
      <rPr>
        <sz val="11"/>
        <color theme="1"/>
        <rFont val="宋体"/>
        <charset val="134"/>
      </rPr>
      <t>。</t>
    </r>
  </si>
  <si>
    <r>
      <rPr>
        <sz val="12"/>
        <color theme="1"/>
        <rFont val="宋体"/>
        <charset val="134"/>
      </rPr>
      <t>城建税税率（市区）</t>
    </r>
  </si>
  <si>
    <r>
      <rPr>
        <sz val="12"/>
        <color theme="1"/>
        <rFont val="宋体"/>
        <charset val="134"/>
      </rPr>
      <t>城建税税率（县城、镇）</t>
    </r>
  </si>
  <si>
    <r>
      <rPr>
        <sz val="12"/>
        <color theme="1"/>
        <rFont val="宋体"/>
        <charset val="134"/>
      </rPr>
      <t>城建税税率（其他）</t>
    </r>
  </si>
  <si>
    <r>
      <rPr>
        <b/>
        <sz val="12"/>
        <rFont val="宋体"/>
        <charset val="134"/>
      </rPr>
      <t>教育费附加费</t>
    </r>
  </si>
  <si>
    <r>
      <rPr>
        <sz val="12"/>
        <rFont val="宋体"/>
        <charset val="134"/>
      </rPr>
      <t>教育费附加</t>
    </r>
    <r>
      <rPr>
        <sz val="12"/>
        <rFont val="Times New Roman"/>
        <charset val="134"/>
      </rPr>
      <t>=</t>
    </r>
    <r>
      <rPr>
        <sz val="12"/>
        <rFont val="宋体"/>
        <charset val="134"/>
      </rPr>
      <t>（实际缴纳的增值税</t>
    </r>
    <r>
      <rPr>
        <sz val="12"/>
        <rFont val="Times New Roman"/>
        <charset val="134"/>
      </rPr>
      <t>+</t>
    </r>
    <r>
      <rPr>
        <sz val="12"/>
        <rFont val="宋体"/>
        <charset val="134"/>
      </rPr>
      <t>营业税</t>
    </r>
    <r>
      <rPr>
        <sz val="12"/>
        <rFont val="Times New Roman"/>
        <charset val="134"/>
      </rPr>
      <t>+</t>
    </r>
    <r>
      <rPr>
        <sz val="12"/>
        <rFont val="宋体"/>
        <charset val="134"/>
      </rPr>
      <t>消费税）</t>
    </r>
    <r>
      <rPr>
        <sz val="12"/>
        <rFont val="Times New Roman"/>
        <charset val="134"/>
      </rPr>
      <t>×</t>
    </r>
    <r>
      <rPr>
        <b/>
        <sz val="12"/>
        <rFont val="Times New Roman"/>
        <charset val="134"/>
      </rPr>
      <t>3%</t>
    </r>
    <r>
      <rPr>
        <sz val="11"/>
        <color theme="1"/>
        <rFont val="Times New Roman"/>
        <charset val="134"/>
      </rPr>
      <t xml:space="preserve">
</t>
    </r>
    <r>
      <rPr>
        <sz val="11"/>
        <color theme="1"/>
        <rFont val="宋体"/>
        <charset val="134"/>
      </rPr>
      <t>地方教育附加</t>
    </r>
    <r>
      <rPr>
        <sz val="11"/>
        <color theme="1"/>
        <rFont val="Times New Roman"/>
        <charset val="134"/>
      </rPr>
      <t>=</t>
    </r>
    <r>
      <rPr>
        <sz val="11"/>
        <color theme="1"/>
        <rFont val="宋体"/>
        <charset val="134"/>
      </rPr>
      <t>（实际缴纳的增值税</t>
    </r>
    <r>
      <rPr>
        <sz val="11"/>
        <color theme="1"/>
        <rFont val="Times New Roman"/>
        <charset val="134"/>
      </rPr>
      <t>+</t>
    </r>
    <r>
      <rPr>
        <sz val="11"/>
        <color theme="1"/>
        <rFont val="宋体"/>
        <charset val="134"/>
      </rPr>
      <t>营业税</t>
    </r>
    <r>
      <rPr>
        <sz val="11"/>
        <color theme="1"/>
        <rFont val="Times New Roman"/>
        <charset val="134"/>
      </rPr>
      <t>+</t>
    </r>
    <r>
      <rPr>
        <sz val="11"/>
        <color theme="1"/>
        <rFont val="宋体"/>
        <charset val="134"/>
      </rPr>
      <t>消费税）</t>
    </r>
    <r>
      <rPr>
        <sz val="11"/>
        <color theme="1"/>
        <rFont val="Times New Roman"/>
        <charset val="134"/>
      </rPr>
      <t>×</t>
    </r>
    <r>
      <rPr>
        <b/>
        <sz val="12"/>
        <rFont val="Times New Roman"/>
        <charset val="134"/>
      </rPr>
      <t>2%</t>
    </r>
  </si>
  <si>
    <r>
      <rPr>
        <sz val="12"/>
        <color theme="1"/>
        <rFont val="宋体"/>
        <charset val="134"/>
      </rPr>
      <t>教育附加税率</t>
    </r>
  </si>
  <si>
    <r>
      <rPr>
        <sz val="12"/>
        <color theme="1"/>
        <rFont val="宋体"/>
        <charset val="134"/>
      </rPr>
      <t>地方教育附加税率</t>
    </r>
  </si>
  <si>
    <r>
      <rPr>
        <b/>
        <sz val="12"/>
        <rFont val="宋体"/>
        <charset val="134"/>
      </rPr>
      <t>城镇土地使用税</t>
    </r>
  </si>
  <si>
    <r>
      <rPr>
        <sz val="12"/>
        <color theme="1"/>
        <rFont val="宋体"/>
        <charset val="134"/>
      </rPr>
      <t>应税土地面积</t>
    </r>
  </si>
  <si>
    <r>
      <rPr>
        <sz val="11"/>
        <color theme="1"/>
        <rFont val="宋体"/>
        <charset val="134"/>
      </rPr>
      <t>㎡</t>
    </r>
  </si>
  <si>
    <r>
      <rPr>
        <sz val="12"/>
        <color theme="1"/>
        <rFont val="宋体"/>
        <charset val="134"/>
      </rPr>
      <t>城镇土地使用税税收标准</t>
    </r>
  </si>
  <si>
    <r>
      <rPr>
        <sz val="11"/>
        <color theme="1"/>
        <rFont val="宋体"/>
        <charset val="134"/>
      </rPr>
      <t>元</t>
    </r>
    <r>
      <rPr>
        <sz val="11"/>
        <color theme="1"/>
        <rFont val="Times New Roman"/>
        <charset val="134"/>
      </rPr>
      <t>/</t>
    </r>
    <r>
      <rPr>
        <sz val="11"/>
        <color theme="1"/>
        <rFont val="宋体"/>
        <charset val="134"/>
      </rPr>
      <t>㎡</t>
    </r>
  </si>
  <si>
    <t>估值参数</t>
  </si>
  <si>
    <t>折现率</t>
  </si>
  <si>
    <t>非经营性资产</t>
  </si>
  <si>
    <t>非经营性负债</t>
  </si>
  <si>
    <t>长期股权投资价值</t>
  </si>
  <si>
    <t>基准日往来账处理方式</t>
  </si>
  <si>
    <t>手动输入/自动计算</t>
  </si>
  <si>
    <t>溢余资产</t>
  </si>
  <si>
    <r>
      <rPr>
        <b/>
        <sz val="12"/>
        <color theme="1"/>
        <rFont val="宋体"/>
        <charset val="134"/>
      </rPr>
      <t>维护板块</t>
    </r>
  </si>
  <si>
    <t>全投资模式选择</t>
  </si>
  <si>
    <t>不含建设期利息</t>
  </si>
  <si>
    <t>取费基数</t>
  </si>
  <si>
    <t>静态总投资</t>
  </si>
  <si>
    <t>动态总投资</t>
  </si>
  <si>
    <t>其他</t>
  </si>
  <si>
    <r>
      <rPr>
        <b/>
        <sz val="14"/>
        <color rgb="FFFF0000"/>
        <rFont val="宋体"/>
        <charset val="134"/>
      </rPr>
      <t>参数表中标黄为相对固定模块，成本、收入板块中非固定模块建议设置成可选可添加形式，由操作者自定义名称、计算方式及具体参数进行计算。</t>
    </r>
  </si>
  <si>
    <r>
      <rPr>
        <b/>
        <sz val="14"/>
        <color rgb="FFFF0000"/>
        <rFont val="宋体"/>
        <charset val="134"/>
      </rPr>
      <t>所有收入、成本参数需同步勾选对应增值税税率（自动生成含税和不含税价）</t>
    </r>
  </si>
  <si>
    <t>新建及改扩建项目资金筹措表</t>
  </si>
  <si>
    <t>项目</t>
  </si>
  <si>
    <t>2020年</t>
  </si>
  <si>
    <t>2021年</t>
  </si>
  <si>
    <t>2022年</t>
  </si>
  <si>
    <t>2025年</t>
  </si>
  <si>
    <t>2026年</t>
  </si>
  <si>
    <t>2027年</t>
  </si>
  <si>
    <t>2028年</t>
  </si>
  <si>
    <t>2029年</t>
  </si>
  <si>
    <t>2030年</t>
  </si>
  <si>
    <t>2031年</t>
  </si>
  <si>
    <t>2032年</t>
  </si>
  <si>
    <t>2033年</t>
  </si>
  <si>
    <t>2034年</t>
  </si>
  <si>
    <t>2035年</t>
  </si>
  <si>
    <t>2036年</t>
  </si>
  <si>
    <t>2037年</t>
  </si>
  <si>
    <t>2038年</t>
  </si>
  <si>
    <t>2039年</t>
  </si>
  <si>
    <t>2040年</t>
  </si>
  <si>
    <t>2041年</t>
  </si>
  <si>
    <t>2042年</t>
  </si>
  <si>
    <t>2043年</t>
  </si>
  <si>
    <t>2044年</t>
  </si>
  <si>
    <t>施工进度安排</t>
  </si>
  <si>
    <t>期末投产比例</t>
  </si>
  <si>
    <t>动态总投资（自主投资,含流动资金）</t>
  </si>
  <si>
    <t>建设期利息</t>
  </si>
  <si>
    <t>资金来源</t>
  </si>
  <si>
    <t>资本金</t>
  </si>
  <si>
    <t>2.1.1</t>
  </si>
  <si>
    <t>用于建设投资</t>
  </si>
  <si>
    <t>2.1.2</t>
  </si>
  <si>
    <t>用于流动资金</t>
  </si>
  <si>
    <t>债务资金</t>
  </si>
  <si>
    <t>2.2.1</t>
  </si>
  <si>
    <t>2.2.2</t>
  </si>
  <si>
    <t>用于建设期利息</t>
  </si>
  <si>
    <r>
      <rPr>
        <sz val="12"/>
        <color theme="1"/>
        <rFont val="微软雅黑"/>
        <charset val="134"/>
      </rPr>
      <t>应计利息</t>
    </r>
    <r>
      <rPr>
        <sz val="10"/>
        <color theme="1"/>
        <rFont val="微软雅黑"/>
        <charset val="134"/>
      </rPr>
      <t>（隐藏）</t>
    </r>
  </si>
  <si>
    <t>2.2.3</t>
  </si>
  <si>
    <t>营运资本变动</t>
  </si>
  <si>
    <t>建设期</t>
  </si>
  <si>
    <t>流动资产</t>
  </si>
  <si>
    <t>货币资金</t>
  </si>
  <si>
    <t>应收账款</t>
  </si>
  <si>
    <t>存货</t>
  </si>
  <si>
    <t>其他流动资产（留抵税额）</t>
  </si>
  <si>
    <t>流动负债</t>
  </si>
  <si>
    <t>预收款项</t>
  </si>
  <si>
    <t>应付职工薪酬</t>
  </si>
  <si>
    <t>应交税费</t>
  </si>
  <si>
    <t>应付股利</t>
  </si>
  <si>
    <t>其他流动负债</t>
  </si>
  <si>
    <t>借款还本付息表（新增及改扩建项目长期借款）</t>
  </si>
  <si>
    <t>期初借款累计</t>
  </si>
  <si>
    <t>当期借款</t>
  </si>
  <si>
    <t>当期还本付息</t>
  </si>
  <si>
    <r>
      <rPr>
        <sz val="12"/>
        <color theme="1"/>
        <rFont val="微软雅黑"/>
        <charset val="134"/>
      </rPr>
      <t>其中：还本</t>
    </r>
    <r>
      <rPr>
        <sz val="12"/>
        <color rgb="FFFF0000"/>
        <rFont val="微软雅黑"/>
        <charset val="134"/>
      </rPr>
      <t>（等额本息）</t>
    </r>
  </si>
  <si>
    <t xml:space="preserve">      付息</t>
  </si>
  <si>
    <t>期末借款余额</t>
  </si>
  <si>
    <r>
      <rPr>
        <sz val="12"/>
        <color theme="1"/>
        <rFont val="微软雅黑"/>
        <charset val="134"/>
      </rPr>
      <t>其中：还本</t>
    </r>
    <r>
      <rPr>
        <sz val="12"/>
        <color rgb="FF00B050"/>
        <rFont val="微软雅黑"/>
        <charset val="134"/>
      </rPr>
      <t>（等额本金）</t>
    </r>
  </si>
  <si>
    <t>借款还本付息表（新建及改扩建项目流动资金借款）</t>
  </si>
  <si>
    <t>其中：还本</t>
  </si>
  <si>
    <t>借款还本付息表（基准日长期借款）</t>
  </si>
  <si>
    <t>借款还本付息表（短期借款）</t>
  </si>
  <si>
    <r>
      <rPr>
        <b/>
        <sz val="12"/>
        <color theme="1"/>
        <rFont val="微软雅黑"/>
        <charset val="134"/>
      </rPr>
      <t>借款还本付息表（</t>
    </r>
    <r>
      <rPr>
        <b/>
        <sz val="12"/>
        <color rgb="FFFF0000"/>
        <rFont val="微软雅黑"/>
        <charset val="134"/>
      </rPr>
      <t>汇总—等额本息</t>
    </r>
    <r>
      <rPr>
        <b/>
        <sz val="12"/>
        <color theme="1"/>
        <rFont val="微软雅黑"/>
        <charset val="134"/>
      </rPr>
      <t>）</t>
    </r>
  </si>
  <si>
    <r>
      <rPr>
        <b/>
        <sz val="12"/>
        <color theme="1"/>
        <rFont val="微软雅黑"/>
        <charset val="134"/>
      </rPr>
      <t>借款还本付息表（</t>
    </r>
    <r>
      <rPr>
        <b/>
        <sz val="12"/>
        <color rgb="FF00B050"/>
        <rFont val="微软雅黑"/>
        <charset val="134"/>
      </rPr>
      <t>汇总—等额本金</t>
    </r>
    <r>
      <rPr>
        <b/>
        <sz val="12"/>
        <color theme="1"/>
        <rFont val="微软雅黑"/>
        <charset val="134"/>
      </rPr>
      <t>）</t>
    </r>
  </si>
  <si>
    <t>当期借款引用“资金筹措表”对应年份债务资金数据</t>
  </si>
  <si>
    <t>等额本金/等额本息/其他，作为参数输入表—投融资相关板块中的可选择情形，匹配如下不同的计算方法</t>
  </si>
  <si>
    <t>（1）等额本息情形下，还本付息采用年金公式先得出每年的 本金+利息 之和（固定值），再结合各年度期初及当期借款金额计算出各年度应付利息，进而推算出每年偿还的本金。</t>
  </si>
  <si>
    <t>（2）等额本金情形下，每年的本金偿还为固定值（建设期借款总额/还款年限），再结合各年度期初及当期借款金额计算出各年度应付利息。</t>
  </si>
  <si>
    <t>（3）其他情形下，运营期每年的本金偿还设置为手动输入项</t>
  </si>
  <si>
    <t>中间过程引用（隐藏）</t>
  </si>
  <si>
    <t>动态总投资（自主投资_不含流动资金）</t>
  </si>
  <si>
    <t>可抵扣进项税</t>
  </si>
  <si>
    <t>固定资产原值=项目动态总投资（自主投资_不含流动资金）-可抵扣进项税-无形资产原值=项目静态总投资-建设补贴+建设期利息-可抵扣进项税-无形资产原值</t>
  </si>
  <si>
    <t>折旧方式</t>
  </si>
  <si>
    <t>直线法/其他</t>
  </si>
  <si>
    <t>无形资产及固定资产均包含在动态总投资中</t>
  </si>
  <si>
    <t>折旧年限</t>
  </si>
  <si>
    <t>残值率</t>
  </si>
  <si>
    <t>长期待摊费用（第1年）</t>
  </si>
  <si>
    <t>长期待摊费用=计入长期待摊的成本项/（1+增值税税率）</t>
  </si>
  <si>
    <t>长期待摊费用（第6年）</t>
  </si>
  <si>
    <t>长期待摊费用（第11年）</t>
  </si>
  <si>
    <t>长期待摊费用（第16年）</t>
  </si>
  <si>
    <t>长期待摊费用（第21年）</t>
  </si>
  <si>
    <t>摊销方式</t>
  </si>
  <si>
    <t>摊销年限</t>
  </si>
  <si>
    <t>大修及更新重置资产原值</t>
  </si>
  <si>
    <t>折旧摊销表-资本金（新增部分）</t>
  </si>
  <si>
    <t>期末固定资产原值</t>
  </si>
  <si>
    <t>当期新增投资额</t>
  </si>
  <si>
    <t>新增投资额累计</t>
  </si>
  <si>
    <t>期末在建工程</t>
  </si>
  <si>
    <t>当期固定资产折旧</t>
  </si>
  <si>
    <t>建设期第1年投产</t>
  </si>
  <si>
    <t>建设期第2年投产</t>
  </si>
  <si>
    <t>完全投产</t>
  </si>
  <si>
    <t>固定资产折旧累计</t>
  </si>
  <si>
    <t>期末固定资产净值</t>
  </si>
  <si>
    <t>期初长期待摊费用</t>
  </si>
  <si>
    <t>当期新增长期待摊费用</t>
  </si>
  <si>
    <t>当期摊销</t>
  </si>
  <si>
    <t>期末长期待摊费用</t>
  </si>
  <si>
    <t>期末无形资产原值</t>
  </si>
  <si>
    <t>当期新增无形资产投资</t>
  </si>
  <si>
    <t>新增无形资产投资额累计</t>
  </si>
  <si>
    <r>
      <rPr>
        <sz val="11"/>
        <color theme="1"/>
        <rFont val="微软雅黑"/>
        <charset val="134"/>
      </rPr>
      <t>期末在建工程</t>
    </r>
    <r>
      <rPr>
        <sz val="9"/>
        <color theme="1"/>
        <rFont val="微软雅黑"/>
        <charset val="134"/>
      </rPr>
      <t>（无形资产）</t>
    </r>
  </si>
  <si>
    <t>当期无形资产摊销</t>
  </si>
  <si>
    <t>无形资产摊销累计</t>
  </si>
  <si>
    <t>期末无形资产净值</t>
  </si>
  <si>
    <t>期初大修及更新重置资产净值</t>
  </si>
  <si>
    <t>当期新增大修及更新重置资产</t>
  </si>
  <si>
    <t>当期大修及更新重置资产折旧摊销</t>
  </si>
  <si>
    <t>大修及更新重置资产折旧摊销累计</t>
  </si>
  <si>
    <t>期末大修及更新重置资产净值</t>
  </si>
  <si>
    <t>当期折旧摊销小计</t>
  </si>
  <si>
    <t>期末各类资产净值</t>
  </si>
  <si>
    <t>折旧摊销表-资本金（存量部分）</t>
  </si>
  <si>
    <t>固定资产本期折旧</t>
  </si>
  <si>
    <t>累计折旧</t>
  </si>
  <si>
    <t>期末净值</t>
  </si>
  <si>
    <t>长期待摊本期摊销</t>
  </si>
  <si>
    <t>期初无形资产净值</t>
  </si>
  <si>
    <t>无形资产本期摊销</t>
  </si>
  <si>
    <t>折旧摊销表-资本金（新增+存量合计）</t>
  </si>
  <si>
    <t>当期折旧摊销合计</t>
  </si>
  <si>
    <t>上述为“直线法”下折旧摊销计算，若在参数输入表中下拉菜单选择为“其他”，设置为手动输入各年份折旧额/摊销额</t>
  </si>
  <si>
    <r>
      <rPr>
        <sz val="11"/>
        <color rgb="FFFF0000"/>
        <rFont val="微软雅黑"/>
        <charset val="134"/>
      </rPr>
      <t>全投资情形下的固定资产原值=</t>
    </r>
    <r>
      <rPr>
        <b/>
        <sz val="11"/>
        <color rgb="FFFF0000"/>
        <rFont val="微软雅黑"/>
        <charset val="134"/>
      </rPr>
      <t>静态总投资（自主投资）</t>
    </r>
    <r>
      <rPr>
        <sz val="11"/>
        <color rgb="FFFF0000"/>
        <rFont val="微软雅黑"/>
        <charset val="134"/>
      </rPr>
      <t>-可抵扣进项税-无形资产原值；资本金情形下的固定资产原值采用的是“</t>
    </r>
    <r>
      <rPr>
        <b/>
        <sz val="11"/>
        <color rgb="FFFF0000"/>
        <rFont val="微软雅黑"/>
        <charset val="134"/>
      </rPr>
      <t>项目动态总投资（自主投资_不含流动资金）</t>
    </r>
    <r>
      <rPr>
        <sz val="11"/>
        <color rgb="FFFF0000"/>
        <rFont val="微软雅黑"/>
        <charset val="134"/>
      </rPr>
      <t>”</t>
    </r>
  </si>
  <si>
    <t>折旧方式、残值率及折旧年限与资本金情形保持一致</t>
  </si>
  <si>
    <t>全投资的折旧摊销判定条件同资本金</t>
  </si>
  <si>
    <r>
      <rPr>
        <b/>
        <i/>
        <sz val="11"/>
        <color rgb="FFC00000"/>
        <rFont val="微软雅黑"/>
        <charset val="134"/>
      </rPr>
      <t>折旧摊销表-全投资-新建部分</t>
    </r>
    <r>
      <rPr>
        <b/>
        <i/>
        <sz val="9"/>
        <color rgb="FFC00000"/>
        <rFont val="微软雅黑"/>
        <charset val="134"/>
      </rPr>
      <t>（不含建设期利息）</t>
    </r>
  </si>
  <si>
    <r>
      <rPr>
        <sz val="11"/>
        <color theme="1"/>
        <rFont val="微软雅黑"/>
        <charset val="134"/>
      </rPr>
      <t>期末固定资产原值</t>
    </r>
    <r>
      <rPr>
        <sz val="9"/>
        <color theme="1"/>
        <rFont val="微软雅黑"/>
        <charset val="134"/>
      </rPr>
      <t>（全投资）</t>
    </r>
  </si>
  <si>
    <r>
      <rPr>
        <sz val="11"/>
        <color theme="1"/>
        <rFont val="微软雅黑"/>
        <charset val="134"/>
      </rPr>
      <t>当期新增投资额</t>
    </r>
    <r>
      <rPr>
        <sz val="9"/>
        <color theme="1"/>
        <rFont val="微软雅黑"/>
        <charset val="134"/>
      </rPr>
      <t>（全投资）</t>
    </r>
  </si>
  <si>
    <r>
      <rPr>
        <sz val="11"/>
        <color theme="1"/>
        <rFont val="微软雅黑"/>
        <charset val="134"/>
      </rPr>
      <t>新增投资额累计</t>
    </r>
    <r>
      <rPr>
        <sz val="9"/>
        <color theme="1"/>
        <rFont val="微软雅黑"/>
        <charset val="134"/>
      </rPr>
      <t>（全投资）</t>
    </r>
  </si>
  <si>
    <r>
      <rPr>
        <b/>
        <sz val="11"/>
        <color theme="1"/>
        <rFont val="微软雅黑"/>
        <charset val="134"/>
      </rPr>
      <t>当期固定资产折旧</t>
    </r>
    <r>
      <rPr>
        <b/>
        <sz val="9"/>
        <color theme="1"/>
        <rFont val="微软雅黑"/>
        <charset val="134"/>
      </rPr>
      <t>（全投资）</t>
    </r>
  </si>
  <si>
    <r>
      <rPr>
        <sz val="11"/>
        <color theme="1"/>
        <rFont val="微软雅黑"/>
        <charset val="134"/>
      </rPr>
      <t>期末固定资产净值</t>
    </r>
    <r>
      <rPr>
        <sz val="9"/>
        <color theme="1"/>
        <rFont val="微软雅黑"/>
        <charset val="134"/>
      </rPr>
      <t>（全投资）</t>
    </r>
  </si>
  <si>
    <r>
      <rPr>
        <b/>
        <sz val="11"/>
        <color theme="1"/>
        <rFont val="微软雅黑"/>
        <charset val="134"/>
      </rPr>
      <t>当期折旧摊销</t>
    </r>
    <r>
      <rPr>
        <b/>
        <sz val="9"/>
        <color theme="1"/>
        <rFont val="微软雅黑"/>
        <charset val="134"/>
      </rPr>
      <t>（全投资）</t>
    </r>
  </si>
  <si>
    <r>
      <rPr>
        <b/>
        <sz val="11"/>
        <color theme="1"/>
        <rFont val="微软雅黑"/>
        <charset val="134"/>
      </rPr>
      <t>期末各类资产净值</t>
    </r>
    <r>
      <rPr>
        <b/>
        <sz val="9"/>
        <color theme="1"/>
        <rFont val="微软雅黑"/>
        <charset val="134"/>
      </rPr>
      <t>（全投资）</t>
    </r>
  </si>
  <si>
    <t>折旧摊销表-全投资（存量部分）</t>
  </si>
  <si>
    <t>折旧摊销表-全投资（新增+存量合计）</t>
  </si>
  <si>
    <t>成本费用表-资本金</t>
  </si>
  <si>
    <t>一</t>
  </si>
  <si>
    <t>生产经营成本</t>
  </si>
  <si>
    <t>生产成本</t>
  </si>
  <si>
    <t>材料费</t>
  </si>
  <si>
    <t>1.2</t>
  </si>
  <si>
    <t>维修费</t>
  </si>
  <si>
    <t>1.3</t>
  </si>
  <si>
    <t>生产人员薪酬及福利</t>
  </si>
  <si>
    <t>1.4</t>
  </si>
  <si>
    <t>长期待摊费用当期摊销</t>
  </si>
  <si>
    <t>1.5</t>
  </si>
  <si>
    <t>营业相关资产折旧及摊销</t>
  </si>
  <si>
    <t>1.6</t>
  </si>
  <si>
    <t>1.7</t>
  </si>
  <si>
    <t>1.8</t>
  </si>
  <si>
    <t>销售费用</t>
  </si>
  <si>
    <t>管理费用</t>
  </si>
  <si>
    <t xml:space="preserve">保险费 </t>
  </si>
  <si>
    <t>研发费用</t>
  </si>
  <si>
    <t>财务费用</t>
  </si>
  <si>
    <t>长期借款利息</t>
  </si>
  <si>
    <t>短期借款利息</t>
  </si>
  <si>
    <t>流动资金借款利息</t>
  </si>
  <si>
    <t>二</t>
  </si>
  <si>
    <t>营业外支出</t>
  </si>
  <si>
    <t>成本费用表-全投资</t>
  </si>
  <si>
    <r>
      <rPr>
        <b/>
        <sz val="12"/>
        <color theme="1"/>
        <rFont val="微软雅黑"/>
        <charset val="134"/>
      </rPr>
      <t>生产经营成本</t>
    </r>
    <r>
      <rPr>
        <b/>
        <sz val="10"/>
        <color theme="1"/>
        <rFont val="微软雅黑"/>
        <charset val="134"/>
      </rPr>
      <t>（全投资）</t>
    </r>
  </si>
  <si>
    <r>
      <rPr>
        <sz val="12"/>
        <color theme="1"/>
        <rFont val="微软雅黑"/>
        <charset val="134"/>
      </rPr>
      <t>营业相关资产折旧及摊销</t>
    </r>
    <r>
      <rPr>
        <sz val="10"/>
        <color theme="1"/>
        <rFont val="微软雅黑"/>
        <charset val="134"/>
      </rPr>
      <t>（全投资）</t>
    </r>
  </si>
  <si>
    <t>成本现金支出表</t>
  </si>
  <si>
    <t>生产经营现金支出合计</t>
  </si>
  <si>
    <t>生产相关现金支出</t>
  </si>
  <si>
    <t>长期待摊实际支出</t>
  </si>
  <si>
    <t>销售费用现金支出</t>
  </si>
  <si>
    <t>管理费用现金支出</t>
  </si>
  <si>
    <t>研发费用现金支出</t>
  </si>
  <si>
    <t>营业外现金支出</t>
  </si>
  <si>
    <t>【成本费用表】中各项成本在参数输入完成后自动生成“不含增值税成本”，直接按照时间序列导入到本表中</t>
  </si>
  <si>
    <t>【成本现金支出表】中各项成本在参数输入完成后自动生成“含增值税现金流”，直接按照时间序列导入到本表中</t>
  </si>
  <si>
    <t>全投资模式较资本金模式在固定资产折旧有调整，剔除建设期利息对固定资产原值的影响</t>
  </si>
  <si>
    <t>标黄部分为相对固定模块，适用于所有项目</t>
  </si>
  <si>
    <t>收入表</t>
  </si>
  <si>
    <t>2023年12月</t>
  </si>
  <si>
    <t>营业收入</t>
  </si>
  <si>
    <t>发电销售收入</t>
  </si>
  <si>
    <t>保障内交易电量</t>
  </si>
  <si>
    <t>市场化交易电量</t>
  </si>
  <si>
    <t>现货市场交易电量</t>
  </si>
  <si>
    <r>
      <rPr>
        <sz val="12"/>
        <color theme="1"/>
        <rFont val="微软雅黑"/>
        <charset val="134"/>
      </rPr>
      <t>加权平均电价</t>
    </r>
    <r>
      <rPr>
        <sz val="10"/>
        <color theme="1"/>
        <rFont val="微软雅黑"/>
        <charset val="134"/>
      </rPr>
      <t>（含税）</t>
    </r>
  </si>
  <si>
    <t>元/度</t>
  </si>
  <si>
    <t>电网辅助服务分摊</t>
  </si>
  <si>
    <t>两个细则考核</t>
  </si>
  <si>
    <t xml:space="preserve">       补贴电价</t>
  </si>
  <si>
    <t>可获补贴小时数</t>
  </si>
  <si>
    <t>累计可获补贴小时数</t>
  </si>
  <si>
    <t>绿证核发电量</t>
  </si>
  <si>
    <t>绿证核发张数</t>
  </si>
  <si>
    <t>张</t>
  </si>
  <si>
    <t>绿证单价</t>
  </si>
  <si>
    <t>元/张</t>
  </si>
  <si>
    <t>增值税即征即退</t>
  </si>
  <si>
    <t>其他收入2</t>
  </si>
  <si>
    <t>营业外收入</t>
  </si>
  <si>
    <t>政府一次性运营补贴收入</t>
  </si>
  <si>
    <t>税金表</t>
  </si>
  <si>
    <t>当期实缴增值税</t>
  </si>
  <si>
    <t>增值税销项税</t>
  </si>
  <si>
    <t>营业收入销项税</t>
  </si>
  <si>
    <t>发电收入销项税</t>
  </si>
  <si>
    <t>国补收入销项税</t>
  </si>
  <si>
    <t>绿证交易收入销项税</t>
  </si>
  <si>
    <t>其他收入销项税</t>
  </si>
  <si>
    <t>其他收入2销项税</t>
  </si>
  <si>
    <t>营业外收入销项税</t>
  </si>
  <si>
    <t>（如有）</t>
  </si>
  <si>
    <t>增值税进项税</t>
  </si>
  <si>
    <t>建设投资进项税</t>
  </si>
  <si>
    <t>营业成本进项税</t>
  </si>
  <si>
    <t>3.2.1</t>
  </si>
  <si>
    <t>生产成本进项税</t>
  </si>
  <si>
    <t>计入长期待摊成本项</t>
  </si>
  <si>
    <t>3.2.2</t>
  </si>
  <si>
    <t>销售费用进项税</t>
  </si>
  <si>
    <t>3.2.3</t>
  </si>
  <si>
    <t>管理费用进项税</t>
  </si>
  <si>
    <t>3.2.4</t>
  </si>
  <si>
    <t>研发费用进项税</t>
  </si>
  <si>
    <t>营业外支出进项税</t>
  </si>
  <si>
    <t>大修及更新重置进项税</t>
  </si>
  <si>
    <t>销项税-进项税</t>
  </si>
  <si>
    <t>期末可抵扣进项税余额</t>
  </si>
  <si>
    <t>增值税附加税</t>
  </si>
  <si>
    <t>城市维护建设税</t>
  </si>
  <si>
    <t>教育附加</t>
  </si>
  <si>
    <t>地方教育附加</t>
  </si>
  <si>
    <t>城镇土地使用税</t>
  </si>
  <si>
    <t>增值税即征即退为参数输入表，税金板块可选条件参数，若选择为常规，即没有增值税即征即退优惠，退税比例为0%；若选择即征即退，同步输入即征即退的比例，第n年增值税即征即退金额=第n年当期实缴增值税*退税比例</t>
  </si>
  <si>
    <t>增值税即征即退不需要进行收入分类，固化在其他收益项下</t>
  </si>
  <si>
    <t>标蓝部分为计算中间过程，可不展示</t>
  </si>
  <si>
    <t>应收账款估算表（不含基准日应收账款）</t>
  </si>
  <si>
    <t>参数表中所有需要配置“首年支付比例”的收入项都须进行此步计算</t>
  </si>
  <si>
    <t>营运资金估算表（仅用于现金流量表-估值）</t>
  </si>
  <si>
    <t>最低现金保有量</t>
  </si>
  <si>
    <t>预付账款</t>
  </si>
  <si>
    <t>应收票据</t>
  </si>
  <si>
    <t>其他应收款</t>
  </si>
  <si>
    <t>一年内到期的非流动资产</t>
  </si>
  <si>
    <t>合同资产</t>
  </si>
  <si>
    <t>其他流动资产（不含可抵扣进项）</t>
  </si>
  <si>
    <t>应付账款</t>
  </si>
  <si>
    <t>应付票据</t>
  </si>
  <si>
    <t>预收账款</t>
  </si>
  <si>
    <t>其他应付款</t>
  </si>
  <si>
    <t>合同负债</t>
  </si>
  <si>
    <t>三</t>
  </si>
  <si>
    <t>营运资金</t>
  </si>
  <si>
    <t>四</t>
  </si>
  <si>
    <t>营运资金当期增加额</t>
  </si>
  <si>
    <r>
      <rPr>
        <b/>
        <i/>
        <sz val="12"/>
        <color rgb="FFC00000"/>
        <rFont val="微软雅黑"/>
        <charset val="134"/>
      </rPr>
      <t>利润表</t>
    </r>
    <r>
      <rPr>
        <b/>
        <i/>
        <sz val="12"/>
        <color rgb="FFC00000"/>
        <rFont val="微软雅黑"/>
        <charset val="134"/>
      </rPr>
      <t>-</t>
    </r>
    <r>
      <rPr>
        <b/>
        <i/>
        <sz val="12"/>
        <color rgb="FFC00000"/>
        <rFont val="微软雅黑"/>
        <charset val="134"/>
      </rPr>
      <t>资本金</t>
    </r>
  </si>
  <si>
    <t>一、</t>
  </si>
  <si>
    <t>营业总收入</t>
  </si>
  <si>
    <t>其中：营业收入</t>
  </si>
  <si>
    <r>
      <rPr>
        <sz val="12"/>
        <color theme="1"/>
        <rFont val="微软雅黑"/>
        <charset val="134"/>
      </rPr>
      <t xml:space="preserve"> </t>
    </r>
    <r>
      <rPr>
        <sz val="12"/>
        <color theme="1"/>
        <rFont val="微软雅黑"/>
        <charset val="134"/>
      </rPr>
      <t>△利息收入</t>
    </r>
  </si>
  <si>
    <r>
      <rPr>
        <sz val="12"/>
        <color theme="1"/>
        <rFont val="微软雅黑"/>
        <charset val="134"/>
      </rPr>
      <t xml:space="preserve"> </t>
    </r>
    <r>
      <rPr>
        <sz val="12"/>
        <color theme="1"/>
        <rFont val="微软雅黑"/>
        <charset val="134"/>
      </rPr>
      <t>△已赚保费</t>
    </r>
  </si>
  <si>
    <r>
      <rPr>
        <sz val="12"/>
        <color theme="1"/>
        <rFont val="微软雅黑"/>
        <charset val="134"/>
      </rPr>
      <t xml:space="preserve"> </t>
    </r>
    <r>
      <rPr>
        <sz val="12"/>
        <color theme="1"/>
        <rFont val="微软雅黑"/>
        <charset val="134"/>
      </rPr>
      <t>△手续费及佣金收入</t>
    </r>
  </si>
  <si>
    <t>二、</t>
  </si>
  <si>
    <t>营业总成本</t>
  </si>
  <si>
    <t>其中：营业成本</t>
  </si>
  <si>
    <r>
      <rPr>
        <sz val="12"/>
        <color theme="1"/>
        <rFont val="微软雅黑"/>
        <charset val="134"/>
      </rPr>
      <t xml:space="preserve"> </t>
    </r>
    <r>
      <rPr>
        <sz val="12"/>
        <color theme="1"/>
        <rFont val="微软雅黑"/>
        <charset val="134"/>
      </rPr>
      <t>△利息支出</t>
    </r>
  </si>
  <si>
    <r>
      <rPr>
        <sz val="12"/>
        <color theme="1"/>
        <rFont val="微软雅黑"/>
        <charset val="134"/>
      </rPr>
      <t xml:space="preserve"> </t>
    </r>
    <r>
      <rPr>
        <sz val="12"/>
        <color theme="1"/>
        <rFont val="微软雅黑"/>
        <charset val="134"/>
      </rPr>
      <t>△手续费及佣金支出</t>
    </r>
  </si>
  <si>
    <r>
      <rPr>
        <sz val="12"/>
        <color theme="1"/>
        <rFont val="微软雅黑"/>
        <charset val="134"/>
      </rPr>
      <t xml:space="preserve"> </t>
    </r>
    <r>
      <rPr>
        <sz val="12"/>
        <color theme="1"/>
        <rFont val="微软雅黑"/>
        <charset val="134"/>
      </rPr>
      <t>△退保金</t>
    </r>
  </si>
  <si>
    <r>
      <rPr>
        <sz val="12"/>
        <color theme="1"/>
        <rFont val="微软雅黑"/>
        <charset val="134"/>
      </rPr>
      <t xml:space="preserve"> </t>
    </r>
    <r>
      <rPr>
        <sz val="12"/>
        <color theme="1"/>
        <rFont val="微软雅黑"/>
        <charset val="134"/>
      </rPr>
      <t>△赔付支出净额</t>
    </r>
  </si>
  <si>
    <r>
      <rPr>
        <sz val="12"/>
        <color theme="1"/>
        <rFont val="微软雅黑"/>
        <charset val="134"/>
      </rPr>
      <t xml:space="preserve"> </t>
    </r>
    <r>
      <rPr>
        <sz val="12"/>
        <color theme="1"/>
        <rFont val="微软雅黑"/>
        <charset val="134"/>
      </rPr>
      <t>△提取保险责任准备金净额</t>
    </r>
  </si>
  <si>
    <r>
      <rPr>
        <sz val="12"/>
        <color theme="1"/>
        <rFont val="微软雅黑"/>
        <charset val="134"/>
      </rPr>
      <t xml:space="preserve"> </t>
    </r>
    <r>
      <rPr>
        <sz val="12"/>
        <color theme="1"/>
        <rFont val="微软雅黑"/>
        <charset val="134"/>
      </rPr>
      <t>△保单红利支出</t>
    </r>
  </si>
  <si>
    <r>
      <rPr>
        <sz val="12"/>
        <color theme="1"/>
        <rFont val="微软雅黑"/>
        <charset val="134"/>
      </rPr>
      <t xml:space="preserve"> </t>
    </r>
    <r>
      <rPr>
        <sz val="12"/>
        <color theme="1"/>
        <rFont val="微软雅黑"/>
        <charset val="134"/>
      </rPr>
      <t>△分保费用</t>
    </r>
  </si>
  <si>
    <t>税金及附加</t>
  </si>
  <si>
    <t>其中：利息费用</t>
  </si>
  <si>
    <r>
      <rPr>
        <sz val="12"/>
        <color theme="1"/>
        <rFont val="微软雅黑"/>
        <charset val="134"/>
      </rPr>
      <t xml:space="preserve"> </t>
    </r>
    <r>
      <rPr>
        <sz val="12"/>
        <color theme="1"/>
        <rFont val="微软雅黑"/>
        <charset val="134"/>
      </rPr>
      <t>利息收入</t>
    </r>
  </si>
  <si>
    <r>
      <rPr>
        <sz val="12"/>
        <color theme="1"/>
        <rFont val="微软雅黑"/>
        <charset val="134"/>
      </rPr>
      <t xml:space="preserve"> </t>
    </r>
    <r>
      <rPr>
        <sz val="12"/>
        <color theme="1"/>
        <rFont val="微软雅黑"/>
        <charset val="134"/>
      </rPr>
      <t>汇兑净损失（净收益以</t>
    </r>
    <r>
      <rPr>
        <sz val="12"/>
        <color theme="1"/>
        <rFont val="微软雅黑"/>
        <charset val="134"/>
      </rPr>
      <t>“-”</t>
    </r>
    <r>
      <rPr>
        <sz val="12"/>
        <color theme="1"/>
        <rFont val="微软雅黑"/>
        <charset val="134"/>
      </rPr>
      <t>号填列）</t>
    </r>
  </si>
  <si>
    <t>加：其他收益</t>
  </si>
  <si>
    <r>
      <rPr>
        <sz val="12"/>
        <color theme="1"/>
        <rFont val="微软雅黑"/>
        <charset val="134"/>
      </rPr>
      <t>投资收益（损失以</t>
    </r>
    <r>
      <rPr>
        <sz val="12"/>
        <color theme="1"/>
        <rFont val="微软雅黑"/>
        <charset val="134"/>
      </rPr>
      <t>“-”</t>
    </r>
    <r>
      <rPr>
        <sz val="12"/>
        <color theme="1"/>
        <rFont val="微软雅黑"/>
        <charset val="134"/>
      </rPr>
      <t>号填列）</t>
    </r>
  </si>
  <si>
    <t>其中：对联营企业和合营企业的投资收益</t>
  </si>
  <si>
    <r>
      <rPr>
        <sz val="12"/>
        <color theme="1"/>
        <rFont val="微软雅黑"/>
        <charset val="134"/>
      </rPr>
      <t xml:space="preserve"> </t>
    </r>
    <r>
      <rPr>
        <sz val="12"/>
        <color theme="1"/>
        <rFont val="微软雅黑"/>
        <charset val="134"/>
      </rPr>
      <t>以摊余成本计量的金融资产终止确认收益</t>
    </r>
  </si>
  <si>
    <r>
      <rPr>
        <sz val="12"/>
        <color theme="1"/>
        <rFont val="微软雅黑"/>
        <charset val="134"/>
      </rPr>
      <t xml:space="preserve"> </t>
    </r>
    <r>
      <rPr>
        <sz val="12"/>
        <color theme="1"/>
        <rFont val="微软雅黑"/>
        <charset val="134"/>
      </rPr>
      <t>△汇兑收益（损失以</t>
    </r>
    <r>
      <rPr>
        <sz val="12"/>
        <color theme="1"/>
        <rFont val="微软雅黑"/>
        <charset val="134"/>
      </rPr>
      <t>“-”</t>
    </r>
    <r>
      <rPr>
        <sz val="12"/>
        <color theme="1"/>
        <rFont val="微软雅黑"/>
        <charset val="134"/>
      </rPr>
      <t>号填列）</t>
    </r>
  </si>
  <si>
    <r>
      <rPr>
        <sz val="12"/>
        <color theme="1"/>
        <rFont val="微软雅黑"/>
        <charset val="134"/>
      </rPr>
      <t>净敞口套期收益（损失以</t>
    </r>
    <r>
      <rPr>
        <sz val="12"/>
        <color theme="1"/>
        <rFont val="微软雅黑"/>
        <charset val="134"/>
      </rPr>
      <t>“-”</t>
    </r>
    <r>
      <rPr>
        <sz val="12"/>
        <color theme="1"/>
        <rFont val="微软雅黑"/>
        <charset val="134"/>
      </rPr>
      <t>号填列）</t>
    </r>
  </si>
  <si>
    <r>
      <rPr>
        <sz val="12"/>
        <color theme="1"/>
        <rFont val="微软雅黑"/>
        <charset val="134"/>
      </rPr>
      <t>公允价值变动收益（损失以</t>
    </r>
    <r>
      <rPr>
        <sz val="12"/>
        <color theme="1"/>
        <rFont val="微软雅黑"/>
        <charset val="134"/>
      </rPr>
      <t>“-”</t>
    </r>
    <r>
      <rPr>
        <sz val="12"/>
        <color theme="1"/>
        <rFont val="微软雅黑"/>
        <charset val="134"/>
      </rPr>
      <t>号填列）</t>
    </r>
  </si>
  <si>
    <r>
      <rPr>
        <sz val="12"/>
        <color theme="1"/>
        <rFont val="微软雅黑"/>
        <charset val="134"/>
      </rPr>
      <t>信用减值损失（损失以</t>
    </r>
    <r>
      <rPr>
        <sz val="12"/>
        <color theme="1"/>
        <rFont val="微软雅黑"/>
        <charset val="134"/>
      </rPr>
      <t>“-”</t>
    </r>
    <r>
      <rPr>
        <sz val="12"/>
        <color theme="1"/>
        <rFont val="微软雅黑"/>
        <charset val="134"/>
      </rPr>
      <t>号填列）</t>
    </r>
  </si>
  <si>
    <r>
      <rPr>
        <sz val="12"/>
        <color theme="1"/>
        <rFont val="微软雅黑"/>
        <charset val="134"/>
      </rPr>
      <t>资产减值损失（损失以</t>
    </r>
    <r>
      <rPr>
        <sz val="12"/>
        <color theme="1"/>
        <rFont val="微软雅黑"/>
        <charset val="134"/>
      </rPr>
      <t>“-”</t>
    </r>
    <r>
      <rPr>
        <sz val="12"/>
        <color theme="1"/>
        <rFont val="微软雅黑"/>
        <charset val="134"/>
      </rPr>
      <t>号填列）</t>
    </r>
  </si>
  <si>
    <r>
      <rPr>
        <sz val="12"/>
        <color theme="1"/>
        <rFont val="微软雅黑"/>
        <charset val="134"/>
      </rPr>
      <t>资产处置收益（损失以</t>
    </r>
    <r>
      <rPr>
        <sz val="12"/>
        <color theme="1"/>
        <rFont val="微软雅黑"/>
        <charset val="134"/>
      </rPr>
      <t>“-”</t>
    </r>
    <r>
      <rPr>
        <sz val="12"/>
        <color theme="1"/>
        <rFont val="微软雅黑"/>
        <charset val="134"/>
      </rPr>
      <t>号填列）</t>
    </r>
  </si>
  <si>
    <t>三、</t>
  </si>
  <si>
    <r>
      <rPr>
        <b/>
        <sz val="12"/>
        <color theme="1"/>
        <rFont val="微软雅黑"/>
        <charset val="134"/>
      </rPr>
      <t>营业利润（亏损以</t>
    </r>
    <r>
      <rPr>
        <b/>
        <sz val="12"/>
        <color theme="1"/>
        <rFont val="微软雅黑"/>
        <charset val="134"/>
      </rPr>
      <t>“</t>
    </r>
    <r>
      <rPr>
        <b/>
        <sz val="12"/>
        <color theme="1"/>
        <rFont val="微软雅黑"/>
        <charset val="134"/>
      </rPr>
      <t>－</t>
    </r>
    <r>
      <rPr>
        <b/>
        <sz val="12"/>
        <color theme="1"/>
        <rFont val="微软雅黑"/>
        <charset val="134"/>
      </rPr>
      <t>”</t>
    </r>
    <r>
      <rPr>
        <b/>
        <sz val="12"/>
        <color theme="1"/>
        <rFont val="微软雅黑"/>
        <charset val="134"/>
      </rPr>
      <t>号填列）</t>
    </r>
  </si>
  <si>
    <t>加：营业外收入</t>
  </si>
  <si>
    <t>其中：政府补助</t>
  </si>
  <si>
    <t>减：营业外支出</t>
  </si>
  <si>
    <t>四、</t>
  </si>
  <si>
    <r>
      <rPr>
        <b/>
        <sz val="12"/>
        <color theme="1"/>
        <rFont val="微软雅黑"/>
        <charset val="134"/>
      </rPr>
      <t>利润总额（亏损总额以</t>
    </r>
    <r>
      <rPr>
        <b/>
        <sz val="12"/>
        <color theme="1"/>
        <rFont val="微软雅黑"/>
        <charset val="134"/>
      </rPr>
      <t>“</t>
    </r>
    <r>
      <rPr>
        <b/>
        <sz val="12"/>
        <color theme="1"/>
        <rFont val="微软雅黑"/>
        <charset val="134"/>
      </rPr>
      <t>－</t>
    </r>
    <r>
      <rPr>
        <b/>
        <sz val="12"/>
        <color theme="1"/>
        <rFont val="微软雅黑"/>
        <charset val="134"/>
      </rPr>
      <t>”</t>
    </r>
    <r>
      <rPr>
        <b/>
        <sz val="12"/>
        <color theme="1"/>
        <rFont val="微软雅黑"/>
        <charset val="134"/>
      </rPr>
      <t>号填列）</t>
    </r>
  </si>
  <si>
    <t>弥补以前年度亏损</t>
  </si>
  <si>
    <t>弥补前序第一年亏损</t>
  </si>
  <si>
    <t>弥补前序第二年亏损</t>
  </si>
  <si>
    <t>弥补前序第三年亏损</t>
  </si>
  <si>
    <t>弥补前序第四年亏损</t>
  </si>
  <si>
    <t>弥补前序第五年亏损</t>
  </si>
  <si>
    <t>应税所得额</t>
  </si>
  <si>
    <t>减：所得税费用</t>
  </si>
  <si>
    <t>五、</t>
  </si>
  <si>
    <r>
      <rPr>
        <b/>
        <sz val="12"/>
        <color theme="1"/>
        <rFont val="微软雅黑"/>
        <charset val="134"/>
      </rPr>
      <t>净利润（净亏损以</t>
    </r>
    <r>
      <rPr>
        <b/>
        <sz val="12"/>
        <color theme="1"/>
        <rFont val="微软雅黑"/>
        <charset val="134"/>
      </rPr>
      <t>“</t>
    </r>
    <r>
      <rPr>
        <b/>
        <sz val="12"/>
        <color theme="1"/>
        <rFont val="微软雅黑"/>
        <charset val="134"/>
      </rPr>
      <t>－</t>
    </r>
    <r>
      <rPr>
        <b/>
        <sz val="12"/>
        <color theme="1"/>
        <rFont val="微软雅黑"/>
        <charset val="134"/>
      </rPr>
      <t>”</t>
    </r>
    <r>
      <rPr>
        <b/>
        <sz val="12"/>
        <color theme="1"/>
        <rFont val="微软雅黑"/>
        <charset val="134"/>
      </rPr>
      <t>号填列）</t>
    </r>
  </si>
  <si>
    <t>期初未分配的利润</t>
  </si>
  <si>
    <t>可供分配的利润</t>
  </si>
  <si>
    <t>提取法定盈余公积金</t>
  </si>
  <si>
    <t>期初法定盈余公积金上限缺口</t>
  </si>
  <si>
    <t>期末法定盈余公积金累计</t>
  </si>
  <si>
    <t>可供投资者分配的利润</t>
  </si>
  <si>
    <t>提取任意盈余公积金</t>
  </si>
  <si>
    <t>期末任意盈余公积金累计</t>
  </si>
  <si>
    <t>各投资方利润分配</t>
  </si>
  <si>
    <t>未分配利润</t>
  </si>
  <si>
    <t>期末未分配利润累计</t>
  </si>
  <si>
    <r>
      <rPr>
        <sz val="12"/>
        <color theme="1"/>
        <rFont val="微软雅黑"/>
        <charset val="134"/>
      </rPr>
      <t>息税前利润</t>
    </r>
    <r>
      <rPr>
        <sz val="10"/>
        <color theme="1"/>
        <rFont val="微软雅黑"/>
        <charset val="134"/>
      </rPr>
      <t>（利润总额</t>
    </r>
    <r>
      <rPr>
        <sz val="10"/>
        <color theme="1"/>
        <rFont val="微软雅黑"/>
        <charset val="134"/>
      </rPr>
      <t>+</t>
    </r>
    <r>
      <rPr>
        <sz val="10"/>
        <color theme="1"/>
        <rFont val="微软雅黑"/>
        <charset val="134"/>
      </rPr>
      <t>利息支出）</t>
    </r>
  </si>
  <si>
    <t>息税折旧摊销前利润</t>
  </si>
  <si>
    <r>
      <rPr>
        <sz val="12"/>
        <color theme="1"/>
        <rFont val="微软雅黑"/>
        <charset val="134"/>
      </rPr>
      <t>（一）按所有权归属分类</t>
    </r>
    <r>
      <rPr>
        <sz val="12"/>
        <color theme="1"/>
        <rFont val="微软雅黑"/>
        <charset val="134"/>
      </rPr>
      <t>:</t>
    </r>
  </si>
  <si>
    <t xml:space="preserve"> 归属于母公司所有者的净利润</t>
  </si>
  <si>
    <r>
      <rPr>
        <sz val="12"/>
        <color theme="1"/>
        <rFont val="微软雅黑"/>
        <charset val="134"/>
      </rPr>
      <t>*</t>
    </r>
    <r>
      <rPr>
        <sz val="12"/>
        <color theme="1"/>
        <rFont val="微软雅黑"/>
        <charset val="134"/>
      </rPr>
      <t>少数股东损益</t>
    </r>
  </si>
  <si>
    <r>
      <rPr>
        <sz val="12"/>
        <color theme="1"/>
        <rFont val="微软雅黑"/>
        <charset val="134"/>
      </rPr>
      <t>（二）按经营持续性分类</t>
    </r>
    <r>
      <rPr>
        <sz val="12"/>
        <color theme="1"/>
        <rFont val="微软雅黑"/>
        <charset val="134"/>
      </rPr>
      <t>:</t>
    </r>
  </si>
  <si>
    <t xml:space="preserve"> 持续经营净利润</t>
  </si>
  <si>
    <r>
      <rPr>
        <sz val="12"/>
        <color theme="1"/>
        <rFont val="微软雅黑"/>
        <charset val="134"/>
      </rPr>
      <t xml:space="preserve"> </t>
    </r>
    <r>
      <rPr>
        <sz val="12"/>
        <color theme="1"/>
        <rFont val="微软雅黑"/>
        <charset val="134"/>
      </rPr>
      <t>终止经营净利润</t>
    </r>
  </si>
  <si>
    <t>六、</t>
  </si>
  <si>
    <t>其他综合收益的税后净额</t>
  </si>
  <si>
    <t>归属于母公司所有者的其他综合收益的税后净额</t>
  </si>
  <si>
    <t>（一）不能重分类进损益的其他综合收益</t>
  </si>
  <si>
    <r>
      <rPr>
        <sz val="12"/>
        <color theme="1"/>
        <rFont val="微软雅黑"/>
        <charset val="134"/>
      </rPr>
      <t>1.</t>
    </r>
    <r>
      <rPr>
        <sz val="12"/>
        <color theme="1"/>
        <rFont val="微软雅黑"/>
        <charset val="134"/>
      </rPr>
      <t>重新计量设定受益计划变动额</t>
    </r>
  </si>
  <si>
    <r>
      <rPr>
        <sz val="12"/>
        <color theme="1"/>
        <rFont val="微软雅黑"/>
        <charset val="134"/>
      </rPr>
      <t>2.</t>
    </r>
    <r>
      <rPr>
        <sz val="12"/>
        <color theme="1"/>
        <rFont val="微软雅黑"/>
        <charset val="134"/>
      </rPr>
      <t>权益法下不能转损益的其他综合收益</t>
    </r>
  </si>
  <si>
    <r>
      <rPr>
        <sz val="12"/>
        <color theme="1"/>
        <rFont val="微软雅黑"/>
        <charset val="134"/>
      </rPr>
      <t>3.</t>
    </r>
    <r>
      <rPr>
        <sz val="12"/>
        <color theme="1"/>
        <rFont val="微软雅黑"/>
        <charset val="134"/>
      </rPr>
      <t>其他权益工具投资公允价值变动</t>
    </r>
  </si>
  <si>
    <r>
      <rPr>
        <sz val="12"/>
        <color theme="1"/>
        <rFont val="微软雅黑"/>
        <charset val="134"/>
      </rPr>
      <t>4.</t>
    </r>
    <r>
      <rPr>
        <sz val="12"/>
        <color theme="1"/>
        <rFont val="微软雅黑"/>
        <charset val="134"/>
      </rPr>
      <t>企业自身信用风险公允价值变动</t>
    </r>
  </si>
  <si>
    <r>
      <rPr>
        <sz val="12"/>
        <color theme="1"/>
        <rFont val="微软雅黑"/>
        <charset val="134"/>
      </rPr>
      <t>5.</t>
    </r>
    <r>
      <rPr>
        <sz val="12"/>
        <color theme="1"/>
        <rFont val="微软雅黑"/>
        <charset val="134"/>
      </rPr>
      <t>其他</t>
    </r>
  </si>
  <si>
    <t>（二）将重分类进损益的其他综合收益</t>
  </si>
  <si>
    <r>
      <rPr>
        <sz val="12"/>
        <color theme="1"/>
        <rFont val="微软雅黑"/>
        <charset val="134"/>
      </rPr>
      <t xml:space="preserve">  1.</t>
    </r>
    <r>
      <rPr>
        <sz val="12"/>
        <color theme="1"/>
        <rFont val="微软雅黑"/>
        <charset val="134"/>
      </rPr>
      <t>权益法下可转损益的其他综合收益</t>
    </r>
  </si>
  <si>
    <r>
      <rPr>
        <sz val="12"/>
        <color theme="1"/>
        <rFont val="微软雅黑"/>
        <charset val="134"/>
      </rPr>
      <t xml:space="preserve">  2.</t>
    </r>
    <r>
      <rPr>
        <sz val="12"/>
        <color theme="1"/>
        <rFont val="微软雅黑"/>
        <charset val="134"/>
      </rPr>
      <t>其他债权投资公允价值变动</t>
    </r>
  </si>
  <si>
    <r>
      <rPr>
        <sz val="12"/>
        <color theme="1"/>
        <rFont val="微软雅黑"/>
        <charset val="134"/>
      </rPr>
      <t>☆</t>
    </r>
    <r>
      <rPr>
        <sz val="12"/>
        <color theme="1"/>
        <rFont val="微软雅黑"/>
        <charset val="134"/>
      </rPr>
      <t>3.</t>
    </r>
    <r>
      <rPr>
        <sz val="12"/>
        <color theme="1"/>
        <rFont val="微软雅黑"/>
        <charset val="134"/>
      </rPr>
      <t>可供出售金融资产公允价值变动损益</t>
    </r>
  </si>
  <si>
    <r>
      <rPr>
        <sz val="12"/>
        <color theme="1"/>
        <rFont val="微软雅黑"/>
        <charset val="134"/>
      </rPr>
      <t xml:space="preserve">  4.</t>
    </r>
    <r>
      <rPr>
        <sz val="12"/>
        <color theme="1"/>
        <rFont val="微软雅黑"/>
        <charset val="134"/>
      </rPr>
      <t>金融资产重分类计入其他综合收益的金额</t>
    </r>
  </si>
  <si>
    <r>
      <rPr>
        <sz val="12"/>
        <color theme="1"/>
        <rFont val="微软雅黑"/>
        <charset val="134"/>
      </rPr>
      <t>☆</t>
    </r>
    <r>
      <rPr>
        <sz val="12"/>
        <color theme="1"/>
        <rFont val="微软雅黑"/>
        <charset val="134"/>
      </rPr>
      <t>5.</t>
    </r>
    <r>
      <rPr>
        <sz val="12"/>
        <color theme="1"/>
        <rFont val="微软雅黑"/>
        <charset val="134"/>
      </rPr>
      <t>持有至到期投资重分类为可供出售金融资产损益</t>
    </r>
  </si>
  <si>
    <r>
      <rPr>
        <sz val="12"/>
        <color theme="1"/>
        <rFont val="微软雅黑"/>
        <charset val="134"/>
      </rPr>
      <t xml:space="preserve">  6.</t>
    </r>
    <r>
      <rPr>
        <sz val="12"/>
        <color theme="1"/>
        <rFont val="微软雅黑"/>
        <charset val="134"/>
      </rPr>
      <t>其他债权投资信用减值准备</t>
    </r>
  </si>
  <si>
    <r>
      <rPr>
        <sz val="12"/>
        <color theme="1"/>
        <rFont val="微软雅黑"/>
        <charset val="134"/>
      </rPr>
      <t xml:space="preserve">  7.</t>
    </r>
    <r>
      <rPr>
        <sz val="12"/>
        <color theme="1"/>
        <rFont val="微软雅黑"/>
        <charset val="134"/>
      </rPr>
      <t>现金流量套期储备（现金流量套期损益的有效部分）</t>
    </r>
  </si>
  <si>
    <r>
      <rPr>
        <sz val="12"/>
        <color theme="1"/>
        <rFont val="微软雅黑"/>
        <charset val="134"/>
      </rPr>
      <t xml:space="preserve">  8.</t>
    </r>
    <r>
      <rPr>
        <sz val="12"/>
        <color theme="1"/>
        <rFont val="微软雅黑"/>
        <charset val="134"/>
      </rPr>
      <t>外币财务报表折算差额</t>
    </r>
  </si>
  <si>
    <r>
      <rPr>
        <sz val="12"/>
        <color theme="1"/>
        <rFont val="微软雅黑"/>
        <charset val="134"/>
      </rPr>
      <t xml:space="preserve">  9.</t>
    </r>
    <r>
      <rPr>
        <sz val="12"/>
        <color theme="1"/>
        <rFont val="微软雅黑"/>
        <charset val="134"/>
      </rPr>
      <t>其他</t>
    </r>
  </si>
  <si>
    <r>
      <rPr>
        <sz val="12"/>
        <color theme="1"/>
        <rFont val="微软雅黑"/>
        <charset val="134"/>
      </rPr>
      <t>*</t>
    </r>
    <r>
      <rPr>
        <sz val="12"/>
        <color theme="1"/>
        <rFont val="微软雅黑"/>
        <charset val="134"/>
      </rPr>
      <t>归属于少数股东的其他综合收益的税后净额</t>
    </r>
  </si>
  <si>
    <t>七、</t>
  </si>
  <si>
    <t>综合收益总额</t>
  </si>
  <si>
    <t>归属于母公司所有者的综合收益总额</t>
  </si>
  <si>
    <r>
      <rPr>
        <sz val="12"/>
        <color theme="1"/>
        <rFont val="微软雅黑"/>
        <charset val="134"/>
      </rPr>
      <t>*</t>
    </r>
    <r>
      <rPr>
        <sz val="12"/>
        <color theme="1"/>
        <rFont val="微软雅黑"/>
        <charset val="134"/>
      </rPr>
      <t>归属于少数股东的综合收益总额</t>
    </r>
  </si>
  <si>
    <t>八、</t>
  </si>
  <si>
    <t>每股收益：</t>
  </si>
  <si>
    <t>基本每股收益</t>
  </si>
  <si>
    <t>稀释每股收益</t>
  </si>
  <si>
    <t>利润表里的收入、成本均为不含税价，引用自收入税金表、成本费用表</t>
  </si>
  <si>
    <r>
      <rPr>
        <sz val="16"/>
        <color rgb="FFC00000"/>
        <rFont val="微软雅黑"/>
        <charset val="134"/>
      </rPr>
      <t>弥补以前年度亏损，按照</t>
    </r>
    <r>
      <rPr>
        <sz val="16"/>
        <color rgb="FFC00000"/>
        <rFont val="微软雅黑"/>
        <charset val="134"/>
      </rPr>
      <t>5</t>
    </r>
    <r>
      <rPr>
        <sz val="16"/>
        <color rgb="FFC00000"/>
        <rFont val="微软雅黑"/>
        <charset val="134"/>
      </rPr>
      <t>年为期限，滚动计算。</t>
    </r>
  </si>
  <si>
    <t>除标蓝部分外，所有内容都需展示，标蓝内容为计算中间过程</t>
  </si>
  <si>
    <t>现金流量表-资本金</t>
  </si>
  <si>
    <t>现金流入</t>
  </si>
  <si>
    <t>回收流动资金</t>
  </si>
  <si>
    <t>回收资产余值</t>
  </si>
  <si>
    <t>基准日往来账清理</t>
  </si>
  <si>
    <t>现金流出</t>
  </si>
  <si>
    <t>工程建设投资</t>
  </si>
  <si>
    <t>项目资本金</t>
  </si>
  <si>
    <t>长期借款</t>
  </si>
  <si>
    <t>债务性支出</t>
  </si>
  <si>
    <t>长期借款本金偿还</t>
  </si>
  <si>
    <t>流动资金借款本金偿还</t>
  </si>
  <si>
    <t>短期借款本金偿还</t>
  </si>
  <si>
    <t>借款利息支付</t>
  </si>
  <si>
    <t>生产经营支出</t>
  </si>
  <si>
    <t>增值税缴纳</t>
  </si>
  <si>
    <t>营业税金及附加</t>
  </si>
  <si>
    <t>运营期资本性支出</t>
  </si>
  <si>
    <t>税前净现金流量（1-2）</t>
  </si>
  <si>
    <t>累计税前净现金流量</t>
  </si>
  <si>
    <t>企业所得税</t>
  </si>
  <si>
    <t>税后净现金流量（3-5）</t>
  </si>
  <si>
    <t>累计税后净现金流量</t>
  </si>
  <si>
    <t>资本金内部收益率（税前）</t>
  </si>
  <si>
    <t>资本金内部收益率（税后）</t>
  </si>
  <si>
    <t>投资回收期</t>
  </si>
  <si>
    <t>现金流量表中各项收入在参数输入完成后自动生成含税现金流数据直接按照时间序列导入到本表中（含税且考虑滞后支付情形/关联首年支付比例，即本年度实际支付比例＋上年度剩余支付比例）</t>
  </si>
  <si>
    <t>营业收入、其他收入及营业外收入均可根据用户需求自定义添加，前端分类后导入至对应项下，增值税即征即退不需要进行收入分类，固化在其他收益项下</t>
  </si>
  <si>
    <t>标蓝色部分为可隐藏内容</t>
  </si>
  <si>
    <r>
      <rPr>
        <b/>
        <i/>
        <sz val="12"/>
        <color rgb="FFC00000"/>
        <rFont val="微软雅黑"/>
        <charset val="134"/>
      </rPr>
      <t>利润表</t>
    </r>
    <r>
      <rPr>
        <b/>
        <i/>
        <sz val="12"/>
        <color rgb="FFC00000"/>
        <rFont val="微软雅黑"/>
        <charset val="134"/>
      </rPr>
      <t>-</t>
    </r>
    <r>
      <rPr>
        <b/>
        <i/>
        <sz val="12"/>
        <color rgb="FFC00000"/>
        <rFont val="微软雅黑"/>
        <charset val="134"/>
      </rPr>
      <t>全投资</t>
    </r>
  </si>
  <si>
    <t>现金流量表-全投资</t>
  </si>
  <si>
    <t>调整所得税</t>
  </si>
  <si>
    <t>全投资内部收益率（税前）</t>
  </si>
  <si>
    <t>全投资内部收益率（税后）</t>
  </si>
  <si>
    <t>Check</t>
  </si>
  <si>
    <t>现金流量表</t>
  </si>
  <si>
    <t>经营活动产生的现金流量：</t>
  </si>
  <si>
    <t>销售商品、提供劳务收到的现金</t>
  </si>
  <si>
    <t>△客户存款和同业存放款项净增加额</t>
  </si>
  <si>
    <t>△向中央银行借款净增加额</t>
  </si>
  <si>
    <t>△向其他金融机构拆入资金净增加额</t>
  </si>
  <si>
    <t>△收到原保险合同保费取得的现金</t>
  </si>
  <si>
    <t>△收到再保业务现金净额</t>
  </si>
  <si>
    <t>△保户储金及投资款净增加额</t>
  </si>
  <si>
    <t>△处置以公允价值计量且其变动计入当期损益的金融资产净增加额</t>
  </si>
  <si>
    <t>△收取利息、手续费及佣金的现金</t>
  </si>
  <si>
    <t>△拆入资金净增加额</t>
  </si>
  <si>
    <t>△回购业务资金净增加额</t>
  </si>
  <si>
    <t>△代理买卖证券收到的现金净额</t>
  </si>
  <si>
    <t>收到的税费返还</t>
  </si>
  <si>
    <t>收到其他与经营活动有关的现金</t>
  </si>
  <si>
    <t>经营活动现金流入小计</t>
  </si>
  <si>
    <t>购买商品、接受劳务支付的现金</t>
  </si>
  <si>
    <t>△客户贷款及垫款净增加额</t>
  </si>
  <si>
    <t>△存放中央银行和同业款项净增加额</t>
  </si>
  <si>
    <t>△支付原保险合同赔付款项的现金</t>
  </si>
  <si>
    <t>△拆出资金净增加额</t>
  </si>
  <si>
    <t>△支付利息、手续费及佣金的现金</t>
  </si>
  <si>
    <t>△支付保单红利的现金</t>
  </si>
  <si>
    <t>支付给职工及为职工支付的现金</t>
  </si>
  <si>
    <t>支付的各项税费</t>
  </si>
  <si>
    <t>支付其他与经营活动有关的现金</t>
  </si>
  <si>
    <t>经营活动现金流出小计</t>
  </si>
  <si>
    <t>经营活动产生的现金流量净额</t>
  </si>
  <si>
    <t>投资活动产生的现金流量：</t>
  </si>
  <si>
    <t>收回投资收到的现金</t>
  </si>
  <si>
    <t>取得投资收益收到的现金</t>
  </si>
  <si>
    <t>处置固定资产、无形资产和其他长期资产收回的现金净额</t>
  </si>
  <si>
    <t>处置子公司及其他营业单位收到的现金净额</t>
  </si>
  <si>
    <t>收到其他与投资活动有关的现金</t>
  </si>
  <si>
    <t>投资活动现金流入小计</t>
  </si>
  <si>
    <t>购建固定资产、无形资产和其他长期资产支付的现金</t>
  </si>
  <si>
    <t>投资支付的现金</t>
  </si>
  <si>
    <t>△质押贷款净增加额</t>
  </si>
  <si>
    <t>取得子公司及其他营业单位支付的现金净额</t>
  </si>
  <si>
    <t>支付其他与投资活动有关的现金</t>
  </si>
  <si>
    <t>投资活动现金流出小计</t>
  </si>
  <si>
    <t>投资活动产生的现金流量净额</t>
  </si>
  <si>
    <t>筹资活动产生的现金流量：</t>
  </si>
  <si>
    <t>吸收投资收到的现金</t>
  </si>
  <si>
    <t>其中：子公司吸收少数股东投资收到的现金</t>
  </si>
  <si>
    <t>取得借款收到的现金</t>
  </si>
  <si>
    <t>收到其他与筹资活动有关的现金</t>
  </si>
  <si>
    <t>筹资活动现金流入小计</t>
  </si>
  <si>
    <t>偿还债务支付的现金</t>
  </si>
  <si>
    <t>分配股利、利润或偿付利息支付的现金</t>
  </si>
  <si>
    <t>其中：子公司支付给少数股东的股利、利润</t>
  </si>
  <si>
    <t>支付其他与筹资活动有关的现金</t>
  </si>
  <si>
    <t>筹资活动现金流出小计</t>
  </si>
  <si>
    <t>筹资活动产生的现金流量净额</t>
  </si>
  <si>
    <t>汇率变动对现金及现金等价物的影响</t>
  </si>
  <si>
    <t>现金及现金等价物净增加额</t>
  </si>
  <si>
    <t>加：期初现金及现金等价物余额</t>
  </si>
  <si>
    <t>期末现金及现金等价物余额</t>
  </si>
  <si>
    <t>增加IF判定条件：</t>
  </si>
  <si>
    <t xml:space="preserve">（1）若项目为新能源类型：当某年“期末现金及现金等价物余额”&lt;0，给出明显提示（允许用户在参数输入界面填写各年度短期借款当期借款金额及还本金额，再重新生成新的结果）；
</t>
  </si>
  <si>
    <t>（2）若项目为其他类型：试运营期内“期末现金及现金等价物余额”&lt;流动资金（本模型为960万），运营期“期末现金及现金等价物余额”&lt;0，给出明显提示（允许用户在参数输入界面填写各年度短期借款当期借款金额及还本金额，再重新生成新的结果）。</t>
  </si>
  <si>
    <t>本sheet表标黄部分均为手动输入项</t>
  </si>
  <si>
    <t>折现率计算表</t>
  </si>
  <si>
    <t>备注</t>
  </si>
  <si>
    <t>折现率即加权平均资本成本</t>
  </si>
  <si>
    <t>WACC=Ke×E/(D+E)+ Kd×D/(D+E)×(1-T)</t>
  </si>
  <si>
    <t>权益资本成本</t>
  </si>
  <si>
    <t>Ke = Rf+β×RPm+Rc</t>
  </si>
  <si>
    <t>无风险收益率</t>
  </si>
  <si>
    <t>Rf</t>
  </si>
  <si>
    <t>无财务杠杆的Beta</t>
  </si>
  <si>
    <t>βU</t>
  </si>
  <si>
    <t>有财务杠杆的Beta</t>
  </si>
  <si>
    <r>
      <rPr>
        <sz val="12"/>
        <rFont val="Arial Narrow"/>
        <charset val="134"/>
      </rPr>
      <t>βL=</t>
    </r>
    <r>
      <rPr>
        <sz val="12"/>
        <rFont val="宋体"/>
        <charset val="134"/>
      </rPr>
      <t>（</t>
    </r>
    <r>
      <rPr>
        <sz val="12"/>
        <rFont val="Arial Narrow"/>
        <charset val="134"/>
      </rPr>
      <t>1+</t>
    </r>
    <r>
      <rPr>
        <sz val="12"/>
        <rFont val="宋体"/>
        <charset val="134"/>
      </rPr>
      <t>（</t>
    </r>
    <r>
      <rPr>
        <sz val="12"/>
        <rFont val="Arial Narrow"/>
        <charset val="134"/>
      </rPr>
      <t>1-T</t>
    </r>
    <r>
      <rPr>
        <sz val="12"/>
        <rFont val="宋体"/>
        <charset val="134"/>
      </rPr>
      <t>）</t>
    </r>
    <r>
      <rPr>
        <sz val="12"/>
        <rFont val="Arial Narrow"/>
        <charset val="134"/>
      </rPr>
      <t>×D/E</t>
    </r>
    <r>
      <rPr>
        <sz val="12"/>
        <rFont val="宋体"/>
        <charset val="134"/>
      </rPr>
      <t>）</t>
    </r>
    <r>
      <rPr>
        <sz val="12"/>
        <rFont val="Arial Narrow"/>
        <charset val="134"/>
      </rPr>
      <t>×βU</t>
    </r>
  </si>
  <si>
    <t>T</t>
  </si>
  <si>
    <t>市场风险溢价</t>
  </si>
  <si>
    <t>RPm</t>
  </si>
  <si>
    <t>企业特定风险调整系数</t>
  </si>
  <si>
    <t>Rc</t>
  </si>
  <si>
    <t>企业资本结构</t>
  </si>
  <si>
    <t>D/E</t>
  </si>
  <si>
    <t>股权比重</t>
  </si>
  <si>
    <t>E/(D+E)</t>
  </si>
  <si>
    <t>债权比重</t>
  </si>
  <si>
    <t>D/(D+E)</t>
  </si>
  <si>
    <t>债务资本成本</t>
  </si>
  <si>
    <t>Kd</t>
  </si>
  <si>
    <t>非经营性资产与负债</t>
  </si>
  <si>
    <r>
      <rPr>
        <b/>
        <sz val="10"/>
        <rFont val="宋体"/>
        <charset val="134"/>
      </rPr>
      <t>序号</t>
    </r>
    <r>
      <rPr>
        <b/>
        <sz val="10"/>
        <rFont val="Times New Roman"/>
        <charset val="134"/>
      </rPr>
      <t xml:space="preserve"> </t>
    </r>
  </si>
  <si>
    <t>报表科目</t>
  </si>
  <si>
    <t>业务内容</t>
  </si>
  <si>
    <t>账面值（万元）</t>
  </si>
  <si>
    <r>
      <rPr>
        <sz val="10"/>
        <rFont val="宋体"/>
        <charset val="134"/>
      </rPr>
      <t>一</t>
    </r>
  </si>
  <si>
    <t xml:space="preserve">  交易性金融资产</t>
  </si>
  <si>
    <t>默认账面值</t>
  </si>
  <si>
    <t xml:space="preserve">  衍生金融资产</t>
  </si>
  <si>
    <t xml:space="preserve">  应收票据</t>
  </si>
  <si>
    <t>默认0</t>
  </si>
  <si>
    <t xml:space="preserve">  应收账款</t>
  </si>
  <si>
    <t xml:space="preserve">  预付款项</t>
  </si>
  <si>
    <t xml:space="preserve">  其他应收款</t>
  </si>
  <si>
    <t xml:space="preserve">  持有待售资产</t>
  </si>
  <si>
    <t xml:space="preserve">  存货</t>
  </si>
  <si>
    <t xml:space="preserve">  一年内到期的非流动资产</t>
  </si>
  <si>
    <t xml:space="preserve">  其他流动资产</t>
  </si>
  <si>
    <t xml:space="preserve">  长期应收款</t>
  </si>
  <si>
    <t xml:space="preserve">  递延所得税资产</t>
  </si>
  <si>
    <t xml:space="preserve">  其他非流动资产</t>
  </si>
  <si>
    <t xml:space="preserve">  交易性金融负债</t>
  </si>
  <si>
    <t xml:space="preserve">  衍生金融负债</t>
  </si>
  <si>
    <t xml:space="preserve">  应付票据</t>
  </si>
  <si>
    <t xml:space="preserve">  应付账款</t>
  </si>
  <si>
    <t xml:space="preserve">  预收款项</t>
  </si>
  <si>
    <t xml:space="preserve">  应付职工薪酬</t>
  </si>
  <si>
    <t xml:space="preserve">  应交税费</t>
  </si>
  <si>
    <t xml:space="preserve">  其他应付款</t>
  </si>
  <si>
    <t xml:space="preserve">  持有待售负债</t>
  </si>
  <si>
    <t xml:space="preserve">  其他流动负债</t>
  </si>
  <si>
    <t xml:space="preserve">  长期应付款</t>
  </si>
  <si>
    <t xml:space="preserve">  长期应付职工薪酬</t>
  </si>
  <si>
    <t xml:space="preserve">  预计负债</t>
  </si>
  <si>
    <t xml:space="preserve">  递延收益</t>
  </si>
  <si>
    <t xml:space="preserve">  递延所得税负债</t>
  </si>
  <si>
    <t xml:space="preserve">  其他非流动负债</t>
  </si>
  <si>
    <t>......</t>
  </si>
  <si>
    <t>长期股权投资</t>
  </si>
  <si>
    <t>被投资单位名称</t>
  </si>
  <si>
    <t>股东全部权益评估值</t>
  </si>
  <si>
    <t>持股比例
（%）</t>
  </si>
  <si>
    <t>长投评估价值</t>
  </si>
  <si>
    <t>XX公司</t>
  </si>
  <si>
    <t>减：长期股权投资减值准备</t>
  </si>
  <si>
    <t>长期股权投资评估净额</t>
  </si>
  <si>
    <t>注：本表测算的是单独评估的长期股权价值；如长期股权的收益已经纳入未来预测，则不需要再测算；</t>
  </si>
  <si>
    <t>基准日往来账处理（手动输入）</t>
  </si>
  <si>
    <t>应收类</t>
  </si>
  <si>
    <t>期初余额</t>
  </si>
  <si>
    <t>当期减少</t>
  </si>
  <si>
    <t>期末余额</t>
  </si>
  <si>
    <t>预付款项</t>
  </si>
  <si>
    <t>长期应收款</t>
  </si>
  <si>
    <t xml:space="preserve">  应收小计</t>
  </si>
  <si>
    <t>应付类</t>
  </si>
  <si>
    <t>长期应付款</t>
  </si>
  <si>
    <t xml:space="preserve">  应付小计</t>
  </si>
  <si>
    <t>应收减少额-应付减少额</t>
  </si>
  <si>
    <t>资产变动-负债变动</t>
  </si>
  <si>
    <t>其中：</t>
  </si>
  <si>
    <t>销售商品相关</t>
  </si>
  <si>
    <t>本表标黄部分均为手动输入项</t>
  </si>
  <si>
    <t>基准日往来账处理（自动计算）</t>
  </si>
  <si>
    <t>资产合计</t>
  </si>
  <si>
    <t xml:space="preserve">  货币资金</t>
  </si>
  <si>
    <t>△结算备付金</t>
  </si>
  <si>
    <t>△拆出资金</t>
  </si>
  <si>
    <t>☆以公允价值计量且其变动计入当期损益的金融资产</t>
  </si>
  <si>
    <t xml:space="preserve">  应收款项融资</t>
  </si>
  <si>
    <t>△应收保费</t>
  </si>
  <si>
    <t>△应收分保账款</t>
  </si>
  <si>
    <t>△应收分保合同准备金</t>
  </si>
  <si>
    <t xml:space="preserve">  应收资金集中管理款</t>
  </si>
  <si>
    <t>其中：应收股利</t>
  </si>
  <si>
    <t>△买入返售金融资产</t>
  </si>
  <si>
    <t>其中：原材料</t>
  </si>
  <si>
    <t>库存商品（产成品）</t>
  </si>
  <si>
    <t xml:space="preserve">  合同资产</t>
  </si>
  <si>
    <t>非流动资产</t>
  </si>
  <si>
    <t>△发放贷款和垫款</t>
  </si>
  <si>
    <t xml:space="preserve">  债权投资</t>
  </si>
  <si>
    <t>☆可供出售金融资产</t>
  </si>
  <si>
    <t xml:space="preserve">  其他债权投资</t>
  </si>
  <si>
    <t>☆持有至到期投资</t>
  </si>
  <si>
    <t xml:space="preserve">  长期股权投资</t>
  </si>
  <si>
    <t xml:space="preserve">  其他权益工具投资</t>
  </si>
  <si>
    <t xml:space="preserve">  其他非流动金融资产</t>
  </si>
  <si>
    <t xml:space="preserve">  投资性房地产</t>
  </si>
  <si>
    <t xml:space="preserve">  固定资产</t>
  </si>
  <si>
    <t>其中：固定资产原价</t>
  </si>
  <si>
    <t xml:space="preserve">          累计折旧</t>
  </si>
  <si>
    <t xml:space="preserve">          固定资产减值准备</t>
  </si>
  <si>
    <t xml:space="preserve">  在建工程</t>
  </si>
  <si>
    <t xml:space="preserve">  生产性生物资产</t>
  </si>
  <si>
    <t xml:space="preserve">  油气资产</t>
  </si>
  <si>
    <t xml:space="preserve">  使用权资产</t>
  </si>
  <si>
    <t xml:space="preserve">  无形资产</t>
  </si>
  <si>
    <t xml:space="preserve">  开发支出</t>
  </si>
  <si>
    <t xml:space="preserve">  商誉</t>
  </si>
  <si>
    <t xml:space="preserve">  长期待摊费用</t>
  </si>
  <si>
    <t xml:space="preserve">  其中：特准储备物资</t>
  </si>
  <si>
    <t>负债合计</t>
  </si>
  <si>
    <t xml:space="preserve">  短期借款</t>
  </si>
  <si>
    <t>△向中央银行借款</t>
  </si>
  <si>
    <t>△拆入资金</t>
  </si>
  <si>
    <t>☆以公允价值计量且其变动计入当期损益的金融负债</t>
  </si>
  <si>
    <t xml:space="preserve">  合同负债</t>
  </si>
  <si>
    <t>△卖出回购金融资产款</t>
  </si>
  <si>
    <t>△吸收存款及同业存放</t>
  </si>
  <si>
    <t>△代理买卖证券款</t>
  </si>
  <si>
    <t>△代理承销证券款</t>
  </si>
  <si>
    <t>其中：应付工资</t>
  </si>
  <si>
    <t xml:space="preserve">      应付福利费</t>
  </si>
  <si>
    <t xml:space="preserve">      #其中：职工奖励及福利基金</t>
  </si>
  <si>
    <t>其中：应交税金</t>
  </si>
  <si>
    <t>其中：应付股利</t>
  </si>
  <si>
    <t>△应付手续费及佣金</t>
  </si>
  <si>
    <t>△应付分保账款</t>
  </si>
  <si>
    <t xml:space="preserve">  一年内到期的非流动负债</t>
  </si>
  <si>
    <t>非流动负债</t>
  </si>
  <si>
    <t>△保险合同准备金</t>
  </si>
  <si>
    <t xml:space="preserve">  长期借款</t>
  </si>
  <si>
    <t xml:space="preserve">  应付债券</t>
  </si>
  <si>
    <t>其中：优先股</t>
  </si>
  <si>
    <t xml:space="preserve">      永续债</t>
  </si>
  <si>
    <t xml:space="preserve">  租赁负债</t>
  </si>
  <si>
    <t xml:space="preserve">  期初递延收益余额</t>
  </si>
  <si>
    <t xml:space="preserve">  当期新增政府补助金额</t>
  </si>
  <si>
    <t xml:space="preserve">  当期确认递延收益</t>
  </si>
  <si>
    <t>其中：特准储备基金</t>
  </si>
  <si>
    <t>所有者权益（或股东权益）</t>
  </si>
  <si>
    <t xml:space="preserve">  实收资本（或股本）</t>
  </si>
  <si>
    <t>国家资本</t>
  </si>
  <si>
    <t>国有法人资本</t>
  </si>
  <si>
    <t>集体资本</t>
  </si>
  <si>
    <t>民营资本</t>
  </si>
  <si>
    <t>外商资本</t>
  </si>
  <si>
    <t xml:space="preserve"> #减：已归还投资</t>
  </si>
  <si>
    <t xml:space="preserve">  实收资本（或股本）净额</t>
  </si>
  <si>
    <t xml:space="preserve">  其他权益工具</t>
  </si>
  <si>
    <t xml:space="preserve">  资本公积</t>
  </si>
  <si>
    <t xml:space="preserve">  减：库存股</t>
  </si>
  <si>
    <t xml:space="preserve">  其他综合收益</t>
  </si>
  <si>
    <t>其中：外币报表折算差额</t>
  </si>
  <si>
    <t xml:space="preserve">  专项储备</t>
  </si>
  <si>
    <t xml:space="preserve">  盈余公积</t>
  </si>
  <si>
    <t>其中：法定公积金</t>
  </si>
  <si>
    <t xml:space="preserve">      任意公积金</t>
  </si>
  <si>
    <t xml:space="preserve">     #储备基金</t>
  </si>
  <si>
    <t xml:space="preserve">     #企业发展基金</t>
  </si>
  <si>
    <t xml:space="preserve">     #利润归还投资</t>
  </si>
  <si>
    <t>△一般风险准备</t>
  </si>
  <si>
    <t xml:space="preserve">  未分配利润</t>
  </si>
  <si>
    <t xml:space="preserve">  归属于母公司所有者权益（或股东权益）合计</t>
  </si>
  <si>
    <t xml:space="preserve"> *少数股东权益</t>
  </si>
  <si>
    <t>负债和所有者权益合计</t>
  </si>
  <si>
    <t>Check：资产-负债和所有者权益合计</t>
  </si>
  <si>
    <t>各年的资产-负债-所有者权益须=0</t>
  </si>
  <si>
    <t>现金流量表-估值</t>
  </si>
  <si>
    <t>信用减值损失（损失以“-”号填列）</t>
  </si>
  <si>
    <t>加：税后财务费用</t>
  </si>
  <si>
    <t xml:space="preserve">       折旧摊销</t>
  </si>
  <si>
    <t xml:space="preserve">       回收资产余值</t>
  </si>
  <si>
    <t xml:space="preserve">       留抵进项税回流</t>
  </si>
  <si>
    <t>减：运营期资本性支出</t>
  </si>
  <si>
    <t xml:space="preserve">       新建及改扩建投资</t>
  </si>
  <si>
    <t xml:space="preserve">       新增长期待摊支出</t>
  </si>
  <si>
    <t xml:space="preserve">       营运资金净增加</t>
  </si>
  <si>
    <t>企业自由现金流</t>
  </si>
  <si>
    <t>折现期</t>
  </si>
  <si>
    <t>折现系数</t>
  </si>
  <si>
    <t>企业自由现金流净现值</t>
  </si>
  <si>
    <t>减：非经营性负债</t>
  </si>
  <si>
    <t>加：非经营性资产</t>
  </si>
  <si>
    <t xml:space="preserve">       溢余资产</t>
  </si>
  <si>
    <t xml:space="preserve">       单独评估的长期股权价值</t>
  </si>
  <si>
    <t>企业价值</t>
  </si>
  <si>
    <t>股权价值计算方式一：</t>
  </si>
  <si>
    <t xml:space="preserve">  有息负债</t>
  </si>
  <si>
    <t>九、</t>
  </si>
  <si>
    <t xml:space="preserve">  股东全部权益价值</t>
  </si>
  <si>
    <t>股权价值计算方式二：</t>
  </si>
  <si>
    <t>债权自由现金流</t>
  </si>
  <si>
    <t xml:space="preserve">  新增债务</t>
  </si>
  <si>
    <t xml:space="preserve">  债务本金偿还</t>
  </si>
  <si>
    <t xml:space="preserve">  税后财务费用</t>
  </si>
  <si>
    <t>股权自由现金流</t>
  </si>
  <si>
    <t>股权自由现金流净现值</t>
  </si>
  <si>
    <t>十、</t>
  </si>
  <si>
    <t>股东全部权益价值</t>
  </si>
  <si>
    <t>股权价值</t>
  </si>
  <si>
    <t>历史报表收购时点账面货币资金</t>
  </si>
  <si>
    <t>期初现金</t>
  </si>
  <si>
    <t>项目股权自由现金流</t>
  </si>
  <si>
    <t>资本金收益率</t>
  </si>
</sst>
</file>

<file path=xl/styles.xml><?xml version="1.0" encoding="utf-8"?>
<styleSheet xmlns="http://schemas.openxmlformats.org/spreadsheetml/2006/main" xmlns:mc="http://schemas.openxmlformats.org/markup-compatibility/2006" xmlns:xr9="http://schemas.microsoft.com/office/spreadsheetml/2016/revision9" mc:Ignorable="xr9">
  <numFmts count="2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00_);_(* \(#,##0.00\);_(* &quot;-&quot;??_);_(@_)"/>
    <numFmt numFmtId="177" formatCode="_-#,##0_-;\(#,##0\);_-\ \ &quot;-&quot;_-;_-@_-"/>
    <numFmt numFmtId="178" formatCode="0.00_ "/>
    <numFmt numFmtId="179" formatCode="0_ "/>
    <numFmt numFmtId="180" formatCode="yyyy&quot;年&quot;m&quot;月&quot;;@"/>
    <numFmt numFmtId="181" formatCode="0.0000_ "/>
    <numFmt numFmtId="182" formatCode="0.00_);[Red]\(0.00\)"/>
    <numFmt numFmtId="183" formatCode="_ \¥* #,##0.00_ ;_ \¥* \-#,##0.00_ ;_ \¥* &quot;-&quot;??_ ;_ @_ "/>
    <numFmt numFmtId="184" formatCode="0.000%"/>
    <numFmt numFmtId="185" formatCode="_ * #,##0.0000_ ;_ * \-#,##0.0000_ ;_ * &quot;-&quot;??_ ;_ @_ "/>
    <numFmt numFmtId="186" formatCode="#,##0.00_ "/>
    <numFmt numFmtId="187" formatCode="yyyy\-mm"/>
    <numFmt numFmtId="188" formatCode="#,##0.00_);[Red]\(#,##0.00\)"/>
    <numFmt numFmtId="189" formatCode="0.00000_ "/>
    <numFmt numFmtId="190" formatCode="0.000_ "/>
    <numFmt numFmtId="191" formatCode="0.000000000_ "/>
    <numFmt numFmtId="192" formatCode="0.0%"/>
  </numFmts>
  <fonts count="126">
    <font>
      <sz val="11"/>
      <color theme="1"/>
      <name val="宋体"/>
      <charset val="134"/>
      <scheme val="minor"/>
    </font>
    <font>
      <b/>
      <sz val="12"/>
      <color theme="1"/>
      <name val="微软雅黑"/>
      <charset val="134"/>
    </font>
    <font>
      <sz val="12"/>
      <color rgb="FFFF0000"/>
      <name val="微软雅黑"/>
      <charset val="134"/>
    </font>
    <font>
      <b/>
      <sz val="12"/>
      <color rgb="FFFF0000"/>
      <name val="微软雅黑"/>
      <charset val="134"/>
    </font>
    <font>
      <sz val="12"/>
      <color theme="1"/>
      <name val="微软雅黑"/>
      <charset val="134"/>
    </font>
    <font>
      <b/>
      <i/>
      <sz val="12"/>
      <color rgb="FFC00000"/>
      <name val="微软雅黑"/>
      <charset val="134"/>
    </font>
    <font>
      <sz val="16"/>
      <color rgb="FFC00000"/>
      <name val="微软雅黑"/>
      <charset val="134"/>
    </font>
    <font>
      <sz val="12"/>
      <color theme="0" tint="-0.349986266670736"/>
      <name val="微软雅黑"/>
      <charset val="134"/>
    </font>
    <font>
      <sz val="12"/>
      <name val="微软雅黑"/>
      <charset val="134"/>
    </font>
    <font>
      <b/>
      <sz val="12"/>
      <color theme="0" tint="-0.349986266670736"/>
      <name val="微软雅黑"/>
      <charset val="134"/>
    </font>
    <font>
      <b/>
      <sz val="16"/>
      <color rgb="FFC00000"/>
      <name val="微软雅黑"/>
      <charset val="134"/>
    </font>
    <font>
      <sz val="12"/>
      <color theme="1"/>
      <name val="宋体"/>
      <charset val="134"/>
      <scheme val="minor"/>
    </font>
    <font>
      <b/>
      <sz val="11"/>
      <color theme="1"/>
      <name val="宋体"/>
      <charset val="134"/>
      <scheme val="minor"/>
    </font>
    <font>
      <b/>
      <i/>
      <sz val="16"/>
      <color rgb="FFFF0000"/>
      <name val="宋体"/>
      <charset val="134"/>
    </font>
    <font>
      <b/>
      <i/>
      <sz val="16"/>
      <color rgb="FFFF0000"/>
      <name val="Times New Roman"/>
      <charset val="134"/>
    </font>
    <font>
      <b/>
      <sz val="12"/>
      <name val="宋体"/>
      <charset val="134"/>
    </font>
    <font>
      <b/>
      <sz val="12"/>
      <color theme="1"/>
      <name val="宋体"/>
      <charset val="134"/>
      <scheme val="minor"/>
    </font>
    <font>
      <b/>
      <sz val="16"/>
      <name val="宋体"/>
      <charset val="134"/>
    </font>
    <font>
      <b/>
      <sz val="16"/>
      <name val="Times New Roman"/>
      <charset val="134"/>
    </font>
    <font>
      <sz val="12"/>
      <name val="宋体"/>
      <charset val="134"/>
      <scheme val="major"/>
    </font>
    <font>
      <b/>
      <sz val="12"/>
      <name val="Arial Narrow"/>
      <charset val="134"/>
    </font>
    <font>
      <sz val="12"/>
      <name val="Arial Narrow"/>
      <charset val="134"/>
    </font>
    <font>
      <b/>
      <sz val="16"/>
      <name val="仿宋_GB2312"/>
      <charset val="134"/>
    </font>
    <font>
      <b/>
      <sz val="10"/>
      <name val="Times New Roman"/>
      <charset val="134"/>
    </font>
    <font>
      <sz val="12"/>
      <name val="Times New Roman"/>
      <charset val="134"/>
    </font>
    <font>
      <b/>
      <sz val="8"/>
      <name val="Times New Roman"/>
      <charset val="134"/>
    </font>
    <font>
      <b/>
      <sz val="10"/>
      <name val="宋体"/>
      <charset val="134"/>
    </font>
    <font>
      <sz val="10"/>
      <name val="Times New Roman"/>
      <charset val="134"/>
    </font>
    <font>
      <sz val="10"/>
      <name val="宋体"/>
      <charset val="134"/>
    </font>
    <font>
      <sz val="10"/>
      <color rgb="FFFF0000"/>
      <name val="宋体"/>
      <charset val="134"/>
    </font>
    <font>
      <b/>
      <sz val="10"/>
      <color indexed="8"/>
      <name val="Arial Narrow"/>
      <charset val="134"/>
    </font>
    <font>
      <b/>
      <sz val="10"/>
      <color indexed="8"/>
      <name val="宋体"/>
      <charset val="134"/>
      <scheme val="major"/>
    </font>
    <font>
      <b/>
      <sz val="10"/>
      <color indexed="8"/>
      <name val="宋体"/>
      <charset val="134"/>
    </font>
    <font>
      <sz val="12"/>
      <name val="宋体"/>
      <charset val="134"/>
    </font>
    <font>
      <sz val="10"/>
      <color indexed="8"/>
      <name val="Arial Narrow"/>
      <charset val="134"/>
    </font>
    <font>
      <sz val="10"/>
      <color indexed="8"/>
      <name val="宋体"/>
      <charset val="134"/>
      <scheme val="major"/>
    </font>
    <font>
      <b/>
      <sz val="10"/>
      <name val="宋体"/>
      <charset val="134"/>
      <scheme val="major"/>
    </font>
    <font>
      <b/>
      <sz val="10"/>
      <name val="Arial Narrow"/>
      <charset val="134"/>
    </font>
    <font>
      <sz val="10"/>
      <name val="宋体"/>
      <charset val="134"/>
      <scheme val="major"/>
    </font>
    <font>
      <sz val="12"/>
      <color rgb="FFC00000"/>
      <name val="微软雅黑"/>
      <charset val="134"/>
    </font>
    <font>
      <sz val="11"/>
      <color theme="1"/>
      <name val="微软雅黑"/>
      <charset val="134"/>
    </font>
    <font>
      <b/>
      <i/>
      <sz val="11"/>
      <color rgb="FFC00000"/>
      <name val="微软雅黑"/>
      <charset val="134"/>
    </font>
    <font>
      <b/>
      <sz val="12"/>
      <color indexed="8"/>
      <name val="微软雅黑"/>
      <charset val="134"/>
    </font>
    <font>
      <sz val="12"/>
      <color indexed="8"/>
      <name val="微软雅黑"/>
      <charset val="134"/>
    </font>
    <font>
      <b/>
      <sz val="12"/>
      <color rgb="FFC00000"/>
      <name val="微软雅黑"/>
      <charset val="134"/>
    </font>
    <font>
      <sz val="12"/>
      <color rgb="FF000000"/>
      <name val="微软雅黑"/>
      <charset val="134"/>
    </font>
    <font>
      <sz val="16"/>
      <color rgb="FFFF0000"/>
      <name val="微软雅黑"/>
      <charset val="134"/>
    </font>
    <font>
      <sz val="14"/>
      <color rgb="FFC00000"/>
      <name val="微软雅黑"/>
      <charset val="134"/>
    </font>
    <font>
      <b/>
      <sz val="14"/>
      <color rgb="FFC00000"/>
      <name val="微软雅黑"/>
      <charset val="134"/>
    </font>
    <font>
      <strike/>
      <sz val="16"/>
      <color rgb="FFC00000"/>
      <name val="微软雅黑"/>
      <charset val="134"/>
    </font>
    <font>
      <sz val="10"/>
      <color theme="1"/>
      <name val="微软雅黑"/>
      <charset val="134"/>
    </font>
    <font>
      <b/>
      <sz val="11"/>
      <color theme="1"/>
      <name val="微软雅黑"/>
      <charset val="134"/>
    </font>
    <font>
      <sz val="11"/>
      <color rgb="FFFF0000"/>
      <name val="微软雅黑"/>
      <charset val="134"/>
    </font>
    <font>
      <sz val="11"/>
      <name val="微软雅黑"/>
      <charset val="134"/>
    </font>
    <font>
      <sz val="11"/>
      <color rgb="FFC00000"/>
      <name val="微软雅黑"/>
      <charset val="134"/>
    </font>
    <font>
      <sz val="11"/>
      <color theme="1"/>
      <name val="Times New Roman"/>
      <charset val="134"/>
    </font>
    <font>
      <sz val="10"/>
      <color theme="1"/>
      <name val="Times New Roman"/>
      <charset val="134"/>
    </font>
    <font>
      <sz val="12"/>
      <color theme="1"/>
      <name val="Times New Roman"/>
      <charset val="134"/>
    </font>
    <font>
      <sz val="11"/>
      <color rgb="FF0070C0"/>
      <name val="Times New Roman"/>
      <charset val="134"/>
    </font>
    <font>
      <sz val="16"/>
      <color theme="1"/>
      <name val="Times New Roman"/>
      <charset val="134"/>
    </font>
    <font>
      <sz val="16"/>
      <name val="微软雅黑"/>
      <charset val="134"/>
    </font>
    <font>
      <b/>
      <sz val="12"/>
      <name val="Times New Roman"/>
      <charset val="134"/>
    </font>
    <font>
      <b/>
      <sz val="12"/>
      <color rgb="FF0070C0"/>
      <name val="宋体"/>
      <charset val="134"/>
    </font>
    <font>
      <b/>
      <sz val="11"/>
      <color theme="1"/>
      <name val="Times New Roman"/>
      <charset val="134"/>
    </font>
    <font>
      <b/>
      <sz val="12"/>
      <color theme="1"/>
      <name val="宋体"/>
      <charset val="134"/>
    </font>
    <font>
      <sz val="12"/>
      <color rgb="FF0070C0"/>
      <name val="Times New Roman"/>
      <charset val="134"/>
    </font>
    <font>
      <sz val="12"/>
      <color rgb="FFFF0000"/>
      <name val="宋体"/>
      <charset val="134"/>
    </font>
    <font>
      <b/>
      <sz val="12"/>
      <color theme="1"/>
      <name val="Times New Roman"/>
      <charset val="134"/>
    </font>
    <font>
      <sz val="12"/>
      <color theme="1"/>
      <name val="宋体"/>
      <charset val="134"/>
    </font>
    <font>
      <sz val="12"/>
      <color rgb="FFFF0000"/>
      <name val="Times New Roman"/>
      <charset val="134"/>
    </font>
    <font>
      <b/>
      <strike/>
      <sz val="11"/>
      <color theme="1"/>
      <name val="Times New Roman"/>
      <charset val="134"/>
    </font>
    <font>
      <b/>
      <strike/>
      <sz val="12"/>
      <color theme="1"/>
      <name val="宋体"/>
      <charset val="134"/>
    </font>
    <font>
      <strike/>
      <sz val="12"/>
      <name val="宋体"/>
      <charset val="134"/>
    </font>
    <font>
      <strike/>
      <sz val="12"/>
      <color rgb="FF0070C0"/>
      <name val="Times New Roman"/>
      <charset val="134"/>
    </font>
    <font>
      <strike/>
      <sz val="12"/>
      <name val="Times New Roman"/>
      <charset val="134"/>
    </font>
    <font>
      <strike/>
      <sz val="11"/>
      <color theme="1"/>
      <name val="Times New Roman"/>
      <charset val="134"/>
    </font>
    <font>
      <sz val="11"/>
      <color theme="1"/>
      <name val="宋体"/>
      <charset val="134"/>
    </font>
    <font>
      <sz val="11"/>
      <name val="Times New Roman"/>
      <charset val="134"/>
    </font>
    <font>
      <sz val="11"/>
      <color rgb="FF0070C0"/>
      <name val="宋体"/>
      <charset val="134"/>
    </font>
    <font>
      <sz val="16"/>
      <name val="Times New Roman"/>
      <charset val="134"/>
    </font>
    <font>
      <strike/>
      <sz val="16"/>
      <color theme="1"/>
      <name val="Times New Roman"/>
      <charset val="134"/>
    </font>
    <font>
      <strike/>
      <sz val="11"/>
      <color theme="1"/>
      <name val="宋体"/>
      <charset val="134"/>
    </font>
    <font>
      <sz val="12"/>
      <color rgb="FF0070C0"/>
      <name val="宋体"/>
      <charset val="134"/>
    </font>
    <font>
      <b/>
      <sz val="16"/>
      <color theme="1"/>
      <name val="Times New Roman"/>
      <charset val="134"/>
    </font>
    <font>
      <sz val="14"/>
      <color theme="1"/>
      <name val="宋体"/>
      <charset val="134"/>
    </font>
    <font>
      <b/>
      <sz val="10"/>
      <color theme="1"/>
      <name val="Times New Roman"/>
      <charset val="134"/>
    </font>
    <font>
      <sz val="11"/>
      <color rgb="FFFF0000"/>
      <name val="Times New Roman"/>
      <charset val="134"/>
    </font>
    <font>
      <b/>
      <sz val="12"/>
      <color rgb="FF0070C0"/>
      <name val="Times New Roman"/>
      <charset val="134"/>
    </font>
    <font>
      <b/>
      <sz val="14"/>
      <color rgb="FFFF0000"/>
      <name val="Times New Roma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
      <sz val="9"/>
      <color theme="1"/>
      <name val="微软雅黑"/>
      <charset val="134"/>
    </font>
    <font>
      <b/>
      <i/>
      <sz val="9"/>
      <color rgb="FFC00000"/>
      <name val="微软雅黑"/>
      <charset val="134"/>
    </font>
    <font>
      <b/>
      <sz val="10"/>
      <color theme="1"/>
      <name val="宋体"/>
      <charset val="134"/>
    </font>
    <font>
      <sz val="11"/>
      <name val="宋体"/>
      <charset val="134"/>
    </font>
    <font>
      <b/>
      <sz val="9"/>
      <color theme="1"/>
      <name val="微软雅黑"/>
      <charset val="134"/>
    </font>
    <font>
      <b/>
      <sz val="10"/>
      <color theme="1"/>
      <name val="微软雅黑"/>
      <charset val="134"/>
    </font>
    <font>
      <sz val="16"/>
      <color theme="1"/>
      <name val="宋体"/>
      <charset val="134"/>
    </font>
    <font>
      <sz val="9"/>
      <color theme="1"/>
      <name val="宋体"/>
      <charset val="134"/>
    </font>
    <font>
      <b/>
      <sz val="12"/>
      <color rgb="FF00B050"/>
      <name val="微软雅黑"/>
      <charset val="134"/>
    </font>
    <font>
      <b/>
      <sz val="14"/>
      <color rgb="FFFF0000"/>
      <name val="宋体"/>
      <charset val="134"/>
    </font>
    <font>
      <sz val="12"/>
      <color rgb="FF00B050"/>
      <name val="微软雅黑"/>
      <charset val="134"/>
    </font>
    <font>
      <b/>
      <sz val="11"/>
      <color rgb="FFFF0000"/>
      <name val="微软雅黑"/>
      <charset val="134"/>
    </font>
    <font>
      <b/>
      <sz val="10"/>
      <color rgb="FFFF0000"/>
      <name val="微软雅黑"/>
      <charset val="134"/>
    </font>
    <font>
      <sz val="9"/>
      <color theme="1"/>
      <name val="Times New Roman"/>
      <charset val="134"/>
    </font>
    <font>
      <b/>
      <sz val="9"/>
      <name val="宋体"/>
      <charset val="134"/>
    </font>
    <font>
      <sz val="9"/>
      <name val="宋体"/>
      <charset val="134"/>
    </font>
  </fonts>
  <fills count="65">
    <fill>
      <patternFill patternType="none"/>
    </fill>
    <fill>
      <patternFill patternType="gray125"/>
    </fill>
    <fill>
      <patternFill patternType="solid">
        <fgColor theme="0" tint="-0.249977111117893"/>
        <bgColor indexed="64"/>
      </patternFill>
    </fill>
    <fill>
      <patternFill patternType="solid">
        <fgColor rgb="FFF4C2ED"/>
        <bgColor indexed="64"/>
      </patternFill>
    </fill>
    <fill>
      <patternFill patternType="solid">
        <fgColor theme="9" tint="0.799981688894314"/>
        <bgColor indexed="64"/>
      </patternFill>
    </fill>
    <fill>
      <patternFill patternType="solid">
        <fgColor rgb="FFFFFF00"/>
        <bgColor indexed="64"/>
      </patternFill>
    </fill>
    <fill>
      <patternFill patternType="solid">
        <fgColor theme="4" tint="0.599993896298105"/>
        <bgColor indexed="64"/>
      </patternFill>
    </fill>
    <fill>
      <patternFill patternType="solid">
        <fgColor theme="4" tint="0.79985961485641"/>
        <bgColor indexed="64"/>
      </patternFill>
    </fill>
    <fill>
      <patternFill patternType="solid">
        <fgColor rgb="FF92D050"/>
        <bgColor indexed="64"/>
      </patternFill>
    </fill>
    <fill>
      <patternFill patternType="solid">
        <fgColor theme="0" tint="-0.149937437055574"/>
        <bgColor indexed="64"/>
      </patternFill>
    </fill>
    <fill>
      <patternFill patternType="solid">
        <fgColor rgb="FFFF0000"/>
        <bgColor indexed="64"/>
      </patternFill>
    </fill>
    <fill>
      <patternFill patternType="solid">
        <fgColor theme="5" tint="0.799981688894314"/>
        <bgColor indexed="64"/>
      </patternFill>
    </fill>
    <fill>
      <patternFill patternType="solid">
        <fgColor rgb="FFE83855"/>
        <bgColor indexed="64"/>
      </patternFill>
    </fill>
    <fill>
      <patternFill patternType="solid">
        <fgColor theme="5" tint="0.399914548173467"/>
        <bgColor indexed="64"/>
      </patternFill>
    </fill>
    <fill>
      <patternFill patternType="solid">
        <fgColor theme="2" tint="-0.0999786370433668"/>
        <bgColor indexed="64"/>
      </patternFill>
    </fill>
    <fill>
      <patternFill patternType="solid">
        <fgColor theme="4" tint="0.799981688894314"/>
        <bgColor indexed="64"/>
      </patternFill>
    </fill>
    <fill>
      <patternFill patternType="solid">
        <fgColor rgb="FFFFC000"/>
        <bgColor indexed="64"/>
      </patternFill>
    </fill>
    <fill>
      <patternFill patternType="solid">
        <fgColor theme="0" tint="-0.0499893185216834"/>
        <bgColor indexed="64"/>
      </patternFill>
    </fill>
    <fill>
      <patternFill patternType="solid">
        <fgColor theme="0"/>
        <bgColor indexed="64"/>
      </patternFill>
    </fill>
    <fill>
      <patternFill patternType="solid">
        <fgColor indexed="9"/>
        <bgColor indexed="64"/>
      </patternFill>
    </fill>
    <fill>
      <patternFill patternType="solid">
        <fgColor theme="5" tint="0.399975585192419"/>
        <bgColor indexed="64"/>
      </patternFill>
    </fill>
    <fill>
      <patternFill patternType="solid">
        <fgColor theme="7" tint="0.599993896298105"/>
        <bgColor indexed="64"/>
      </patternFill>
    </fill>
    <fill>
      <patternFill patternType="solid">
        <fgColor rgb="FFC00000"/>
        <bgColor indexed="64"/>
      </patternFill>
    </fill>
    <fill>
      <patternFill patternType="solid">
        <fgColor theme="4" tint="0.399914548173467"/>
        <bgColor indexed="64"/>
      </patternFill>
    </fill>
    <fill>
      <patternFill patternType="solid">
        <fgColor theme="0" tint="-0.149906918546098"/>
        <bgColor indexed="64"/>
      </patternFill>
    </fill>
    <fill>
      <patternFill patternType="solid">
        <fgColor theme="4" tint="0.399945066682943"/>
        <bgColor indexed="64"/>
      </patternFill>
    </fill>
    <fill>
      <patternFill patternType="solid">
        <fgColor theme="4" tint="0.399975585192419"/>
        <bgColor indexed="64"/>
      </patternFill>
    </fill>
    <fill>
      <patternFill patternType="solid">
        <fgColor theme="2"/>
        <bgColor indexed="64"/>
      </patternFill>
    </fill>
    <fill>
      <patternFill patternType="solid">
        <fgColor theme="5" tint="0.79985961485641"/>
        <bgColor indexed="64"/>
      </patternFill>
    </fill>
    <fill>
      <patternFill patternType="solid">
        <fgColor theme="9" tint="0.79985961485641"/>
        <bgColor indexed="64"/>
      </patternFill>
    </fill>
    <fill>
      <patternFill patternType="solid">
        <fgColor rgb="FF7030A0"/>
        <bgColor indexed="64"/>
      </patternFill>
    </fill>
    <fill>
      <patternFill patternType="solid">
        <fgColor rgb="FF00B050"/>
        <bgColor indexed="64"/>
      </patternFill>
    </fill>
    <fill>
      <patternFill patternType="solid">
        <fgColor theme="7" tint="0.799920651875362"/>
        <bgColor indexed="64"/>
      </patternFill>
    </fill>
    <fill>
      <patternFill patternType="solid">
        <fgColor theme="4" tint="0.39988402966399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3">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right/>
      <top/>
      <bottom style="thin">
        <color auto="1"/>
      </bottom>
      <diagonal/>
    </border>
    <border>
      <left style="medium">
        <color auto="1"/>
      </left>
      <right style="thin">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style="thin">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style="thin">
        <color auto="1"/>
      </bottom>
      <diagonal/>
    </border>
    <border>
      <left style="thin">
        <color auto="1"/>
      </left>
      <right style="medium">
        <color auto="1"/>
      </right>
      <top/>
      <bottom style="thin">
        <color auto="1"/>
      </bottom>
      <diagonal/>
    </border>
    <border>
      <left style="thin">
        <color auto="1"/>
      </left>
      <right style="medium">
        <color auto="1"/>
      </right>
      <top style="thin">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thin">
        <color auto="1"/>
      </right>
      <top/>
      <bottom/>
      <diagonal/>
    </border>
    <border>
      <left style="thin">
        <color auto="1"/>
      </left>
      <right style="thin">
        <color auto="1"/>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top style="thin">
        <color auto="1"/>
      </top>
      <bottom style="thin">
        <color auto="1"/>
      </bottom>
      <diagonal/>
    </border>
    <border>
      <left/>
      <right/>
      <top style="thin">
        <color auto="1"/>
      </top>
      <bottom/>
      <diagonal/>
    </border>
    <border>
      <left style="thin">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0">
    <xf numFmtId="0" fontId="0" fillId="0" borderId="0">
      <alignment vertical="center"/>
    </xf>
    <xf numFmtId="43" fontId="89" fillId="0" borderId="0" applyFont="0" applyFill="0" applyBorder="0" applyAlignment="0" applyProtection="0">
      <alignment vertical="center"/>
    </xf>
    <xf numFmtId="44" fontId="89" fillId="0" borderId="0" applyFont="0" applyFill="0" applyBorder="0" applyAlignment="0" applyProtection="0">
      <alignment vertical="center"/>
    </xf>
    <xf numFmtId="9" fontId="89"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0" fillId="0" borderId="0" applyNumberFormat="0" applyFill="0" applyBorder="0" applyAlignment="0" applyProtection="0">
      <alignment vertical="center"/>
    </xf>
    <xf numFmtId="0" fontId="91" fillId="0" borderId="0" applyNumberFormat="0" applyFill="0" applyBorder="0" applyAlignment="0" applyProtection="0">
      <alignment vertical="center"/>
    </xf>
    <xf numFmtId="0" fontId="0" fillId="34" borderId="45" applyNumberFormat="0" applyFont="0" applyAlignment="0" applyProtection="0">
      <alignment vertical="center"/>
    </xf>
    <xf numFmtId="0" fontId="92" fillId="0" borderId="0" applyNumberFormat="0" applyFill="0" applyBorder="0" applyAlignment="0" applyProtection="0">
      <alignment vertical="center"/>
    </xf>
    <xf numFmtId="0" fontId="93" fillId="0" borderId="0" applyNumberFormat="0" applyFill="0" applyBorder="0" applyAlignment="0" applyProtection="0">
      <alignment vertical="center"/>
    </xf>
    <xf numFmtId="0" fontId="94" fillId="0" borderId="0" applyNumberFormat="0" applyFill="0" applyBorder="0" applyAlignment="0" applyProtection="0">
      <alignment vertical="center"/>
    </xf>
    <xf numFmtId="0" fontId="95" fillId="0" borderId="46" applyNumberFormat="0" applyFill="0" applyAlignment="0" applyProtection="0">
      <alignment vertical="center"/>
    </xf>
    <xf numFmtId="0" fontId="96" fillId="0" borderId="46" applyNumberFormat="0" applyFill="0" applyAlignment="0" applyProtection="0">
      <alignment vertical="center"/>
    </xf>
    <xf numFmtId="0" fontId="97" fillId="0" borderId="47" applyNumberFormat="0" applyFill="0" applyAlignment="0" applyProtection="0">
      <alignment vertical="center"/>
    </xf>
    <xf numFmtId="0" fontId="97" fillId="0" borderId="0" applyNumberFormat="0" applyFill="0" applyBorder="0" applyAlignment="0" applyProtection="0">
      <alignment vertical="center"/>
    </xf>
    <xf numFmtId="0" fontId="98" fillId="35" borderId="48" applyNumberFormat="0" applyAlignment="0" applyProtection="0">
      <alignment vertical="center"/>
    </xf>
    <xf numFmtId="0" fontId="99" fillId="36" borderId="49" applyNumberFormat="0" applyAlignment="0" applyProtection="0">
      <alignment vertical="center"/>
    </xf>
    <xf numFmtId="0" fontId="100" fillId="36" borderId="48" applyNumberFormat="0" applyAlignment="0" applyProtection="0">
      <alignment vertical="center"/>
    </xf>
    <xf numFmtId="0" fontId="101" fillId="37" borderId="50" applyNumberFormat="0" applyAlignment="0" applyProtection="0">
      <alignment vertical="center"/>
    </xf>
    <xf numFmtId="0" fontId="102" fillId="0" borderId="51" applyNumberFormat="0" applyFill="0" applyAlignment="0" applyProtection="0">
      <alignment vertical="center"/>
    </xf>
    <xf numFmtId="0" fontId="103" fillId="0" borderId="52" applyNumberFormat="0" applyFill="0" applyAlignment="0" applyProtection="0">
      <alignment vertical="center"/>
    </xf>
    <xf numFmtId="0" fontId="104" fillId="38" borderId="0" applyNumberFormat="0" applyBorder="0" applyAlignment="0" applyProtection="0">
      <alignment vertical="center"/>
    </xf>
    <xf numFmtId="0" fontId="105" fillId="39" borderId="0" applyNumberFormat="0" applyBorder="0" applyAlignment="0" applyProtection="0">
      <alignment vertical="center"/>
    </xf>
    <xf numFmtId="0" fontId="106" fillId="40" borderId="0" applyNumberFormat="0" applyBorder="0" applyAlignment="0" applyProtection="0">
      <alignment vertical="center"/>
    </xf>
    <xf numFmtId="0" fontId="107" fillId="41" borderId="0" applyNumberFormat="0" applyBorder="0" applyAlignment="0" applyProtection="0">
      <alignment vertical="center"/>
    </xf>
    <xf numFmtId="0" fontId="108" fillId="42" borderId="0" applyNumberFormat="0" applyBorder="0" applyAlignment="0" applyProtection="0">
      <alignment vertical="center"/>
    </xf>
    <xf numFmtId="0" fontId="108" fillId="43" borderId="0" applyNumberFormat="0" applyBorder="0" applyAlignment="0" applyProtection="0">
      <alignment vertical="center"/>
    </xf>
    <xf numFmtId="0" fontId="107" fillId="44" borderId="0" applyNumberFormat="0" applyBorder="0" applyAlignment="0" applyProtection="0">
      <alignment vertical="center"/>
    </xf>
    <xf numFmtId="0" fontId="107" fillId="45" borderId="0" applyNumberFormat="0" applyBorder="0" applyAlignment="0" applyProtection="0">
      <alignment vertical="center"/>
    </xf>
    <xf numFmtId="0" fontId="108" fillId="46" borderId="0" applyNumberFormat="0" applyBorder="0" applyAlignment="0" applyProtection="0">
      <alignment vertical="center"/>
    </xf>
    <xf numFmtId="0" fontId="108" fillId="47" borderId="0" applyNumberFormat="0" applyBorder="0" applyAlignment="0" applyProtection="0">
      <alignment vertical="center"/>
    </xf>
    <xf numFmtId="0" fontId="107" fillId="48" borderId="0" applyNumberFormat="0" applyBorder="0" applyAlignment="0" applyProtection="0">
      <alignment vertical="center"/>
    </xf>
    <xf numFmtId="0" fontId="107" fillId="49" borderId="0" applyNumberFormat="0" applyBorder="0" applyAlignment="0" applyProtection="0">
      <alignment vertical="center"/>
    </xf>
    <xf numFmtId="0" fontId="108" fillId="50" borderId="0" applyNumberFormat="0" applyBorder="0" applyAlignment="0" applyProtection="0">
      <alignment vertical="center"/>
    </xf>
    <xf numFmtId="0" fontId="108" fillId="51" borderId="0" applyNumberFormat="0" applyBorder="0" applyAlignment="0" applyProtection="0">
      <alignment vertical="center"/>
    </xf>
    <xf numFmtId="0" fontId="107" fillId="52" borderId="0" applyNumberFormat="0" applyBorder="0" applyAlignment="0" applyProtection="0">
      <alignment vertical="center"/>
    </xf>
    <xf numFmtId="0" fontId="107" fillId="53" borderId="0" applyNumberFormat="0" applyBorder="0" applyAlignment="0" applyProtection="0">
      <alignment vertical="center"/>
    </xf>
    <xf numFmtId="0" fontId="108" fillId="54" borderId="0" applyNumberFormat="0" applyBorder="0" applyAlignment="0" applyProtection="0">
      <alignment vertical="center"/>
    </xf>
    <xf numFmtId="0" fontId="108" fillId="55" borderId="0" applyNumberFormat="0" applyBorder="0" applyAlignment="0" applyProtection="0">
      <alignment vertical="center"/>
    </xf>
    <xf numFmtId="0" fontId="107" fillId="56" borderId="0" applyNumberFormat="0" applyBorder="0" applyAlignment="0" applyProtection="0">
      <alignment vertical="center"/>
    </xf>
    <xf numFmtId="0" fontId="107" fillId="57" borderId="0" applyNumberFormat="0" applyBorder="0" applyAlignment="0" applyProtection="0">
      <alignment vertical="center"/>
    </xf>
    <xf numFmtId="0" fontId="108" fillId="58" borderId="0" applyNumberFormat="0" applyBorder="0" applyAlignment="0" applyProtection="0">
      <alignment vertical="center"/>
    </xf>
    <xf numFmtId="0" fontId="108" fillId="59" borderId="0" applyNumberFormat="0" applyBorder="0" applyAlignment="0" applyProtection="0">
      <alignment vertical="center"/>
    </xf>
    <xf numFmtId="0" fontId="107" fillId="60" borderId="0" applyNumberFormat="0" applyBorder="0" applyAlignment="0" applyProtection="0">
      <alignment vertical="center"/>
    </xf>
    <xf numFmtId="0" fontId="107" fillId="61" borderId="0" applyNumberFormat="0" applyBorder="0" applyAlignment="0" applyProtection="0">
      <alignment vertical="center"/>
    </xf>
    <xf numFmtId="0" fontId="108" fillId="62" borderId="0" applyNumberFormat="0" applyBorder="0" applyAlignment="0" applyProtection="0">
      <alignment vertical="center"/>
    </xf>
    <xf numFmtId="0" fontId="108" fillId="63" borderId="0" applyNumberFormat="0" applyBorder="0" applyAlignment="0" applyProtection="0">
      <alignment vertical="center"/>
    </xf>
    <xf numFmtId="0" fontId="107" fillId="64" borderId="0" applyNumberFormat="0" applyBorder="0" applyAlignment="0" applyProtection="0">
      <alignment vertical="center"/>
    </xf>
    <xf numFmtId="9" fontId="33" fillId="0" borderId="0"/>
    <xf numFmtId="0" fontId="33" fillId="0" borderId="0"/>
    <xf numFmtId="0" fontId="24" fillId="0" borderId="0"/>
    <xf numFmtId="0" fontId="109" fillId="0" borderId="0"/>
    <xf numFmtId="0" fontId="24" fillId="0" borderId="0"/>
    <xf numFmtId="0" fontId="109" fillId="0" borderId="0"/>
    <xf numFmtId="176" fontId="33" fillId="0" borderId="0"/>
    <xf numFmtId="43" fontId="33" fillId="0" borderId="0" applyFont="0" applyFill="0" applyBorder="0" applyAlignment="0" applyProtection="0"/>
    <xf numFmtId="177" fontId="33" fillId="0" borderId="0"/>
    <xf numFmtId="176" fontId="33" fillId="0" borderId="0"/>
    <xf numFmtId="0" fontId="24" fillId="0" borderId="0"/>
  </cellStyleXfs>
  <cellXfs count="819">
    <xf numFmtId="0" fontId="0" fillId="0" borderId="0" xfId="0">
      <alignment vertical="center"/>
    </xf>
    <xf numFmtId="0" fontId="1" fillId="0" borderId="0" xfId="0" applyFont="1">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4" fillId="0" borderId="0" xfId="0" applyFont="1" applyAlignment="1">
      <alignment horizontal="center" vertical="center"/>
    </xf>
    <xf numFmtId="0" fontId="5" fillId="0" borderId="0" xfId="0" applyFont="1">
      <alignment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6" xfId="0" applyFont="1" applyFill="1" applyBorder="1" applyAlignment="1">
      <alignment horizontal="center" vertical="center"/>
    </xf>
    <xf numFmtId="0" fontId="1" fillId="4" borderId="4" xfId="0" applyFont="1" applyFill="1" applyBorder="1" applyAlignment="1">
      <alignment horizontal="center" vertical="center"/>
    </xf>
    <xf numFmtId="0" fontId="1" fillId="0" borderId="5" xfId="0" applyFont="1" applyBorder="1" applyAlignment="1">
      <alignment horizontal="center" vertical="center"/>
    </xf>
    <xf numFmtId="0" fontId="1" fillId="0" borderId="4" xfId="0" applyFont="1" applyBorder="1">
      <alignment vertical="center"/>
    </xf>
    <xf numFmtId="178" fontId="1" fillId="0" borderId="7" xfId="0" applyNumberFormat="1" applyFont="1" applyBorder="1">
      <alignment vertical="center"/>
    </xf>
    <xf numFmtId="0" fontId="4" fillId="0" borderId="4" xfId="0" applyFont="1" applyBorder="1" applyAlignment="1">
      <alignment horizontal="center" vertical="center"/>
    </xf>
    <xf numFmtId="178" fontId="1" fillId="3" borderId="4" xfId="0" applyNumberFormat="1" applyFont="1" applyFill="1" applyBorder="1">
      <alignment vertical="center"/>
    </xf>
    <xf numFmtId="0" fontId="4" fillId="0" borderId="5" xfId="0" applyFont="1" applyBorder="1" applyAlignment="1">
      <alignment horizontal="center" vertical="center"/>
    </xf>
    <xf numFmtId="0" fontId="4" fillId="0" borderId="4" xfId="0" applyFont="1" applyBorder="1">
      <alignment vertical="center"/>
    </xf>
    <xf numFmtId="178" fontId="4" fillId="0" borderId="7" xfId="0" applyNumberFormat="1" applyFont="1" applyBorder="1">
      <alignment vertical="center"/>
    </xf>
    <xf numFmtId="178" fontId="4" fillId="3" borderId="7" xfId="0" applyNumberFormat="1" applyFont="1" applyFill="1" applyBorder="1">
      <alignment vertical="center"/>
    </xf>
    <xf numFmtId="0" fontId="4" fillId="0" borderId="4" xfId="0" applyFont="1" applyBorder="1" applyAlignment="1">
      <alignment horizontal="left" vertical="center" indent="1"/>
    </xf>
    <xf numFmtId="0" fontId="4" fillId="0" borderId="4" xfId="0" applyFont="1" applyBorder="1" applyAlignment="1">
      <alignment horizontal="left" vertical="center" indent="2"/>
    </xf>
    <xf numFmtId="0" fontId="4" fillId="0" borderId="4" xfId="0" applyFont="1" applyBorder="1" applyAlignment="1">
      <alignment horizontal="left" vertical="center" indent="3"/>
    </xf>
    <xf numFmtId="0" fontId="4" fillId="0" borderId="4" xfId="0" applyFont="1" applyBorder="1" applyAlignment="1">
      <alignment horizontal="left" vertical="center" indent="5"/>
    </xf>
    <xf numFmtId="178" fontId="1" fillId="5" borderId="4" xfId="0" applyNumberFormat="1" applyFont="1" applyFill="1" applyBorder="1">
      <alignment vertical="center"/>
    </xf>
    <xf numFmtId="179" fontId="1" fillId="6" borderId="4" xfId="0" applyNumberFormat="1" applyFont="1" applyFill="1" applyBorder="1" applyAlignment="1" applyProtection="1">
      <alignment horizontal="left" vertical="center"/>
      <protection hidden="1"/>
    </xf>
    <xf numFmtId="0" fontId="4" fillId="6" borderId="4" xfId="0" applyFont="1" applyFill="1" applyBorder="1" applyAlignment="1">
      <alignment horizontal="left" vertical="center" indent="2"/>
    </xf>
    <xf numFmtId="178" fontId="1" fillId="3" borderId="7" xfId="0" applyNumberFormat="1" applyFont="1" applyFill="1" applyBorder="1">
      <alignment vertical="center"/>
    </xf>
    <xf numFmtId="178" fontId="1" fillId="5" borderId="7" xfId="0" applyNumberFormat="1" applyFont="1" applyFill="1" applyBorder="1">
      <alignment vertical="center"/>
    </xf>
    <xf numFmtId="179" fontId="4" fillId="3" borderId="4" xfId="0" applyNumberFormat="1" applyFont="1" applyFill="1" applyBorder="1" applyAlignment="1" applyProtection="1">
      <alignment horizontal="left" vertical="center"/>
      <protection hidden="1"/>
    </xf>
    <xf numFmtId="178" fontId="4" fillId="0" borderId="4" xfId="0" applyNumberFormat="1" applyFont="1" applyBorder="1">
      <alignment vertical="center"/>
    </xf>
    <xf numFmtId="0" fontId="1" fillId="3" borderId="4" xfId="0" applyFont="1" applyFill="1" applyBorder="1">
      <alignment vertical="center"/>
    </xf>
    <xf numFmtId="0" fontId="4" fillId="3" borderId="4" xfId="0" applyFont="1" applyFill="1" applyBorder="1">
      <alignment vertical="center"/>
    </xf>
    <xf numFmtId="180" fontId="1" fillId="3" borderId="4" xfId="0" applyNumberFormat="1" applyFont="1" applyFill="1" applyBorder="1" applyAlignment="1">
      <alignment horizontal="center" vertical="center"/>
    </xf>
    <xf numFmtId="0" fontId="1" fillId="7" borderId="4" xfId="0" applyFont="1" applyFill="1" applyBorder="1" applyAlignment="1">
      <alignment horizontal="center" vertical="center"/>
    </xf>
    <xf numFmtId="178" fontId="1" fillId="0" borderId="4" xfId="0" applyNumberFormat="1" applyFont="1" applyBorder="1">
      <alignment vertical="center"/>
    </xf>
    <xf numFmtId="178" fontId="4" fillId="8" borderId="7" xfId="0" applyNumberFormat="1" applyFont="1" applyFill="1" applyBorder="1">
      <alignment vertical="center"/>
    </xf>
    <xf numFmtId="178" fontId="4" fillId="9" borderId="4" xfId="0" applyNumberFormat="1" applyFont="1" applyFill="1" applyBorder="1">
      <alignment vertical="center"/>
    </xf>
    <xf numFmtId="178" fontId="4" fillId="8" borderId="4" xfId="0" applyNumberFormat="1" applyFont="1" applyFill="1" applyBorder="1">
      <alignment vertical="center"/>
    </xf>
    <xf numFmtId="178" fontId="4" fillId="10" borderId="4" xfId="0" applyNumberFormat="1" applyFont="1" applyFill="1" applyBorder="1">
      <alignment vertical="center"/>
    </xf>
    <xf numFmtId="178" fontId="4" fillId="3" borderId="4" xfId="0" applyNumberFormat="1" applyFont="1" applyFill="1" applyBorder="1">
      <alignment vertical="center"/>
    </xf>
    <xf numFmtId="10" fontId="4" fillId="0" borderId="4" xfId="3" applyNumberFormat="1" applyFont="1" applyFill="1" applyBorder="1">
      <alignment vertical="center"/>
    </xf>
    <xf numFmtId="181" fontId="4" fillId="0" borderId="4" xfId="0" applyNumberFormat="1" applyFont="1" applyBorder="1">
      <alignment vertical="center"/>
    </xf>
    <xf numFmtId="181" fontId="4" fillId="10" borderId="4" xfId="0" applyNumberFormat="1" applyFont="1" applyFill="1" applyBorder="1">
      <alignment vertical="center"/>
    </xf>
    <xf numFmtId="0" fontId="2" fillId="0" borderId="5" xfId="0" applyFont="1" applyBorder="1" applyAlignment="1">
      <alignment horizontal="center" vertical="center"/>
    </xf>
    <xf numFmtId="178" fontId="2" fillId="0" borderId="7" xfId="0" applyNumberFormat="1" applyFont="1" applyBorder="1">
      <alignment vertical="center"/>
    </xf>
    <xf numFmtId="0" fontId="1" fillId="11" borderId="5" xfId="0" applyFont="1" applyFill="1" applyBorder="1" applyAlignment="1">
      <alignment horizontal="center" vertical="center"/>
    </xf>
    <xf numFmtId="0" fontId="3" fillId="11" borderId="4" xfId="0" applyFont="1" applyFill="1" applyBorder="1">
      <alignment vertical="center"/>
    </xf>
    <xf numFmtId="0" fontId="3" fillId="0" borderId="5" xfId="0" applyFont="1" applyBorder="1" applyAlignment="1">
      <alignment horizontal="center" vertical="center"/>
    </xf>
    <xf numFmtId="0" fontId="3" fillId="0" borderId="4" xfId="0" applyFont="1" applyBorder="1">
      <alignment vertical="center"/>
    </xf>
    <xf numFmtId="0" fontId="2" fillId="0" borderId="4"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lignment vertical="center"/>
    </xf>
    <xf numFmtId="178" fontId="4" fillId="0" borderId="10" xfId="0" applyNumberFormat="1" applyFont="1" applyBorder="1">
      <alignment vertical="center"/>
    </xf>
    <xf numFmtId="0" fontId="4" fillId="0" borderId="9" xfId="0" applyFont="1" applyBorder="1" applyAlignment="1">
      <alignment horizontal="center" vertical="center"/>
    </xf>
    <xf numFmtId="0" fontId="6" fillId="0" borderId="0" xfId="0" applyFont="1">
      <alignment vertical="center"/>
    </xf>
    <xf numFmtId="0" fontId="4" fillId="5" borderId="0" xfId="0" applyFont="1" applyFill="1">
      <alignment vertical="center"/>
    </xf>
    <xf numFmtId="0" fontId="4" fillId="5" borderId="11" xfId="0" applyFont="1" applyFill="1" applyBorder="1" applyAlignment="1">
      <alignment horizontal="left" vertical="center"/>
    </xf>
    <xf numFmtId="0" fontId="4" fillId="5" borderId="7" xfId="0" applyFont="1" applyFill="1" applyBorder="1" applyAlignment="1">
      <alignment horizontal="left" vertical="center"/>
    </xf>
    <xf numFmtId="178" fontId="4" fillId="5" borderId="4" xfId="0" applyNumberFormat="1" applyFont="1" applyFill="1" applyBorder="1">
      <alignment vertical="center"/>
    </xf>
    <xf numFmtId="0" fontId="1" fillId="5" borderId="11" xfId="0" applyFont="1" applyFill="1" applyBorder="1" applyAlignment="1">
      <alignment horizontal="left" vertical="center"/>
    </xf>
    <xf numFmtId="0" fontId="1" fillId="5" borderId="7" xfId="0" applyFont="1" applyFill="1" applyBorder="1" applyAlignment="1">
      <alignment horizontal="left" vertical="center"/>
    </xf>
    <xf numFmtId="10" fontId="1" fillId="5" borderId="4" xfId="3" applyNumberFormat="1" applyFont="1" applyFill="1" applyBorder="1">
      <alignment vertical="center"/>
    </xf>
    <xf numFmtId="0" fontId="7" fillId="0" borderId="0" xfId="0" applyFont="1">
      <alignment vertical="center"/>
    </xf>
    <xf numFmtId="0" fontId="3" fillId="5" borderId="5" xfId="0" applyFont="1" applyFill="1" applyBorder="1" applyAlignment="1">
      <alignment horizontal="center" vertical="center"/>
    </xf>
    <xf numFmtId="0" fontId="3" fillId="5" borderId="4" xfId="0" applyFont="1" applyFill="1" applyBorder="1">
      <alignment vertical="center"/>
    </xf>
    <xf numFmtId="0" fontId="4" fillId="5" borderId="4" xfId="0" applyFont="1" applyFill="1" applyBorder="1" applyAlignment="1">
      <alignment horizontal="center" vertical="center"/>
    </xf>
    <xf numFmtId="178" fontId="3" fillId="5" borderId="7" xfId="0" applyNumberFormat="1" applyFont="1" applyFill="1" applyBorder="1">
      <alignment vertical="center"/>
    </xf>
    <xf numFmtId="178" fontId="4" fillId="5" borderId="7" xfId="0" applyNumberFormat="1" applyFont="1" applyFill="1" applyBorder="1">
      <alignment vertical="center"/>
    </xf>
    <xf numFmtId="0" fontId="2" fillId="0" borderId="4" xfId="0" applyFont="1" applyBorder="1" applyAlignment="1">
      <alignment horizontal="left" vertical="center" indent="2"/>
    </xf>
    <xf numFmtId="0" fontId="2" fillId="3" borderId="4" xfId="0" applyFont="1" applyFill="1" applyBorder="1">
      <alignment vertical="center"/>
    </xf>
    <xf numFmtId="182" fontId="2" fillId="3" borderId="4" xfId="0" applyNumberFormat="1" applyFont="1" applyFill="1" applyBorder="1">
      <alignment vertical="center"/>
    </xf>
    <xf numFmtId="0" fontId="4" fillId="0" borderId="4" xfId="0" applyFont="1" applyBorder="1" applyAlignment="1">
      <alignment horizontal="left" vertical="center" indent="4"/>
    </xf>
    <xf numFmtId="0" fontId="4" fillId="0" borderId="4" xfId="0" applyFont="1" applyBorder="1" applyAlignment="1">
      <alignment horizontal="left" vertical="center" indent="6"/>
    </xf>
    <xf numFmtId="178" fontId="2" fillId="3" borderId="7" xfId="0" applyNumberFormat="1" applyFont="1" applyFill="1" applyBorder="1">
      <alignment vertical="center"/>
    </xf>
    <xf numFmtId="178" fontId="4" fillId="12" borderId="7" xfId="0" applyNumberFormat="1" applyFont="1" applyFill="1" applyBorder="1">
      <alignment vertical="center"/>
    </xf>
    <xf numFmtId="178" fontId="4" fillId="10" borderId="7" xfId="0" applyNumberFormat="1" applyFont="1" applyFill="1" applyBorder="1">
      <alignment vertical="center"/>
    </xf>
    <xf numFmtId="0" fontId="8" fillId="10" borderId="4" xfId="0" applyFont="1" applyFill="1" applyBorder="1">
      <alignment vertical="center"/>
    </xf>
    <xf numFmtId="178" fontId="8" fillId="10" borderId="7" xfId="0" applyNumberFormat="1" applyFont="1" applyFill="1" applyBorder="1">
      <alignment vertical="center"/>
    </xf>
    <xf numFmtId="0" fontId="4" fillId="6" borderId="4" xfId="0" applyFont="1" applyFill="1" applyBorder="1" applyAlignment="1">
      <alignment horizontal="left" vertical="center" indent="4"/>
    </xf>
    <xf numFmtId="0" fontId="2" fillId="5" borderId="4" xfId="0" applyFont="1" applyFill="1" applyBorder="1" applyAlignment="1">
      <alignment horizontal="center" vertical="center"/>
    </xf>
    <xf numFmtId="178" fontId="4" fillId="13" borderId="7" xfId="0" applyNumberFormat="1" applyFont="1" applyFill="1" applyBorder="1">
      <alignment vertical="center"/>
    </xf>
    <xf numFmtId="0" fontId="3" fillId="5" borderId="8" xfId="0" applyFont="1" applyFill="1" applyBorder="1" applyAlignment="1">
      <alignment horizontal="center" vertical="center"/>
    </xf>
    <xf numFmtId="0" fontId="3" fillId="5" borderId="9" xfId="0" applyFont="1" applyFill="1" applyBorder="1">
      <alignment vertical="center"/>
    </xf>
    <xf numFmtId="0" fontId="2" fillId="5" borderId="9" xfId="0" applyFont="1" applyFill="1" applyBorder="1" applyAlignment="1">
      <alignment horizontal="center" vertical="center"/>
    </xf>
    <xf numFmtId="178" fontId="3" fillId="5" borderId="10" xfId="0" applyNumberFormat="1" applyFont="1" applyFill="1" applyBorder="1">
      <alignment vertical="center"/>
    </xf>
    <xf numFmtId="0" fontId="7" fillId="0" borderId="0" xfId="0" applyFont="1" applyAlignment="1">
      <alignment horizontal="center" vertical="center"/>
    </xf>
    <xf numFmtId="0" fontId="9" fillId="0" borderId="0" xfId="0" applyFont="1">
      <alignment vertical="center"/>
    </xf>
    <xf numFmtId="178" fontId="7" fillId="0" borderId="0" xfId="0" applyNumberFormat="1" applyFont="1">
      <alignment vertical="center"/>
    </xf>
    <xf numFmtId="0" fontId="10" fillId="0" borderId="0" xfId="0" applyFont="1">
      <alignment vertical="center"/>
    </xf>
    <xf numFmtId="0" fontId="11" fillId="0" borderId="0" xfId="0" applyFont="1">
      <alignment vertical="center"/>
    </xf>
    <xf numFmtId="0" fontId="12" fillId="0" borderId="0" xfId="0" applyFont="1">
      <alignment vertical="center"/>
    </xf>
    <xf numFmtId="183" fontId="13" fillId="0" borderId="0" xfId="2" applyNumberFormat="1" applyFont="1" applyBorder="1" applyAlignment="1">
      <alignment horizontal="left" vertical="center"/>
    </xf>
    <xf numFmtId="183" fontId="14" fillId="0" borderId="0" xfId="2" applyNumberFormat="1" applyFont="1" applyBorder="1" applyAlignment="1">
      <alignment horizontal="left" vertical="center"/>
    </xf>
    <xf numFmtId="0" fontId="1" fillId="3" borderId="2" xfId="0" applyFont="1" applyFill="1" applyBorder="1" applyAlignment="1">
      <alignment horizontal="center" vertical="center"/>
    </xf>
    <xf numFmtId="0" fontId="1" fillId="4" borderId="9" xfId="0" applyFont="1" applyFill="1" applyBorder="1" applyAlignment="1">
      <alignment horizontal="center" vertical="center"/>
    </xf>
    <xf numFmtId="49" fontId="15" fillId="14" borderId="12" xfId="57" applyNumberFormat="1" applyFont="1" applyFill="1" applyBorder="1" applyAlignment="1">
      <alignment horizontal="center" vertical="center"/>
    </xf>
    <xf numFmtId="176" fontId="15" fillId="14" borderId="13" xfId="57" applyNumberFormat="1" applyFont="1" applyFill="1" applyBorder="1" applyAlignment="1">
      <alignment horizontal="center" vertical="center"/>
    </xf>
    <xf numFmtId="0" fontId="1" fillId="0" borderId="13" xfId="0" applyFont="1" applyBorder="1" applyAlignment="1">
      <alignment horizontal="center" vertical="center"/>
    </xf>
    <xf numFmtId="0" fontId="16" fillId="0" borderId="14" xfId="0" applyFont="1" applyBorder="1" applyAlignment="1">
      <alignment horizontal="center" vertical="center"/>
    </xf>
    <xf numFmtId="0" fontId="16" fillId="0" borderId="15" xfId="0" applyFont="1" applyBorder="1">
      <alignment vertical="center"/>
    </xf>
    <xf numFmtId="182" fontId="16" fillId="0" borderId="15" xfId="0" applyNumberFormat="1" applyFont="1" applyBorder="1">
      <alignment vertical="center"/>
    </xf>
    <xf numFmtId="182" fontId="11" fillId="0" borderId="15" xfId="0" applyNumberFormat="1" applyFont="1" applyBorder="1">
      <alignment vertical="center"/>
    </xf>
    <xf numFmtId="0" fontId="11" fillId="0" borderId="16" xfId="0" applyFont="1" applyBorder="1">
      <alignment vertical="center"/>
    </xf>
    <xf numFmtId="0" fontId="11" fillId="0" borderId="0" xfId="0" applyFont="1" applyAlignment="1">
      <alignment horizontal="left" vertical="center" indent="1"/>
    </xf>
    <xf numFmtId="182" fontId="11" fillId="0" borderId="0" xfId="0" applyNumberFormat="1" applyFont="1" applyAlignment="1">
      <alignment horizontal="left" vertical="center" indent="1"/>
    </xf>
    <xf numFmtId="182" fontId="11" fillId="0" borderId="0" xfId="0" applyNumberFormat="1" applyFont="1">
      <alignment vertical="center"/>
    </xf>
    <xf numFmtId="0" fontId="11" fillId="0" borderId="17" xfId="0" applyFont="1" applyBorder="1">
      <alignment vertical="center"/>
    </xf>
    <xf numFmtId="0" fontId="11" fillId="0" borderId="18" xfId="0" applyFont="1" applyBorder="1" applyAlignment="1">
      <alignment horizontal="left" vertical="center" indent="1"/>
    </xf>
    <xf numFmtId="182" fontId="11" fillId="0" borderId="18" xfId="0" applyNumberFormat="1" applyFont="1" applyBorder="1" applyAlignment="1">
      <alignment horizontal="left" vertical="center" indent="1"/>
    </xf>
    <xf numFmtId="182" fontId="11" fillId="0" borderId="18" xfId="0" applyNumberFormat="1" applyFont="1" applyBorder="1">
      <alignment vertical="center"/>
    </xf>
    <xf numFmtId="0" fontId="16" fillId="10" borderId="15" xfId="0" applyFont="1" applyFill="1" applyBorder="1">
      <alignment vertical="center"/>
    </xf>
    <xf numFmtId="0" fontId="11" fillId="10" borderId="0" xfId="0" applyFont="1" applyFill="1" applyAlignment="1">
      <alignment horizontal="left" vertical="center" indent="1"/>
    </xf>
    <xf numFmtId="0" fontId="11" fillId="10" borderId="18" xfId="0" applyFont="1" applyFill="1" applyBorder="1" applyAlignment="1">
      <alignment horizontal="left" vertical="center" indent="1"/>
    </xf>
    <xf numFmtId="0" fontId="16" fillId="15" borderId="14" xfId="0" applyFont="1" applyFill="1" applyBorder="1" applyAlignment="1">
      <alignment horizontal="left" vertical="center"/>
    </xf>
    <xf numFmtId="0" fontId="16" fillId="15" borderId="15" xfId="0" applyFont="1" applyFill="1" applyBorder="1" applyAlignment="1">
      <alignment horizontal="left" vertical="center"/>
    </xf>
    <xf numFmtId="182" fontId="16" fillId="15" borderId="15" xfId="0" applyNumberFormat="1" applyFont="1" applyFill="1" applyBorder="1" applyAlignment="1">
      <alignment horizontal="left" vertical="center"/>
    </xf>
    <xf numFmtId="0" fontId="16" fillId="0" borderId="17" xfId="0" applyFont="1" applyBorder="1">
      <alignment vertical="center"/>
    </xf>
    <xf numFmtId="182" fontId="16" fillId="0" borderId="18" xfId="0" applyNumberFormat="1" applyFont="1" applyBorder="1" applyAlignment="1">
      <alignment horizontal="left" vertical="center" indent="1"/>
    </xf>
    <xf numFmtId="182" fontId="16" fillId="0" borderId="18" xfId="0" applyNumberFormat="1" applyFont="1" applyBorder="1">
      <alignment vertical="center"/>
    </xf>
    <xf numFmtId="182" fontId="15" fillId="14" borderId="13" xfId="57" applyNumberFormat="1" applyFont="1" applyFill="1" applyBorder="1" applyAlignment="1">
      <alignment horizontal="center" vertical="center"/>
    </xf>
    <xf numFmtId="182" fontId="11" fillId="0" borderId="13" xfId="0" applyNumberFormat="1" applyFont="1" applyBorder="1">
      <alignment vertical="center"/>
    </xf>
    <xf numFmtId="180" fontId="1" fillId="3" borderId="2" xfId="0" applyNumberFormat="1" applyFont="1" applyFill="1" applyBorder="1" applyAlignment="1">
      <alignment horizontal="center" vertical="center"/>
    </xf>
    <xf numFmtId="0" fontId="1" fillId="7" borderId="9" xfId="0" applyFont="1" applyFill="1" applyBorder="1" applyAlignment="1">
      <alignment horizontal="center" vertical="center"/>
    </xf>
    <xf numFmtId="182" fontId="11" fillId="5" borderId="0" xfId="0" applyNumberFormat="1" applyFont="1" applyFill="1">
      <alignment vertical="center"/>
    </xf>
    <xf numFmtId="182" fontId="11" fillId="10" borderId="18" xfId="0" applyNumberFormat="1" applyFont="1" applyFill="1" applyBorder="1">
      <alignment vertical="center"/>
    </xf>
    <xf numFmtId="182" fontId="11" fillId="8" borderId="0" xfId="0" applyNumberFormat="1" applyFont="1" applyFill="1">
      <alignment vertical="center"/>
    </xf>
    <xf numFmtId="182" fontId="11" fillId="10" borderId="0" xfId="0" applyNumberFormat="1" applyFont="1" applyFill="1">
      <alignment vertical="center"/>
    </xf>
    <xf numFmtId="182" fontId="16" fillId="10" borderId="18" xfId="0" applyNumberFormat="1" applyFont="1" applyFill="1" applyBorder="1">
      <alignment vertical="center"/>
    </xf>
    <xf numFmtId="180" fontId="1" fillId="0" borderId="19" xfId="0" applyNumberFormat="1" applyFont="1" applyBorder="1" applyAlignment="1">
      <alignment horizontal="center" vertical="center"/>
    </xf>
    <xf numFmtId="0" fontId="11" fillId="0" borderId="20" xfId="0" applyFont="1" applyBorder="1">
      <alignment vertical="center"/>
    </xf>
    <xf numFmtId="0" fontId="11" fillId="0" borderId="21" xfId="0" applyFont="1" applyBorder="1">
      <alignment vertical="center"/>
    </xf>
    <xf numFmtId="0" fontId="11" fillId="0" borderId="22" xfId="0" applyFont="1" applyBorder="1">
      <alignment vertical="center"/>
    </xf>
    <xf numFmtId="0" fontId="11" fillId="0" borderId="23" xfId="0" applyFont="1" applyBorder="1">
      <alignment vertical="center"/>
    </xf>
    <xf numFmtId="0" fontId="11" fillId="0" borderId="24" xfId="0" applyFont="1" applyBorder="1">
      <alignment vertical="center"/>
    </xf>
    <xf numFmtId="0" fontId="16" fillId="0" borderId="24" xfId="0" applyFont="1" applyBorder="1">
      <alignment vertical="center"/>
    </xf>
    <xf numFmtId="182" fontId="11" fillId="15" borderId="15" xfId="0" applyNumberFormat="1" applyFont="1" applyFill="1" applyBorder="1" applyAlignment="1">
      <alignment horizontal="left" vertical="center"/>
    </xf>
    <xf numFmtId="182" fontId="11" fillId="0" borderId="15" xfId="0" applyNumberFormat="1" applyFont="1" applyBorder="1" applyAlignment="1">
      <alignment horizontal="left" vertical="center" indent="1"/>
    </xf>
    <xf numFmtId="0" fontId="0" fillId="0" borderId="16" xfId="0" applyBorder="1" applyAlignment="1">
      <alignment horizontal="right" vertical="center"/>
    </xf>
    <xf numFmtId="0" fontId="0" fillId="0" borderId="17" xfId="0" applyBorder="1">
      <alignment vertical="center"/>
    </xf>
    <xf numFmtId="0" fontId="0" fillId="0" borderId="18" xfId="0" applyBorder="1">
      <alignment vertical="center"/>
    </xf>
    <xf numFmtId="0" fontId="0" fillId="5" borderId="0" xfId="0" applyFill="1">
      <alignment vertical="center"/>
    </xf>
    <xf numFmtId="182" fontId="16" fillId="10" borderId="0" xfId="0" applyNumberFormat="1" applyFont="1" applyFill="1">
      <alignment vertical="center"/>
    </xf>
    <xf numFmtId="182" fontId="16" fillId="0" borderId="0" xfId="0" applyNumberFormat="1" applyFont="1">
      <alignment vertical="center"/>
    </xf>
    <xf numFmtId="182" fontId="11" fillId="16" borderId="18" xfId="0" applyNumberFormat="1" applyFont="1" applyFill="1" applyBorder="1">
      <alignment vertical="center"/>
    </xf>
    <xf numFmtId="0" fontId="0" fillId="0" borderId="23" xfId="0" applyBorder="1">
      <alignment vertical="center"/>
    </xf>
    <xf numFmtId="0" fontId="0" fillId="0" borderId="24" xfId="0" applyBorder="1">
      <alignment vertical="center"/>
    </xf>
    <xf numFmtId="183" fontId="17" fillId="0" borderId="0" xfId="2" applyNumberFormat="1" applyFont="1" applyBorder="1" applyAlignment="1">
      <alignment horizontal="left" vertical="center"/>
    </xf>
    <xf numFmtId="183" fontId="18" fillId="0" borderId="0" xfId="2" applyNumberFormat="1" applyFont="1" applyBorder="1" applyAlignment="1">
      <alignment horizontal="left" vertical="center"/>
    </xf>
    <xf numFmtId="49" fontId="15" fillId="17" borderId="4" xfId="57" applyNumberFormat="1" applyFont="1" applyFill="1" applyBorder="1" applyAlignment="1">
      <alignment horizontal="center" vertical="center"/>
    </xf>
    <xf numFmtId="176" fontId="15" fillId="17" borderId="4" xfId="57" applyNumberFormat="1" applyFont="1" applyFill="1" applyBorder="1" applyAlignment="1">
      <alignment horizontal="center" vertical="center"/>
    </xf>
    <xf numFmtId="0" fontId="19" fillId="18" borderId="4" xfId="59" applyFont="1" applyFill="1" applyBorder="1" applyAlignment="1">
      <alignment horizontal="center" vertical="center"/>
    </xf>
    <xf numFmtId="0" fontId="19" fillId="18" borderId="4" xfId="59" applyFont="1" applyFill="1" applyBorder="1" applyAlignment="1">
      <alignment vertical="center"/>
    </xf>
    <xf numFmtId="10" fontId="20" fillId="18" borderId="4" xfId="49" applyNumberFormat="1" applyFont="1" applyFill="1" applyBorder="1" applyAlignment="1">
      <alignment horizontal="right" vertical="center"/>
    </xf>
    <xf numFmtId="0" fontId="19" fillId="18" borderId="4" xfId="59" applyFont="1" applyFill="1" applyBorder="1" applyAlignment="1" applyProtection="1">
      <alignment vertical="center"/>
      <protection locked="0"/>
    </xf>
    <xf numFmtId="184" fontId="21" fillId="5" borderId="4" xfId="49" applyNumberFormat="1" applyFont="1" applyFill="1" applyBorder="1" applyAlignment="1" applyProtection="1">
      <alignment horizontal="right" vertical="center"/>
      <protection locked="0"/>
    </xf>
    <xf numFmtId="185" fontId="21" fillId="5" borderId="4" xfId="1" applyNumberFormat="1" applyFont="1" applyFill="1" applyBorder="1" applyAlignment="1" applyProtection="1">
      <alignment horizontal="right" vertical="center"/>
      <protection locked="0"/>
    </xf>
    <xf numFmtId="181" fontId="21" fillId="18" borderId="4" xfId="59" applyNumberFormat="1" applyFont="1" applyFill="1" applyBorder="1" applyAlignment="1">
      <alignment horizontal="right" vertical="center"/>
    </xf>
    <xf numFmtId="9" fontId="21" fillId="5" borderId="4" xfId="49" applyFont="1" applyFill="1" applyBorder="1" applyAlignment="1">
      <alignment horizontal="right" vertical="center"/>
    </xf>
    <xf numFmtId="10" fontId="21" fillId="5" borderId="4" xfId="49" applyNumberFormat="1" applyFont="1" applyFill="1" applyBorder="1" applyAlignment="1">
      <alignment horizontal="right" vertical="center"/>
    </xf>
    <xf numFmtId="10" fontId="21" fillId="5" borderId="4" xfId="49" applyNumberFormat="1" applyFont="1" applyFill="1" applyBorder="1" applyAlignment="1" applyProtection="1">
      <alignment horizontal="right" vertical="center"/>
      <protection locked="0"/>
    </xf>
    <xf numFmtId="0" fontId="19" fillId="0" borderId="4" xfId="59" applyFont="1" applyBorder="1" applyAlignment="1">
      <alignment horizontal="center" vertical="center"/>
    </xf>
    <xf numFmtId="0" fontId="19" fillId="0" borderId="4" xfId="59" applyFont="1" applyBorder="1" applyAlignment="1" applyProtection="1">
      <alignment vertical="center"/>
      <protection locked="0"/>
    </xf>
    <xf numFmtId="9" fontId="21" fillId="0" borderId="4" xfId="3" applyFont="1" applyFill="1" applyBorder="1" applyAlignment="1" applyProtection="1">
      <alignment horizontal="right" vertical="center"/>
      <protection locked="0"/>
    </xf>
    <xf numFmtId="10" fontId="21" fillId="18" borderId="4" xfId="49" applyNumberFormat="1" applyFont="1" applyFill="1" applyBorder="1" applyAlignment="1">
      <alignment horizontal="right" vertical="center"/>
    </xf>
    <xf numFmtId="183" fontId="22" fillId="0" borderId="0" xfId="2" applyNumberFormat="1" applyFont="1" applyBorder="1" applyAlignment="1">
      <alignment horizontal="left" vertical="center"/>
    </xf>
    <xf numFmtId="183" fontId="23" fillId="0" borderId="25" xfId="2" applyNumberFormat="1" applyFont="1" applyBorder="1" applyAlignment="1">
      <alignment horizontal="left" vertical="center"/>
    </xf>
    <xf numFmtId="183" fontId="23" fillId="0" borderId="25" xfId="2" applyNumberFormat="1" applyFont="1" applyBorder="1" applyAlignment="1">
      <alignment horizontal="center" vertical="center"/>
    </xf>
    <xf numFmtId="0" fontId="24" fillId="0" borderId="0" xfId="52" applyFont="1" applyAlignment="1">
      <alignment vertical="center"/>
    </xf>
    <xf numFmtId="183" fontId="23" fillId="0" borderId="25" xfId="2" applyNumberFormat="1" applyFont="1" applyBorder="1" applyAlignment="1">
      <alignment vertical="center"/>
    </xf>
    <xf numFmtId="183" fontId="25" fillId="0" borderId="25" xfId="2" applyNumberFormat="1" applyFont="1" applyBorder="1" applyAlignment="1">
      <alignment horizontal="center" vertical="center"/>
    </xf>
    <xf numFmtId="0" fontId="23" fillId="10" borderId="4" xfId="54" applyFont="1" applyFill="1" applyBorder="1" applyAlignment="1">
      <alignment horizontal="center" vertical="center" wrapText="1"/>
    </xf>
    <xf numFmtId="0" fontId="26" fillId="10" borderId="4" xfId="54" applyFont="1" applyFill="1" applyBorder="1" applyAlignment="1">
      <alignment horizontal="center" vertical="center" wrapText="1"/>
    </xf>
    <xf numFmtId="0" fontId="26" fillId="0" borderId="4" xfId="54" applyFont="1" applyBorder="1" applyAlignment="1">
      <alignment horizontal="center" vertical="center" wrapText="1"/>
    </xf>
    <xf numFmtId="0" fontId="27" fillId="0" borderId="4" xfId="54" applyFont="1" applyBorder="1" applyAlignment="1">
      <alignment horizontal="center" vertical="center"/>
    </xf>
    <xf numFmtId="0" fontId="26" fillId="0" borderId="4" xfId="54" applyFont="1" applyBorder="1" applyAlignment="1">
      <alignment horizontal="left" vertical="center" wrapText="1"/>
    </xf>
    <xf numFmtId="0" fontId="27" fillId="0" borderId="4" xfId="54" applyFont="1" applyBorder="1" applyAlignment="1">
      <alignment horizontal="left" vertical="center" wrapText="1"/>
    </xf>
    <xf numFmtId="43" fontId="23" fillId="0" borderId="4" xfId="52" applyNumberFormat="1" applyFont="1" applyBorder="1" applyAlignment="1">
      <alignment horizontal="right" vertical="center"/>
    </xf>
    <xf numFmtId="0" fontId="28" fillId="10" borderId="4" xfId="54" applyFont="1" applyFill="1" applyBorder="1" applyAlignment="1">
      <alignment horizontal="left" vertical="center" wrapText="1"/>
    </xf>
    <xf numFmtId="0" fontId="27" fillId="5" borderId="4" xfId="54" applyFont="1" applyFill="1" applyBorder="1" applyAlignment="1">
      <alignment horizontal="left" vertical="center" wrapText="1"/>
    </xf>
    <xf numFmtId="182" fontId="27" fillId="5" borderId="4" xfId="52" applyNumberFormat="1" applyFont="1" applyFill="1" applyBorder="1" applyAlignment="1">
      <alignment horizontal="right" vertical="center"/>
    </xf>
    <xf numFmtId="43" fontId="29" fillId="0" borderId="4" xfId="52" applyNumberFormat="1" applyFont="1" applyBorder="1" applyAlignment="1">
      <alignment horizontal="right" vertical="center"/>
    </xf>
    <xf numFmtId="0" fontId="28" fillId="0" borderId="4" xfId="54" applyFont="1" applyBorder="1" applyAlignment="1">
      <alignment horizontal="left" vertical="center" wrapText="1"/>
    </xf>
    <xf numFmtId="43" fontId="28" fillId="0" borderId="4" xfId="52" applyNumberFormat="1" applyFont="1" applyBorder="1" applyAlignment="1">
      <alignment horizontal="right" vertical="center"/>
    </xf>
    <xf numFmtId="0" fontId="28" fillId="5" borderId="4" xfId="54" applyFont="1" applyFill="1" applyBorder="1" applyAlignment="1">
      <alignment horizontal="left" vertical="center" wrapText="1"/>
    </xf>
    <xf numFmtId="0" fontId="27" fillId="5" borderId="4" xfId="52" applyFont="1" applyFill="1" applyBorder="1" applyAlignment="1">
      <alignment vertical="center"/>
    </xf>
    <xf numFmtId="182" fontId="27" fillId="5" borderId="4" xfId="52" applyNumberFormat="1" applyFont="1" applyFill="1" applyBorder="1" applyAlignment="1">
      <alignment vertical="center"/>
    </xf>
    <xf numFmtId="0" fontId="28" fillId="0" borderId="4" xfId="54" applyFont="1" applyBorder="1" applyAlignment="1">
      <alignment horizontal="center" vertical="center"/>
    </xf>
    <xf numFmtId="0" fontId="27" fillId="0" borderId="4" xfId="52" applyFont="1" applyBorder="1" applyAlignment="1">
      <alignment vertical="center"/>
    </xf>
    <xf numFmtId="182" fontId="23" fillId="0" borderId="4" xfId="52" applyNumberFormat="1" applyFont="1" applyBorder="1" applyAlignment="1">
      <alignment horizontal="right" vertical="center"/>
    </xf>
    <xf numFmtId="180" fontId="1" fillId="0" borderId="4" xfId="0" applyNumberFormat="1" applyFont="1" applyBorder="1" applyAlignment="1">
      <alignment horizontal="center" vertical="center"/>
    </xf>
    <xf numFmtId="0" fontId="11" fillId="0" borderId="4" xfId="0" applyFont="1" applyBorder="1">
      <alignment vertical="center"/>
    </xf>
    <xf numFmtId="0" fontId="21" fillId="18" borderId="4" xfId="59" applyFont="1" applyFill="1" applyBorder="1" applyAlignment="1">
      <alignment horizontal="left" vertical="center"/>
    </xf>
    <xf numFmtId="0" fontId="21" fillId="18" borderId="4" xfId="59" applyFont="1" applyFill="1" applyBorder="1" applyAlignment="1" applyProtection="1">
      <alignment horizontal="left" vertical="center"/>
      <protection locked="0"/>
    </xf>
    <xf numFmtId="0" fontId="21" fillId="0" borderId="4" xfId="59" applyFont="1" applyBorder="1" applyAlignment="1" applyProtection="1">
      <alignment horizontal="left" vertical="center"/>
      <protection locked="0"/>
    </xf>
    <xf numFmtId="186" fontId="30" fillId="17" borderId="4" xfId="51" applyNumberFormat="1" applyFont="1" applyFill="1" applyBorder="1" applyAlignment="1">
      <alignment horizontal="center" vertical="center" wrapText="1" shrinkToFit="1"/>
    </xf>
    <xf numFmtId="186" fontId="31" fillId="17" borderId="4" xfId="51" applyNumberFormat="1" applyFont="1" applyFill="1" applyBorder="1" applyAlignment="1">
      <alignment horizontal="center" vertical="center" wrapText="1" shrinkToFit="1"/>
    </xf>
    <xf numFmtId="186" fontId="32" fillId="17" borderId="4" xfId="51" applyNumberFormat="1" applyFont="1" applyFill="1" applyBorder="1" applyAlignment="1">
      <alignment horizontal="center" vertical="center" wrapText="1" shrinkToFit="1"/>
    </xf>
    <xf numFmtId="0" fontId="33" fillId="0" borderId="6" xfId="0" applyFont="1" applyBorder="1" applyAlignment="1"/>
    <xf numFmtId="0" fontId="34" fillId="0" borderId="4" xfId="51" applyFont="1" applyBorder="1" applyAlignment="1" applyProtection="1">
      <alignment horizontal="center" vertical="center" shrinkToFit="1"/>
      <protection locked="0"/>
    </xf>
    <xf numFmtId="186" fontId="35" fillId="5" borderId="4" xfId="51" applyNumberFormat="1" applyFont="1" applyFill="1" applyBorder="1" applyAlignment="1" applyProtection="1">
      <alignment horizontal="left" vertical="center" shrinkToFit="1"/>
      <protection locked="0"/>
    </xf>
    <xf numFmtId="187" fontId="34" fillId="5" borderId="4" xfId="51" applyNumberFormat="1" applyFont="1" applyFill="1" applyBorder="1" applyAlignment="1" applyProtection="1">
      <alignment horizontal="center" vertical="center" shrinkToFit="1"/>
      <protection locked="0"/>
    </xf>
    <xf numFmtId="9" fontId="34" fillId="5" borderId="4" xfId="3" applyFont="1" applyFill="1" applyBorder="1" applyAlignment="1" applyProtection="1">
      <alignment horizontal="center" vertical="center" shrinkToFit="1"/>
      <protection locked="0"/>
    </xf>
    <xf numFmtId="186" fontId="34" fillId="0" borderId="4" xfId="51" applyNumberFormat="1" applyFont="1" applyBorder="1" applyAlignment="1" applyProtection="1">
      <alignment horizontal="right" vertical="center" shrinkToFit="1"/>
      <protection locked="0"/>
    </xf>
    <xf numFmtId="176" fontId="34" fillId="5" borderId="4" xfId="1" applyNumberFormat="1" applyFont="1" applyFill="1" applyBorder="1" applyAlignment="1" applyProtection="1">
      <alignment horizontal="center" vertical="center" shrinkToFit="1"/>
      <protection locked="0"/>
    </xf>
    <xf numFmtId="186" fontId="34" fillId="5" borderId="4" xfId="51" applyNumberFormat="1" applyFont="1" applyFill="1" applyBorder="1" applyAlignment="1" applyProtection="1">
      <alignment horizontal="center" vertical="center" shrinkToFit="1"/>
      <protection locked="0"/>
    </xf>
    <xf numFmtId="188" fontId="36" fillId="0" borderId="4" xfId="58" applyNumberFormat="1" applyFont="1" applyBorder="1" applyAlignment="1">
      <alignment horizontal="center" vertical="center"/>
    </xf>
    <xf numFmtId="0" fontId="33" fillId="0" borderId="7" xfId="0" applyFont="1" applyBorder="1" applyAlignment="1"/>
    <xf numFmtId="188" fontId="37" fillId="0" borderId="4" xfId="58" applyNumberFormat="1" applyFont="1" applyBorder="1" applyAlignment="1">
      <alignment horizontal="center" vertical="center"/>
    </xf>
    <xf numFmtId="188" fontId="37" fillId="8" borderId="4" xfId="58" applyNumberFormat="1" applyFont="1" applyFill="1" applyBorder="1" applyAlignment="1">
      <alignment horizontal="right" vertical="center"/>
    </xf>
    <xf numFmtId="188" fontId="38" fillId="8" borderId="4" xfId="58" applyNumberFormat="1" applyFont="1" applyFill="1" applyBorder="1" applyAlignment="1" applyProtection="1">
      <alignment horizontal="center" vertical="center"/>
      <protection locked="0"/>
    </xf>
    <xf numFmtId="0" fontId="33" fillId="8" borderId="7" xfId="0" applyFont="1" applyFill="1" applyBorder="1" applyAlignment="1"/>
    <xf numFmtId="188" fontId="37" fillId="5" borderId="4" xfId="58" applyNumberFormat="1" applyFont="1" applyFill="1" applyBorder="1" applyAlignment="1">
      <alignment horizontal="right" vertical="center"/>
    </xf>
    <xf numFmtId="188" fontId="26" fillId="0" borderId="4" xfId="58" applyNumberFormat="1" applyFont="1" applyBorder="1" applyAlignment="1">
      <alignment horizontal="center" vertical="center"/>
    </xf>
    <xf numFmtId="186" fontId="37" fillId="8" borderId="4" xfId="58" applyNumberFormat="1" applyFont="1" applyFill="1" applyBorder="1" applyAlignment="1">
      <alignment horizontal="right" vertical="center"/>
    </xf>
    <xf numFmtId="186" fontId="34" fillId="0" borderId="0" xfId="51" applyNumberFormat="1" applyFont="1" applyAlignment="1">
      <alignment vertical="center"/>
    </xf>
    <xf numFmtId="186" fontId="35" fillId="0" borderId="0" xfId="51" applyNumberFormat="1" applyFont="1" applyAlignment="1">
      <alignment vertical="center"/>
    </xf>
    <xf numFmtId="0" fontId="36" fillId="0" borderId="0" xfId="53" applyFont="1" applyAlignment="1">
      <alignment vertical="center"/>
    </xf>
    <xf numFmtId="0" fontId="5" fillId="0" borderId="0" xfId="0" applyFont="1" applyAlignment="1">
      <alignment horizontal="left" vertical="center"/>
    </xf>
    <xf numFmtId="0" fontId="1" fillId="0" borderId="4" xfId="0" applyFont="1" applyBorder="1" applyAlignment="1">
      <alignment horizontal="left" vertical="center" indent="1"/>
    </xf>
    <xf numFmtId="0" fontId="1" fillId="0" borderId="4" xfId="0" applyFont="1" applyBorder="1" applyAlignment="1">
      <alignment horizontal="center" vertical="center"/>
    </xf>
    <xf numFmtId="0" fontId="2" fillId="0" borderId="4" xfId="0" applyFont="1" applyBorder="1" applyAlignment="1">
      <alignment horizontal="left" vertical="center" indent="1"/>
    </xf>
    <xf numFmtId="0" fontId="1" fillId="0" borderId="8" xfId="0" applyFont="1" applyBorder="1" applyAlignment="1">
      <alignment horizontal="center" vertical="center"/>
    </xf>
    <xf numFmtId="0" fontId="1" fillId="0" borderId="9" xfId="0" applyFont="1" applyBorder="1" applyAlignment="1">
      <alignment horizontal="left" vertical="center" indent="1"/>
    </xf>
    <xf numFmtId="178" fontId="1" fillId="0" borderId="10" xfId="0" applyNumberFormat="1" applyFont="1" applyBorder="1">
      <alignment vertical="center"/>
    </xf>
    <xf numFmtId="0" fontId="4" fillId="3" borderId="0" xfId="0" applyFont="1" applyFill="1">
      <alignment vertical="center"/>
    </xf>
    <xf numFmtId="0" fontId="39" fillId="0" borderId="0" xfId="0" applyFont="1">
      <alignment vertical="center"/>
    </xf>
    <xf numFmtId="0" fontId="6" fillId="0" borderId="0" xfId="0" applyFont="1" applyAlignment="1">
      <alignment vertical="center" wrapText="1"/>
    </xf>
    <xf numFmtId="0" fontId="40" fillId="0" borderId="0" xfId="0" applyFont="1">
      <alignment vertical="center"/>
    </xf>
    <xf numFmtId="0" fontId="41" fillId="0" borderId="0" xfId="0" applyFont="1">
      <alignment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42" fillId="5" borderId="5" xfId="0" applyFont="1" applyFill="1" applyBorder="1" applyAlignment="1">
      <alignment horizontal="center" vertical="center"/>
    </xf>
    <xf numFmtId="178" fontId="42" fillId="5" borderId="4" xfId="0" applyNumberFormat="1" applyFont="1" applyFill="1" applyBorder="1" applyAlignment="1">
      <alignment horizontal="left" vertical="center"/>
    </xf>
    <xf numFmtId="178" fontId="42" fillId="19" borderId="4" xfId="0" applyNumberFormat="1" applyFont="1" applyFill="1" applyBorder="1" applyAlignment="1">
      <alignment horizontal="right" vertical="center"/>
    </xf>
    <xf numFmtId="0" fontId="43" fillId="5" borderId="5" xfId="0" applyFont="1" applyFill="1" applyBorder="1" applyAlignment="1">
      <alignment horizontal="center" vertical="center"/>
    </xf>
    <xf numFmtId="178" fontId="43" fillId="5" borderId="4" xfId="0" applyNumberFormat="1" applyFont="1" applyFill="1" applyBorder="1" applyAlignment="1">
      <alignment horizontal="left" vertical="center" indent="1"/>
    </xf>
    <xf numFmtId="178" fontId="43" fillId="19" borderId="4" xfId="0" applyNumberFormat="1" applyFont="1" applyFill="1" applyBorder="1" applyAlignment="1">
      <alignment horizontal="right" vertical="center"/>
    </xf>
    <xf numFmtId="178" fontId="43" fillId="5" borderId="4" xfId="0" applyNumberFormat="1" applyFont="1" applyFill="1" applyBorder="1" applyAlignment="1">
      <alignment horizontal="left" vertical="center" indent="3"/>
    </xf>
    <xf numFmtId="178" fontId="43" fillId="3" borderId="4" xfId="0" applyNumberFormat="1" applyFont="1" applyFill="1" applyBorder="1" applyAlignment="1">
      <alignment horizontal="left" vertical="center" indent="3"/>
    </xf>
    <xf numFmtId="178" fontId="43" fillId="3" borderId="4" xfId="0" applyNumberFormat="1" applyFont="1" applyFill="1" applyBorder="1" applyAlignment="1">
      <alignment horizontal="right" vertical="center"/>
    </xf>
    <xf numFmtId="0" fontId="4" fillId="3" borderId="4" xfId="0" applyFont="1" applyFill="1" applyBorder="1" applyAlignment="1">
      <alignment horizontal="center" vertical="center"/>
    </xf>
    <xf numFmtId="0" fontId="43" fillId="8" borderId="5" xfId="0" applyFont="1" applyFill="1" applyBorder="1" applyAlignment="1">
      <alignment horizontal="center" vertical="center"/>
    </xf>
    <xf numFmtId="178" fontId="43" fillId="8" borderId="4" xfId="0" applyNumberFormat="1" applyFont="1" applyFill="1" applyBorder="1" applyAlignment="1">
      <alignment horizontal="left" vertical="center" indent="1"/>
    </xf>
    <xf numFmtId="178" fontId="43" fillId="8" borderId="4" xfId="0" applyNumberFormat="1" applyFont="1" applyFill="1" applyBorder="1" applyAlignment="1">
      <alignment horizontal="right" vertical="center"/>
    </xf>
    <xf numFmtId="0" fontId="4" fillId="8" borderId="4" xfId="0" applyFont="1" applyFill="1" applyBorder="1" applyAlignment="1">
      <alignment horizontal="center" vertical="center"/>
    </xf>
    <xf numFmtId="178" fontId="43" fillId="3" borderId="4" xfId="0" applyNumberFormat="1" applyFont="1" applyFill="1" applyBorder="1" applyAlignment="1">
      <alignment horizontal="left" vertical="center" indent="1"/>
    </xf>
    <xf numFmtId="0" fontId="1" fillId="5" borderId="4" xfId="0" applyFont="1" applyFill="1" applyBorder="1">
      <alignment vertical="center"/>
    </xf>
    <xf numFmtId="0" fontId="1" fillId="5" borderId="5" xfId="0" applyFont="1" applyFill="1" applyBorder="1" applyAlignment="1">
      <alignment horizontal="center" vertical="center"/>
    </xf>
    <xf numFmtId="178" fontId="44" fillId="19" borderId="4" xfId="0" applyNumberFormat="1" applyFont="1" applyFill="1" applyBorder="1" applyAlignment="1">
      <alignment horizontal="right" vertical="center"/>
    </xf>
    <xf numFmtId="0" fontId="1" fillId="5" borderId="8" xfId="0" applyFont="1" applyFill="1" applyBorder="1" applyAlignment="1">
      <alignment horizontal="center" vertical="center"/>
    </xf>
    <xf numFmtId="0" fontId="1" fillId="5" borderId="9" xfId="0" applyFont="1" applyFill="1" applyBorder="1">
      <alignment vertical="center"/>
    </xf>
    <xf numFmtId="0" fontId="1" fillId="0" borderId="9" xfId="0" applyFont="1" applyBorder="1">
      <alignment vertical="center"/>
    </xf>
    <xf numFmtId="178" fontId="1" fillId="3" borderId="9" xfId="0" applyNumberFormat="1" applyFont="1" applyFill="1" applyBorder="1">
      <alignment vertical="center"/>
    </xf>
    <xf numFmtId="10" fontId="1" fillId="8" borderId="4" xfId="0" applyNumberFormat="1" applyFont="1" applyFill="1" applyBorder="1">
      <alignment vertical="center"/>
    </xf>
    <xf numFmtId="0" fontId="40" fillId="0" borderId="4" xfId="0" applyFont="1" applyBorder="1">
      <alignment vertical="center"/>
    </xf>
    <xf numFmtId="10" fontId="4" fillId="0" borderId="0" xfId="0" applyNumberFormat="1" applyFont="1">
      <alignment vertical="center"/>
    </xf>
    <xf numFmtId="0" fontId="4" fillId="0" borderId="0" xfId="0" applyFont="1" applyAlignment="1">
      <alignment horizontal="right" vertical="center"/>
    </xf>
    <xf numFmtId="178" fontId="4" fillId="0" borderId="0" xfId="0" applyNumberFormat="1" applyFont="1">
      <alignment vertical="center"/>
    </xf>
    <xf numFmtId="180" fontId="1" fillId="8" borderId="4" xfId="0" applyNumberFormat="1" applyFont="1" applyFill="1" applyBorder="1" applyAlignment="1">
      <alignment horizontal="center" vertical="center"/>
    </xf>
    <xf numFmtId="178" fontId="1" fillId="8" borderId="4" xfId="0" applyNumberFormat="1" applyFont="1" applyFill="1" applyBorder="1">
      <alignment vertical="center"/>
    </xf>
    <xf numFmtId="178" fontId="1" fillId="0" borderId="9" xfId="0" applyNumberFormat="1" applyFont="1" applyBorder="1">
      <alignment vertical="center"/>
    </xf>
    <xf numFmtId="178" fontId="40" fillId="0" borderId="0" xfId="0" applyNumberFormat="1" applyFont="1">
      <alignment vertical="center"/>
    </xf>
    <xf numFmtId="0" fontId="4" fillId="3" borderId="5" xfId="0" applyFont="1" applyFill="1" applyBorder="1" applyAlignment="1">
      <alignment horizontal="center" vertical="center"/>
    </xf>
    <xf numFmtId="179" fontId="4" fillId="6" borderId="4" xfId="0" applyNumberFormat="1" applyFont="1" applyFill="1" applyBorder="1" applyAlignment="1" applyProtection="1">
      <alignment horizontal="left" vertical="center"/>
      <protection hidden="1"/>
    </xf>
    <xf numFmtId="178" fontId="4" fillId="20" borderId="4" xfId="0" applyNumberFormat="1" applyFont="1" applyFill="1" applyBorder="1">
      <alignment vertical="center"/>
    </xf>
    <xf numFmtId="0" fontId="2" fillId="0" borderId="4" xfId="0" applyFont="1" applyBorder="1">
      <alignment vertical="center"/>
    </xf>
    <xf numFmtId="178" fontId="45" fillId="8" borderId="4" xfId="0" applyNumberFormat="1" applyFont="1" applyFill="1" applyBorder="1" applyAlignment="1">
      <alignment horizontal="left" vertical="center" indent="1"/>
    </xf>
    <xf numFmtId="0" fontId="43" fillId="6" borderId="5" xfId="0" applyFont="1" applyFill="1" applyBorder="1" applyAlignment="1">
      <alignment horizontal="center" vertical="center"/>
    </xf>
    <xf numFmtId="178" fontId="43" fillId="6" borderId="4" xfId="0" applyNumberFormat="1" applyFont="1" applyFill="1" applyBorder="1" applyAlignment="1">
      <alignment horizontal="left" vertical="center" indent="3"/>
    </xf>
    <xf numFmtId="178" fontId="43" fillId="8" borderId="4" xfId="0" applyNumberFormat="1" applyFont="1" applyFill="1" applyBorder="1" applyAlignment="1">
      <alignment horizontal="left" vertical="center" indent="3"/>
    </xf>
    <xf numFmtId="0" fontId="46" fillId="0" borderId="0" xfId="0" applyFont="1">
      <alignment vertical="center"/>
    </xf>
    <xf numFmtId="189" fontId="4" fillId="0" borderId="0" xfId="0" applyNumberFormat="1" applyFont="1">
      <alignment vertical="center"/>
    </xf>
    <xf numFmtId="178" fontId="4" fillId="13" borderId="4" xfId="0" applyNumberFormat="1" applyFont="1" applyFill="1" applyBorder="1">
      <alignment vertical="center"/>
    </xf>
    <xf numFmtId="178" fontId="4" fillId="21" borderId="4" xfId="0" applyNumberFormat="1" applyFont="1" applyFill="1" applyBorder="1">
      <alignment vertical="center"/>
    </xf>
    <xf numFmtId="178" fontId="4" fillId="22" borderId="4" xfId="0" applyNumberFormat="1" applyFont="1" applyFill="1" applyBorder="1">
      <alignment vertical="center"/>
    </xf>
    <xf numFmtId="0" fontId="1" fillId="23" borderId="27" xfId="0" applyFont="1" applyFill="1" applyBorder="1" applyAlignment="1">
      <alignment horizontal="center" vertical="center"/>
    </xf>
    <xf numFmtId="0" fontId="1" fillId="23" borderId="6" xfId="0" applyFont="1" applyFill="1" applyBorder="1" applyAlignment="1">
      <alignment horizontal="center" vertical="center"/>
    </xf>
    <xf numFmtId="9" fontId="1" fillId="23" borderId="4" xfId="3" applyFont="1" applyFill="1" applyBorder="1" applyAlignment="1">
      <alignment horizontal="center" vertical="center"/>
    </xf>
    <xf numFmtId="0" fontId="1" fillId="5" borderId="27" xfId="0" applyFont="1" applyFill="1" applyBorder="1" applyAlignment="1">
      <alignment horizontal="center" vertical="center"/>
    </xf>
    <xf numFmtId="0" fontId="1" fillId="5" borderId="6" xfId="0" applyFont="1" applyFill="1" applyBorder="1" applyAlignment="1">
      <alignment horizontal="left" vertical="center"/>
    </xf>
    <xf numFmtId="0" fontId="4" fillId="5" borderId="5" xfId="0" applyFont="1" applyFill="1" applyBorder="1" applyAlignment="1">
      <alignment horizontal="center" vertical="center"/>
    </xf>
    <xf numFmtId="0" fontId="4" fillId="5" borderId="4" xfId="0" applyFont="1" applyFill="1" applyBorder="1" applyAlignment="1">
      <alignment horizontal="left" vertical="center" indent="1"/>
    </xf>
    <xf numFmtId="0" fontId="4" fillId="6" borderId="4" xfId="0" applyFont="1" applyFill="1" applyBorder="1" applyAlignment="1">
      <alignment horizontal="left" vertical="center" indent="3"/>
    </xf>
    <xf numFmtId="0" fontId="4" fillId="6" borderId="4" xfId="0" applyFont="1" applyFill="1" applyBorder="1" applyAlignment="1">
      <alignment horizontal="left" vertical="center" indent="5"/>
    </xf>
    <xf numFmtId="190" fontId="4" fillId="0" borderId="4" xfId="0" applyNumberFormat="1" applyFont="1" applyBorder="1">
      <alignment vertical="center"/>
    </xf>
    <xf numFmtId="0" fontId="4" fillId="3" borderId="4" xfId="0" applyFont="1" applyFill="1" applyBorder="1" applyAlignment="1">
      <alignment horizontal="left" vertical="center" indent="1"/>
    </xf>
    <xf numFmtId="0" fontId="4" fillId="3" borderId="4" xfId="0" applyFont="1" applyFill="1" applyBorder="1" applyAlignment="1">
      <alignment horizontal="left" vertical="center" indent="3"/>
    </xf>
    <xf numFmtId="179" fontId="4" fillId="0" borderId="4" xfId="0" applyNumberFormat="1" applyFont="1" applyBorder="1">
      <alignment vertical="center"/>
    </xf>
    <xf numFmtId="0" fontId="1" fillId="5" borderId="4" xfId="0" applyFont="1" applyFill="1" applyBorder="1" applyAlignment="1">
      <alignment horizontal="left" vertical="center"/>
    </xf>
    <xf numFmtId="0" fontId="4" fillId="5" borderId="8" xfId="0" applyFont="1" applyFill="1" applyBorder="1" applyAlignment="1">
      <alignment horizontal="center" vertical="center"/>
    </xf>
    <xf numFmtId="0" fontId="4" fillId="5" borderId="9" xfId="0" applyFont="1" applyFill="1" applyBorder="1" applyAlignment="1">
      <alignment horizontal="left" vertical="center" indent="1"/>
    </xf>
    <xf numFmtId="178" fontId="4" fillId="5" borderId="9" xfId="0" applyNumberFormat="1" applyFont="1" applyFill="1" applyBorder="1">
      <alignment vertical="center"/>
    </xf>
    <xf numFmtId="178" fontId="4" fillId="0" borderId="9" xfId="0" applyNumberFormat="1" applyFont="1" applyBorder="1">
      <alignment vertical="center"/>
    </xf>
    <xf numFmtId="0" fontId="4" fillId="0" borderId="0" xfId="0" applyFont="1" applyAlignment="1">
      <alignment horizontal="left" vertical="center"/>
    </xf>
    <xf numFmtId="0" fontId="1" fillId="6" borderId="4" xfId="0" applyFont="1" applyFill="1" applyBorder="1" applyAlignment="1">
      <alignment horizontal="left" vertical="center" indent="1"/>
    </xf>
    <xf numFmtId="0" fontId="4" fillId="3" borderId="4" xfId="0" applyFont="1" applyFill="1" applyBorder="1" applyAlignment="1">
      <alignment horizontal="left" vertical="center" indent="2"/>
    </xf>
    <xf numFmtId="0" fontId="4" fillId="5" borderId="4" xfId="0" applyFont="1" applyFill="1" applyBorder="1" applyAlignment="1">
      <alignment horizontal="left" vertical="center"/>
    </xf>
    <xf numFmtId="49" fontId="1" fillId="3" borderId="4" xfId="0" applyNumberFormat="1" applyFont="1" applyFill="1" applyBorder="1" applyAlignment="1">
      <alignment horizontal="center" vertical="center"/>
    </xf>
    <xf numFmtId="190" fontId="4" fillId="3" borderId="4" xfId="0" applyNumberFormat="1" applyFont="1" applyFill="1" applyBorder="1">
      <alignment vertical="center"/>
    </xf>
    <xf numFmtId="182" fontId="4" fillId="5" borderId="4" xfId="0" applyNumberFormat="1" applyFont="1" applyFill="1" applyBorder="1">
      <alignment vertical="center"/>
    </xf>
    <xf numFmtId="178" fontId="4" fillId="3" borderId="9" xfId="0" applyNumberFormat="1" applyFont="1" applyFill="1" applyBorder="1">
      <alignment vertical="center"/>
    </xf>
    <xf numFmtId="178" fontId="1" fillId="13" borderId="4" xfId="0" applyNumberFormat="1" applyFont="1" applyFill="1" applyBorder="1">
      <alignment vertical="center"/>
    </xf>
    <xf numFmtId="0" fontId="1" fillId="5" borderId="9" xfId="0" applyFont="1" applyFill="1" applyBorder="1" applyAlignment="1">
      <alignment horizontal="left" vertical="center"/>
    </xf>
    <xf numFmtId="178" fontId="1" fillId="5" borderId="9" xfId="0" applyNumberFormat="1" applyFont="1" applyFill="1" applyBorder="1">
      <alignment vertical="center"/>
    </xf>
    <xf numFmtId="0" fontId="47" fillId="0" borderId="0" xfId="0" applyFont="1">
      <alignment vertical="center"/>
    </xf>
    <xf numFmtId="0" fontId="48" fillId="0" borderId="0" xfId="0" applyFont="1">
      <alignment vertical="center"/>
    </xf>
    <xf numFmtId="0" fontId="5" fillId="3" borderId="0" xfId="0" applyFont="1" applyFill="1">
      <alignment vertical="center"/>
    </xf>
    <xf numFmtId="0" fontId="1" fillId="6" borderId="26" xfId="0" applyFont="1" applyFill="1" applyBorder="1" applyAlignment="1">
      <alignment horizontal="center" vertical="center"/>
    </xf>
    <xf numFmtId="0" fontId="1" fillId="6" borderId="3" xfId="0" applyFont="1" applyFill="1" applyBorder="1" applyAlignment="1">
      <alignment horizontal="center" vertical="center"/>
    </xf>
    <xf numFmtId="0" fontId="1" fillId="6" borderId="27" xfId="0" applyFont="1" applyFill="1" applyBorder="1" applyAlignment="1">
      <alignment horizontal="center" vertical="center"/>
    </xf>
    <xf numFmtId="0" fontId="1" fillId="6" borderId="6" xfId="0" applyFont="1" applyFill="1" applyBorder="1" applyAlignment="1">
      <alignment horizontal="center" vertical="center"/>
    </xf>
    <xf numFmtId="0" fontId="4" fillId="6" borderId="8" xfId="0" applyFont="1" applyFill="1" applyBorder="1" applyAlignment="1">
      <alignment horizontal="center" vertical="center"/>
    </xf>
    <xf numFmtId="0" fontId="4" fillId="6" borderId="9" xfId="0" applyFont="1" applyFill="1" applyBorder="1" applyAlignment="1">
      <alignment horizontal="left" vertical="center" indent="1"/>
    </xf>
    <xf numFmtId="178" fontId="4" fillId="6" borderId="9" xfId="0" applyNumberFormat="1" applyFont="1" applyFill="1" applyBorder="1">
      <alignment vertical="center"/>
    </xf>
    <xf numFmtId="0" fontId="4" fillId="6" borderId="9" xfId="0" applyFont="1" applyFill="1" applyBorder="1" applyAlignment="1">
      <alignment horizontal="center" vertical="center"/>
    </xf>
    <xf numFmtId="0" fontId="1" fillId="6" borderId="5" xfId="0" applyFont="1" applyFill="1" applyBorder="1" applyAlignment="1">
      <alignment horizontal="center" vertical="center"/>
    </xf>
    <xf numFmtId="178" fontId="4" fillId="6" borderId="28" xfId="0" applyNumberFormat="1" applyFont="1" applyFill="1" applyBorder="1">
      <alignment vertical="center"/>
    </xf>
    <xf numFmtId="0" fontId="4" fillId="6" borderId="4" xfId="0" applyFont="1" applyFill="1" applyBorder="1" applyAlignment="1">
      <alignment horizontal="center" vertical="center"/>
    </xf>
    <xf numFmtId="178" fontId="4" fillId="6" borderId="4" xfId="0" applyNumberFormat="1" applyFont="1" applyFill="1" applyBorder="1">
      <alignment vertical="center"/>
    </xf>
    <xf numFmtId="0" fontId="4" fillId="6" borderId="5" xfId="0" applyFont="1" applyFill="1" applyBorder="1" applyAlignment="1">
      <alignment horizontal="center" vertical="center"/>
    </xf>
    <xf numFmtId="0" fontId="4" fillId="10" borderId="5" xfId="0" applyFont="1" applyFill="1" applyBorder="1" applyAlignment="1">
      <alignment horizontal="center" vertical="center"/>
    </xf>
    <xf numFmtId="0" fontId="4" fillId="10" borderId="4" xfId="0" applyFont="1" applyFill="1" applyBorder="1" applyAlignment="1">
      <alignment horizontal="left" vertical="center" indent="1"/>
    </xf>
    <xf numFmtId="178" fontId="4" fillId="10" borderId="28" xfId="0" applyNumberFormat="1" applyFont="1" applyFill="1" applyBorder="1">
      <alignment vertical="center"/>
    </xf>
    <xf numFmtId="0" fontId="4" fillId="10" borderId="4" xfId="0" applyFont="1" applyFill="1" applyBorder="1" applyAlignment="1">
      <alignment horizontal="center" vertical="center"/>
    </xf>
    <xf numFmtId="0" fontId="1" fillId="3" borderId="5" xfId="0" applyFont="1" applyFill="1" applyBorder="1" applyAlignment="1">
      <alignment horizontal="center" vertical="center"/>
    </xf>
    <xf numFmtId="178" fontId="4" fillId="3" borderId="28" xfId="0" applyNumberFormat="1" applyFont="1" applyFill="1" applyBorder="1">
      <alignment vertical="center"/>
    </xf>
    <xf numFmtId="0" fontId="1" fillId="6" borderId="8" xfId="0" applyFont="1" applyFill="1" applyBorder="1" applyAlignment="1">
      <alignment horizontal="center" vertical="center"/>
    </xf>
    <xf numFmtId="0" fontId="1" fillId="3" borderId="9" xfId="0" applyFont="1" applyFill="1" applyBorder="1">
      <alignment vertical="center"/>
    </xf>
    <xf numFmtId="0" fontId="49" fillId="0" borderId="0" xfId="0" applyFont="1">
      <alignment vertical="center"/>
    </xf>
    <xf numFmtId="178" fontId="1" fillId="10" borderId="4" xfId="0" applyNumberFormat="1" applyFont="1" applyFill="1" applyBorder="1">
      <alignment vertical="center"/>
    </xf>
    <xf numFmtId="178" fontId="1" fillId="6" borderId="4" xfId="0" applyNumberFormat="1" applyFont="1" applyFill="1" applyBorder="1">
      <alignment vertical="center"/>
    </xf>
    <xf numFmtId="178" fontId="4" fillId="16" borderId="4" xfId="0" applyNumberFormat="1" applyFont="1" applyFill="1" applyBorder="1">
      <alignment vertical="center"/>
    </xf>
    <xf numFmtId="0" fontId="50" fillId="0" borderId="4" xfId="0" applyFont="1" applyBorder="1" applyAlignment="1">
      <alignment horizontal="center" vertical="center"/>
    </xf>
    <xf numFmtId="49" fontId="4" fillId="0" borderId="5" xfId="0" applyNumberFormat="1" applyFont="1" applyBorder="1" applyAlignment="1">
      <alignment horizontal="center" vertical="center"/>
    </xf>
    <xf numFmtId="0" fontId="8" fillId="0" borderId="4" xfId="0" applyFont="1" applyBorder="1" applyAlignment="1">
      <alignment horizontal="left" vertical="center" indent="2"/>
    </xf>
    <xf numFmtId="49" fontId="4" fillId="5" borderId="5" xfId="0" applyNumberFormat="1" applyFont="1" applyFill="1" applyBorder="1" applyAlignment="1">
      <alignment horizontal="center" vertical="center"/>
    </xf>
    <xf numFmtId="0" fontId="8" fillId="5" borderId="4" xfId="0" applyFont="1" applyFill="1" applyBorder="1" applyAlignment="1">
      <alignment horizontal="left" vertical="center" indent="2"/>
    </xf>
    <xf numFmtId="0" fontId="4" fillId="5" borderId="4" xfId="0" applyFont="1" applyFill="1" applyBorder="1" applyAlignment="1">
      <alignment horizontal="left" vertical="center" indent="2"/>
    </xf>
    <xf numFmtId="0" fontId="4" fillId="0" borderId="6" xfId="0" applyFont="1" applyBorder="1" applyAlignment="1">
      <alignment horizontal="left" vertical="center" indent="2"/>
    </xf>
    <xf numFmtId="0" fontId="4" fillId="8" borderId="29" xfId="0" applyFont="1" applyFill="1" applyBorder="1" applyAlignment="1">
      <alignment horizontal="center" vertical="center"/>
    </xf>
    <xf numFmtId="0" fontId="4" fillId="8" borderId="28" xfId="0" applyFont="1" applyFill="1" applyBorder="1" applyAlignment="1">
      <alignment horizontal="left" vertical="center" indent="2"/>
    </xf>
    <xf numFmtId="0" fontId="50" fillId="8" borderId="4" xfId="0" applyFont="1" applyFill="1" applyBorder="1" applyAlignment="1">
      <alignment horizontal="center" vertical="center"/>
    </xf>
    <xf numFmtId="178" fontId="4" fillId="0" borderId="28" xfId="0" applyNumberFormat="1" applyFont="1" applyBorder="1">
      <alignment vertical="center"/>
    </xf>
    <xf numFmtId="0" fontId="50" fillId="0" borderId="9" xfId="0" applyFont="1" applyBorder="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xf>
    <xf numFmtId="178" fontId="1" fillId="0" borderId="0" xfId="0" applyNumberFormat="1" applyFont="1">
      <alignment vertical="center"/>
    </xf>
    <xf numFmtId="0" fontId="50" fillId="0" borderId="0" xfId="0" applyFont="1" applyAlignment="1">
      <alignment horizontal="center" vertical="center"/>
    </xf>
    <xf numFmtId="49" fontId="4" fillId="0" borderId="27" xfId="0" applyNumberFormat="1" applyFont="1" applyBorder="1" applyAlignment="1">
      <alignment horizontal="center" vertical="center"/>
    </xf>
    <xf numFmtId="0" fontId="4" fillId="0" borderId="27" xfId="0" applyFont="1" applyBorder="1" applyAlignment="1">
      <alignment horizontal="center" vertical="center"/>
    </xf>
    <xf numFmtId="0" fontId="1" fillId="23" borderId="26" xfId="0" applyFont="1" applyFill="1" applyBorder="1" applyAlignment="1">
      <alignment horizontal="center" vertical="center"/>
    </xf>
    <xf numFmtId="0" fontId="1" fillId="23" borderId="3" xfId="0" applyFont="1" applyFill="1" applyBorder="1" applyAlignment="1">
      <alignment horizontal="center" vertical="center"/>
    </xf>
    <xf numFmtId="0" fontId="1" fillId="23" borderId="5" xfId="0" applyFont="1" applyFill="1" applyBorder="1" applyAlignment="1">
      <alignment horizontal="center" vertical="center"/>
    </xf>
    <xf numFmtId="0" fontId="1" fillId="23" borderId="4" xfId="0" applyFont="1" applyFill="1" applyBorder="1">
      <alignment vertical="center"/>
    </xf>
    <xf numFmtId="178" fontId="1" fillId="23" borderId="4" xfId="0" applyNumberFormat="1" applyFont="1" applyFill="1" applyBorder="1">
      <alignment vertical="center"/>
    </xf>
    <xf numFmtId="0" fontId="50" fillId="23" borderId="4" xfId="0" applyFont="1" applyFill="1" applyBorder="1" applyAlignment="1">
      <alignment horizontal="center" vertical="center"/>
    </xf>
    <xf numFmtId="0" fontId="1" fillId="23" borderId="6" xfId="0" applyFont="1" applyFill="1" applyBorder="1" applyAlignment="1">
      <alignment horizontal="left" vertical="center"/>
    </xf>
    <xf numFmtId="0" fontId="4" fillId="23" borderId="5" xfId="0" applyFont="1" applyFill="1" applyBorder="1" applyAlignment="1">
      <alignment horizontal="center" vertical="center"/>
    </xf>
    <xf numFmtId="0" fontId="8" fillId="23" borderId="4" xfId="0" applyFont="1" applyFill="1" applyBorder="1" applyAlignment="1">
      <alignment horizontal="left" vertical="center" indent="2"/>
    </xf>
    <xf numFmtId="178" fontId="4" fillId="23" borderId="4" xfId="0" applyNumberFormat="1" applyFont="1" applyFill="1" applyBorder="1">
      <alignment vertical="center"/>
    </xf>
    <xf numFmtId="0" fontId="4" fillId="23" borderId="4" xfId="0" applyFont="1" applyFill="1" applyBorder="1" applyAlignment="1">
      <alignment horizontal="left" vertical="center" indent="2"/>
    </xf>
    <xf numFmtId="0" fontId="4" fillId="23" borderId="6" xfId="0" applyFont="1" applyFill="1" applyBorder="1" applyAlignment="1">
      <alignment horizontal="left" vertical="center" indent="2"/>
    </xf>
    <xf numFmtId="178" fontId="4" fillId="8" borderId="28" xfId="0" applyNumberFormat="1" applyFont="1" applyFill="1" applyBorder="1">
      <alignment vertical="center"/>
    </xf>
    <xf numFmtId="0" fontId="4" fillId="23" borderId="27" xfId="0" applyFont="1" applyFill="1" applyBorder="1" applyAlignment="1">
      <alignment horizontal="center" vertical="center"/>
    </xf>
    <xf numFmtId="0" fontId="1" fillId="23" borderId="8" xfId="0" applyFont="1" applyFill="1" applyBorder="1" applyAlignment="1">
      <alignment horizontal="center" vertical="center"/>
    </xf>
    <xf numFmtId="0" fontId="1" fillId="23" borderId="9" xfId="0" applyFont="1" applyFill="1" applyBorder="1">
      <alignment vertical="center"/>
    </xf>
    <xf numFmtId="178" fontId="1" fillId="23" borderId="9" xfId="0" applyNumberFormat="1" applyFont="1" applyFill="1" applyBorder="1">
      <alignment vertical="center"/>
    </xf>
    <xf numFmtId="0" fontId="50" fillId="23" borderId="9" xfId="0" applyFont="1" applyFill="1" applyBorder="1" applyAlignment="1">
      <alignment horizontal="center" vertical="center"/>
    </xf>
    <xf numFmtId="0" fontId="50" fillId="0" borderId="0" xfId="0" applyFont="1">
      <alignment vertical="center"/>
    </xf>
    <xf numFmtId="0" fontId="40" fillId="18" borderId="0" xfId="0" applyFont="1" applyFill="1">
      <alignment vertical="center"/>
    </xf>
    <xf numFmtId="0" fontId="51" fillId="0" borderId="0" xfId="0" applyFont="1">
      <alignment vertical="center"/>
    </xf>
    <xf numFmtId="0" fontId="40" fillId="0" borderId="0" xfId="0" applyFont="1" applyAlignment="1">
      <alignment horizontal="center" vertical="center"/>
    </xf>
    <xf numFmtId="0" fontId="40" fillId="0" borderId="1" xfId="0" applyFont="1" applyBorder="1">
      <alignment vertical="center"/>
    </xf>
    <xf numFmtId="2" fontId="40" fillId="0" borderId="19" xfId="0" applyNumberFormat="1" applyFont="1" applyBorder="1" applyAlignment="1">
      <alignment horizontal="right" vertical="center"/>
    </xf>
    <xf numFmtId="2" fontId="40" fillId="0" borderId="0" xfId="0" applyNumberFormat="1" applyFont="1" applyAlignment="1">
      <alignment horizontal="center" vertical="center"/>
    </xf>
    <xf numFmtId="0" fontId="52" fillId="0" borderId="0" xfId="0" applyFont="1">
      <alignment vertical="center"/>
    </xf>
    <xf numFmtId="0" fontId="40" fillId="0" borderId="5" xfId="0" applyFont="1" applyBorder="1">
      <alignment vertical="center"/>
    </xf>
    <xf numFmtId="2" fontId="40" fillId="0" borderId="30" xfId="0" applyNumberFormat="1" applyFont="1" applyBorder="1" applyAlignment="1">
      <alignment horizontal="right" vertical="center"/>
    </xf>
    <xf numFmtId="2" fontId="40" fillId="5" borderId="30" xfId="0" applyNumberFormat="1" applyFont="1" applyFill="1" applyBorder="1" applyAlignment="1">
      <alignment horizontal="right" vertical="center"/>
    </xf>
    <xf numFmtId="1" fontId="40" fillId="0" borderId="30" xfId="0" applyNumberFormat="1" applyFont="1" applyBorder="1" applyAlignment="1">
      <alignment horizontal="right" vertical="center"/>
    </xf>
    <xf numFmtId="0" fontId="40" fillId="0" borderId="8" xfId="0" applyFont="1" applyBorder="1">
      <alignment vertical="center"/>
    </xf>
    <xf numFmtId="9" fontId="40" fillId="0" borderId="20" xfId="3" applyFont="1" applyBorder="1" applyAlignment="1">
      <alignment horizontal="right" vertical="center"/>
    </xf>
    <xf numFmtId="9" fontId="40" fillId="0" borderId="0" xfId="3" applyFont="1" applyBorder="1" applyAlignment="1">
      <alignment horizontal="center" vertical="center"/>
    </xf>
    <xf numFmtId="2" fontId="40" fillId="3" borderId="19" xfId="0" applyNumberFormat="1" applyFont="1" applyFill="1" applyBorder="1" applyAlignment="1">
      <alignment horizontal="right" vertical="center"/>
    </xf>
    <xf numFmtId="0" fontId="40" fillId="0" borderId="27" xfId="0" applyFont="1" applyBorder="1">
      <alignment vertical="center"/>
    </xf>
    <xf numFmtId="2" fontId="40" fillId="3" borderId="31" xfId="0" applyNumberFormat="1" applyFont="1" applyFill="1" applyBorder="1" applyAlignment="1">
      <alignment horizontal="right" vertical="center"/>
    </xf>
    <xf numFmtId="9" fontId="40" fillId="0" borderId="30" xfId="3" applyFont="1" applyBorder="1" applyAlignment="1">
      <alignment horizontal="right" vertical="center"/>
    </xf>
    <xf numFmtId="191" fontId="40" fillId="0" borderId="0" xfId="0" applyNumberFormat="1" applyFont="1">
      <alignment vertical="center"/>
    </xf>
    <xf numFmtId="0" fontId="40" fillId="0" borderId="29" xfId="0" applyFont="1" applyBorder="1">
      <alignment vertical="center"/>
    </xf>
    <xf numFmtId="9" fontId="40" fillId="0" borderId="32" xfId="3" applyFont="1" applyBorder="1" applyAlignment="1">
      <alignment horizontal="right" vertical="center"/>
    </xf>
    <xf numFmtId="1" fontId="40" fillId="0" borderId="20" xfId="0" applyNumberFormat="1" applyFont="1" applyBorder="1" applyAlignment="1">
      <alignment horizontal="right" vertical="center"/>
    </xf>
    <xf numFmtId="9" fontId="40" fillId="0" borderId="0" xfId="3" applyFont="1" applyBorder="1" applyAlignment="1">
      <alignment horizontal="right" vertical="center"/>
    </xf>
    <xf numFmtId="0" fontId="41" fillId="3" borderId="0" xfId="0" applyFont="1" applyFill="1">
      <alignment vertical="center"/>
    </xf>
    <xf numFmtId="0" fontId="40" fillId="3" borderId="0" xfId="0" applyFont="1" applyFill="1">
      <alignment vertical="center"/>
    </xf>
    <xf numFmtId="2" fontId="40" fillId="0" borderId="0" xfId="0" applyNumberFormat="1" applyFont="1" applyAlignment="1">
      <alignment horizontal="right" vertical="center"/>
    </xf>
    <xf numFmtId="0" fontId="51" fillId="24" borderId="26" xfId="0" applyFont="1" applyFill="1" applyBorder="1" applyAlignment="1">
      <alignment horizontal="center" vertical="center"/>
    </xf>
    <xf numFmtId="0" fontId="51" fillId="24" borderId="3" xfId="0" applyFont="1" applyFill="1" applyBorder="1" applyAlignment="1">
      <alignment horizontal="center" vertical="center"/>
    </xf>
    <xf numFmtId="0" fontId="51" fillId="24" borderId="33" xfId="0" applyFont="1" applyFill="1" applyBorder="1" applyAlignment="1">
      <alignment horizontal="center" vertical="center"/>
    </xf>
    <xf numFmtId="0" fontId="51" fillId="24" borderId="34" xfId="0" applyFont="1" applyFill="1" applyBorder="1" applyAlignment="1">
      <alignment horizontal="center" vertical="center"/>
    </xf>
    <xf numFmtId="0" fontId="51" fillId="0" borderId="35" xfId="0" applyFont="1" applyBorder="1" applyAlignment="1">
      <alignment horizontal="center" vertical="center"/>
    </xf>
    <xf numFmtId="0" fontId="40" fillId="10" borderId="3" xfId="0" applyFont="1" applyFill="1" applyBorder="1" applyAlignment="1">
      <alignment horizontal="left" vertical="center"/>
    </xf>
    <xf numFmtId="0" fontId="51" fillId="25" borderId="36" xfId="0" applyFont="1" applyFill="1" applyBorder="1" applyAlignment="1">
      <alignment horizontal="center" vertical="center"/>
    </xf>
    <xf numFmtId="9" fontId="1" fillId="3" borderId="6" xfId="3" applyFont="1" applyFill="1" applyBorder="1" applyAlignment="1">
      <alignment horizontal="center" vertical="center"/>
    </xf>
    <xf numFmtId="0" fontId="40" fillId="0" borderId="35" xfId="0" applyFont="1" applyBorder="1" applyAlignment="1">
      <alignment horizontal="center" vertical="center"/>
    </xf>
    <xf numFmtId="2" fontId="40" fillId="0" borderId="4" xfId="0" applyNumberFormat="1" applyFont="1" applyBorder="1">
      <alignment vertical="center"/>
    </xf>
    <xf numFmtId="0" fontId="40" fillId="0" borderId="4" xfId="0" applyFont="1" applyBorder="1" applyAlignment="1">
      <alignment horizontal="center" vertical="center"/>
    </xf>
    <xf numFmtId="2" fontId="40" fillId="3" borderId="4" xfId="0" applyNumberFormat="1" applyFont="1" applyFill="1" applyBorder="1">
      <alignment vertical="center"/>
    </xf>
    <xf numFmtId="0" fontId="40" fillId="0" borderId="4" xfId="0" applyFont="1" applyBorder="1" applyAlignment="1">
      <alignment horizontal="left" vertical="center" indent="2"/>
    </xf>
    <xf numFmtId="2" fontId="40" fillId="3" borderId="28" xfId="0" applyNumberFormat="1" applyFont="1" applyFill="1" applyBorder="1">
      <alignment vertical="center"/>
    </xf>
    <xf numFmtId="0" fontId="51" fillId="0" borderId="4" xfId="0" applyFont="1" applyBorder="1">
      <alignment vertical="center"/>
    </xf>
    <xf numFmtId="2" fontId="51" fillId="0" borderId="4" xfId="0" applyNumberFormat="1" applyFont="1" applyBorder="1">
      <alignment vertical="center"/>
    </xf>
    <xf numFmtId="2" fontId="51" fillId="0" borderId="28" xfId="0" applyNumberFormat="1" applyFont="1" applyBorder="1">
      <alignment vertical="center"/>
    </xf>
    <xf numFmtId="0" fontId="50" fillId="23" borderId="4" xfId="0" applyFont="1" applyFill="1" applyBorder="1" applyAlignment="1">
      <alignment horizontal="left" vertical="center" indent="2"/>
    </xf>
    <xf numFmtId="2" fontId="50" fillId="23" borderId="4" xfId="0" applyNumberFormat="1" applyFont="1" applyFill="1" applyBorder="1">
      <alignment vertical="center"/>
    </xf>
    <xf numFmtId="2" fontId="50" fillId="23" borderId="28" xfId="0" applyNumberFormat="1" applyFont="1" applyFill="1" applyBorder="1">
      <alignment vertical="center"/>
    </xf>
    <xf numFmtId="0" fontId="40" fillId="0" borderId="28" xfId="0" applyFont="1" applyBorder="1" applyAlignment="1">
      <alignment horizontal="left" vertical="center"/>
    </xf>
    <xf numFmtId="2" fontId="50" fillId="0" borderId="28" xfId="0" applyNumberFormat="1" applyFont="1" applyBorder="1">
      <alignment vertical="center"/>
    </xf>
    <xf numFmtId="0" fontId="40" fillId="0" borderId="33" xfId="0" applyFont="1" applyBorder="1" applyAlignment="1">
      <alignment horizontal="center" vertical="center"/>
    </xf>
    <xf numFmtId="0" fontId="40" fillId="0" borderId="9" xfId="0" applyFont="1" applyBorder="1">
      <alignment vertical="center"/>
    </xf>
    <xf numFmtId="0" fontId="40" fillId="0" borderId="9" xfId="0" applyFont="1" applyBorder="1" applyAlignment="1">
      <alignment horizontal="right" vertical="center"/>
    </xf>
    <xf numFmtId="0" fontId="40" fillId="0" borderId="9" xfId="0" applyFont="1" applyBorder="1" applyAlignment="1">
      <alignment horizontal="center" vertical="center"/>
    </xf>
    <xf numFmtId="2" fontId="40" fillId="0" borderId="9" xfId="0" applyNumberFormat="1" applyFont="1" applyBorder="1">
      <alignment vertical="center"/>
    </xf>
    <xf numFmtId="0" fontId="40" fillId="0" borderId="26" xfId="0" applyFont="1" applyBorder="1" applyAlignment="1">
      <alignment horizontal="center" vertical="center"/>
    </xf>
    <xf numFmtId="0" fontId="40" fillId="0" borderId="2" xfId="0" applyFont="1" applyBorder="1">
      <alignment vertical="center"/>
    </xf>
    <xf numFmtId="2" fontId="40" fillId="0" borderId="2" xfId="0" applyNumberFormat="1" applyFont="1" applyBorder="1">
      <alignment vertical="center"/>
    </xf>
    <xf numFmtId="0" fontId="40" fillId="0" borderId="2" xfId="0" applyFont="1" applyBorder="1" applyAlignment="1">
      <alignment horizontal="center" vertical="center"/>
    </xf>
    <xf numFmtId="9" fontId="1" fillId="8" borderId="6" xfId="3" applyFont="1" applyFill="1" applyBorder="1" applyAlignment="1">
      <alignment horizontal="center" vertical="center"/>
    </xf>
    <xf numFmtId="9" fontId="1" fillId="10" borderId="6" xfId="3" applyFont="1" applyFill="1" applyBorder="1" applyAlignment="1">
      <alignment horizontal="center" vertical="center"/>
    </xf>
    <xf numFmtId="2" fontId="40" fillId="10" borderId="4" xfId="0" applyNumberFormat="1" applyFont="1" applyFill="1" applyBorder="1">
      <alignment vertical="center"/>
    </xf>
    <xf numFmtId="2" fontId="40" fillId="10" borderId="28" xfId="0" applyNumberFormat="1" applyFont="1" applyFill="1" applyBorder="1">
      <alignment vertical="center"/>
    </xf>
    <xf numFmtId="2" fontId="40" fillId="8" borderId="28" xfId="0" applyNumberFormat="1" applyFont="1" applyFill="1" applyBorder="1">
      <alignment vertical="center"/>
    </xf>
    <xf numFmtId="2" fontId="40" fillId="0" borderId="28" xfId="0" applyNumberFormat="1" applyFont="1" applyBorder="1">
      <alignment vertical="center"/>
    </xf>
    <xf numFmtId="2" fontId="50" fillId="10" borderId="28" xfId="0" applyNumberFormat="1" applyFont="1" applyFill="1" applyBorder="1">
      <alignment vertical="center"/>
    </xf>
    <xf numFmtId="2" fontId="50" fillId="8" borderId="28" xfId="0" applyNumberFormat="1" applyFont="1" applyFill="1" applyBorder="1">
      <alignment vertical="center"/>
    </xf>
    <xf numFmtId="0" fontId="40" fillId="10" borderId="2" xfId="0" applyFont="1" applyFill="1" applyBorder="1">
      <alignment vertical="center"/>
    </xf>
    <xf numFmtId="0" fontId="40" fillId="10" borderId="6" xfId="0" applyFont="1" applyFill="1" applyBorder="1" applyAlignment="1">
      <alignment horizontal="left" vertical="center" indent="2"/>
    </xf>
    <xf numFmtId="2" fontId="40" fillId="0" borderId="6" xfId="0" applyNumberFormat="1" applyFont="1" applyBorder="1">
      <alignment vertical="center"/>
    </xf>
    <xf numFmtId="0" fontId="40" fillId="10" borderId="4" xfId="0" applyFont="1" applyFill="1" applyBorder="1" applyAlignment="1">
      <alignment horizontal="left" vertical="center" indent="2"/>
    </xf>
    <xf numFmtId="0" fontId="40" fillId="10" borderId="4" xfId="0" applyFont="1" applyFill="1" applyBorder="1">
      <alignment vertical="center"/>
    </xf>
    <xf numFmtId="0" fontId="40" fillId="23" borderId="4" xfId="0" applyFont="1" applyFill="1" applyBorder="1" applyAlignment="1">
      <alignment horizontal="left" vertical="center" indent="2"/>
    </xf>
    <xf numFmtId="2" fontId="40" fillId="23" borderId="4" xfId="0" applyNumberFormat="1" applyFont="1" applyFill="1" applyBorder="1">
      <alignment vertical="center"/>
    </xf>
    <xf numFmtId="0" fontId="40" fillId="23" borderId="4" xfId="0" applyFont="1" applyFill="1" applyBorder="1" applyAlignment="1">
      <alignment horizontal="center" vertical="center"/>
    </xf>
    <xf numFmtId="2" fontId="40" fillId="3" borderId="6" xfId="0" applyNumberFormat="1" applyFont="1" applyFill="1" applyBorder="1">
      <alignment vertical="center"/>
    </xf>
    <xf numFmtId="0" fontId="40" fillId="10" borderId="4" xfId="0" applyFont="1" applyFill="1" applyBorder="1" applyAlignment="1">
      <alignment horizontal="center" vertical="center"/>
    </xf>
    <xf numFmtId="2" fontId="40" fillId="3" borderId="36" xfId="0" applyNumberFormat="1" applyFont="1" applyFill="1" applyBorder="1">
      <alignment vertical="center"/>
    </xf>
    <xf numFmtId="0" fontId="40" fillId="0" borderId="1" xfId="0" applyFont="1" applyBorder="1" applyAlignment="1">
      <alignment horizontal="center" vertical="center"/>
    </xf>
    <xf numFmtId="0" fontId="40" fillId="0" borderId="3" xfId="0" applyFont="1" applyBorder="1" applyAlignment="1">
      <alignment horizontal="center" vertical="center"/>
    </xf>
    <xf numFmtId="0" fontId="40" fillId="0" borderId="5" xfId="0" applyFont="1" applyBorder="1" applyAlignment="1">
      <alignment horizontal="center" vertical="center"/>
    </xf>
    <xf numFmtId="2" fontId="40" fillId="20" borderId="4" xfId="0" applyNumberFormat="1" applyFont="1" applyFill="1" applyBorder="1">
      <alignment vertical="center"/>
    </xf>
    <xf numFmtId="0" fontId="40" fillId="0" borderId="29" xfId="0" applyFont="1" applyBorder="1" applyAlignment="1">
      <alignment horizontal="center" vertical="center"/>
    </xf>
    <xf numFmtId="2" fontId="40" fillId="23" borderId="28" xfId="0" applyNumberFormat="1" applyFont="1" applyFill="1" applyBorder="1">
      <alignment vertical="center"/>
    </xf>
    <xf numFmtId="2" fontId="50" fillId="0" borderId="4" xfId="0" applyNumberFormat="1" applyFont="1" applyBorder="1">
      <alignment vertical="center"/>
    </xf>
    <xf numFmtId="0" fontId="40" fillId="0" borderId="8" xfId="0" applyFont="1" applyBorder="1" applyAlignment="1">
      <alignment horizontal="center" vertical="center"/>
    </xf>
    <xf numFmtId="0" fontId="51" fillId="0" borderId="37" xfId="0" applyFont="1" applyBorder="1" applyAlignment="1">
      <alignment horizontal="center" vertical="center"/>
    </xf>
    <xf numFmtId="0" fontId="51" fillId="3" borderId="38" xfId="0" applyFont="1" applyFill="1" applyBorder="1">
      <alignment vertical="center"/>
    </xf>
    <xf numFmtId="2" fontId="51" fillId="0" borderId="38" xfId="0" applyNumberFormat="1" applyFont="1" applyBorder="1">
      <alignment vertical="center"/>
    </xf>
    <xf numFmtId="0" fontId="40" fillId="0" borderId="38" xfId="0" applyFont="1" applyBorder="1" applyAlignment="1">
      <alignment horizontal="center" vertical="center"/>
    </xf>
    <xf numFmtId="178" fontId="51" fillId="0" borderId="38" xfId="0" applyNumberFormat="1" applyFont="1" applyBorder="1">
      <alignment vertical="center"/>
    </xf>
    <xf numFmtId="0" fontId="51" fillId="0" borderId="38" xfId="0" applyFont="1" applyBorder="1">
      <alignment vertical="center"/>
    </xf>
    <xf numFmtId="0" fontId="51" fillId="0" borderId="0" xfId="0" applyFont="1" applyAlignment="1">
      <alignment horizontal="center" vertical="center"/>
    </xf>
    <xf numFmtId="2" fontId="51" fillId="0" borderId="0" xfId="0" applyNumberFormat="1" applyFont="1">
      <alignment vertical="center"/>
    </xf>
    <xf numFmtId="178" fontId="51" fillId="0" borderId="0" xfId="0" applyNumberFormat="1" applyFont="1">
      <alignment vertical="center"/>
    </xf>
    <xf numFmtId="0" fontId="51" fillId="3" borderId="26" xfId="0" applyFont="1" applyFill="1" applyBorder="1" applyAlignment="1">
      <alignment horizontal="center" vertical="center"/>
    </xf>
    <xf numFmtId="0" fontId="51" fillId="3" borderId="3" xfId="0" applyFont="1" applyFill="1" applyBorder="1" applyAlignment="1">
      <alignment horizontal="center" vertical="center"/>
    </xf>
    <xf numFmtId="0" fontId="51" fillId="3" borderId="35" xfId="0" applyFont="1" applyFill="1" applyBorder="1" applyAlignment="1">
      <alignment horizontal="center" vertical="center"/>
    </xf>
    <xf numFmtId="0" fontId="51" fillId="3" borderId="36" xfId="0" applyFont="1" applyFill="1" applyBorder="1" applyAlignment="1">
      <alignment horizontal="center" vertical="center"/>
    </xf>
    <xf numFmtId="0" fontId="51" fillId="24" borderId="36" xfId="0" applyFont="1" applyFill="1" applyBorder="1" applyAlignment="1">
      <alignment horizontal="center" vertical="center"/>
    </xf>
    <xf numFmtId="0" fontId="1" fillId="4" borderId="28" xfId="0" applyFont="1" applyFill="1" applyBorder="1" applyAlignment="1">
      <alignment horizontal="center" vertical="center"/>
    </xf>
    <xf numFmtId="0" fontId="51" fillId="0" borderId="26" xfId="0" applyFont="1" applyBorder="1" applyAlignment="1">
      <alignment horizontal="center" vertical="center"/>
    </xf>
    <xf numFmtId="0" fontId="50" fillId="23" borderId="2" xfId="0" applyFont="1" applyFill="1" applyBorder="1" applyAlignment="1">
      <alignment horizontal="left" vertical="center" indent="2"/>
    </xf>
    <xf numFmtId="2" fontId="50" fillId="23" borderId="2" xfId="0" applyNumberFormat="1" applyFont="1" applyFill="1" applyBorder="1">
      <alignment vertical="center"/>
    </xf>
    <xf numFmtId="0" fontId="50" fillId="23" borderId="2" xfId="0" applyFont="1" applyFill="1" applyBorder="1" applyAlignment="1">
      <alignment horizontal="center" vertical="center"/>
    </xf>
    <xf numFmtId="2" fontId="40" fillId="23" borderId="2" xfId="0" applyNumberFormat="1" applyFont="1" applyFill="1" applyBorder="1">
      <alignment vertical="center"/>
    </xf>
    <xf numFmtId="178" fontId="51" fillId="0" borderId="4" xfId="0" applyNumberFormat="1" applyFont="1" applyBorder="1">
      <alignment vertical="center"/>
    </xf>
    <xf numFmtId="0" fontId="50" fillId="23" borderId="28" xfId="0" applyFont="1" applyFill="1" applyBorder="1" applyAlignment="1">
      <alignment horizontal="left" vertical="center" indent="2"/>
    </xf>
    <xf numFmtId="0" fontId="50" fillId="23" borderId="28" xfId="0" applyFont="1" applyFill="1" applyBorder="1" applyAlignment="1">
      <alignment horizontal="center" vertical="center"/>
    </xf>
    <xf numFmtId="2" fontId="40" fillId="23" borderId="3" xfId="0" applyNumberFormat="1" applyFont="1" applyFill="1" applyBorder="1">
      <alignment vertical="center"/>
    </xf>
    <xf numFmtId="0" fontId="51" fillId="18" borderId="35" xfId="0" applyFont="1" applyFill="1" applyBorder="1" applyAlignment="1">
      <alignment horizontal="center" vertical="center"/>
    </xf>
    <xf numFmtId="0" fontId="51" fillId="18" borderId="4" xfId="0" applyFont="1" applyFill="1" applyBorder="1">
      <alignment vertical="center"/>
    </xf>
    <xf numFmtId="0" fontId="50" fillId="18" borderId="4" xfId="0" applyFont="1" applyFill="1" applyBorder="1" applyAlignment="1">
      <alignment horizontal="center" vertical="center"/>
    </xf>
    <xf numFmtId="2" fontId="51" fillId="18" borderId="4" xfId="0" applyNumberFormat="1" applyFont="1" applyFill="1" applyBorder="1">
      <alignment vertical="center"/>
    </xf>
    <xf numFmtId="0" fontId="51" fillId="0" borderId="33" xfId="0" applyFont="1" applyBorder="1" applyAlignment="1">
      <alignment horizontal="center" vertical="center"/>
    </xf>
    <xf numFmtId="0" fontId="50" fillId="23" borderId="9" xfId="0" applyFont="1" applyFill="1" applyBorder="1" applyAlignment="1">
      <alignment horizontal="left" vertical="center" indent="2"/>
    </xf>
    <xf numFmtId="2" fontId="50" fillId="23" borderId="9" xfId="0" applyNumberFormat="1" applyFont="1" applyFill="1" applyBorder="1">
      <alignment vertical="center"/>
    </xf>
    <xf numFmtId="2" fontId="40" fillId="23" borderId="9" xfId="0" applyNumberFormat="1" applyFont="1" applyFill="1" applyBorder="1">
      <alignment vertical="center"/>
    </xf>
    <xf numFmtId="2" fontId="40" fillId="23" borderId="34" xfId="0" applyNumberFormat="1" applyFont="1" applyFill="1" applyBorder="1">
      <alignment vertical="center"/>
    </xf>
    <xf numFmtId="2" fontId="51" fillId="0" borderId="2" xfId="0" applyNumberFormat="1" applyFont="1" applyBorder="1">
      <alignment vertical="center"/>
    </xf>
    <xf numFmtId="0" fontId="40" fillId="0" borderId="28" xfId="0" applyFont="1" applyBorder="1" applyAlignment="1">
      <alignment horizontal="center" vertical="center"/>
    </xf>
    <xf numFmtId="2" fontId="40" fillId="10" borderId="2" xfId="0" applyNumberFormat="1" applyFont="1" applyFill="1" applyBorder="1">
      <alignment vertical="center"/>
    </xf>
    <xf numFmtId="2" fontId="53" fillId="10" borderId="4" xfId="0" applyNumberFormat="1" applyFont="1" applyFill="1" applyBorder="1">
      <alignment vertical="center"/>
    </xf>
    <xf numFmtId="2" fontId="40" fillId="10" borderId="36" xfId="0" applyNumberFormat="1" applyFont="1" applyFill="1" applyBorder="1">
      <alignment vertical="center"/>
    </xf>
    <xf numFmtId="2" fontId="40" fillId="10" borderId="9" xfId="0" applyNumberFormat="1" applyFont="1" applyFill="1" applyBorder="1">
      <alignment vertical="center"/>
    </xf>
    <xf numFmtId="0" fontId="1" fillId="7" borderId="28" xfId="0" applyFont="1" applyFill="1" applyBorder="1" applyAlignment="1">
      <alignment horizontal="center" vertical="center"/>
    </xf>
    <xf numFmtId="178" fontId="51" fillId="16" borderId="4" xfId="0" applyNumberFormat="1" applyFont="1" applyFill="1" applyBorder="1">
      <alignment vertical="center"/>
    </xf>
    <xf numFmtId="178" fontId="51" fillId="8" borderId="4" xfId="0" applyNumberFormat="1" applyFont="1" applyFill="1" applyBorder="1">
      <alignment vertical="center"/>
    </xf>
    <xf numFmtId="178" fontId="51" fillId="3" borderId="4" xfId="0" applyNumberFormat="1" applyFont="1" applyFill="1" applyBorder="1">
      <alignment vertical="center"/>
    </xf>
    <xf numFmtId="2" fontId="51" fillId="16" borderId="4" xfId="0" applyNumberFormat="1" applyFont="1" applyFill="1" applyBorder="1">
      <alignment vertical="center"/>
    </xf>
    <xf numFmtId="2" fontId="51" fillId="8" borderId="4" xfId="0" applyNumberFormat="1" applyFont="1" applyFill="1" applyBorder="1">
      <alignment vertical="center"/>
    </xf>
    <xf numFmtId="2" fontId="51" fillId="3" borderId="4" xfId="0" applyNumberFormat="1" applyFont="1" applyFill="1" applyBorder="1">
      <alignment vertical="center"/>
    </xf>
    <xf numFmtId="2" fontId="40" fillId="23" borderId="6" xfId="0" applyNumberFormat="1" applyFont="1" applyFill="1" applyBorder="1">
      <alignment vertical="center"/>
    </xf>
    <xf numFmtId="2" fontId="40" fillId="23" borderId="19" xfId="0" applyNumberFormat="1" applyFont="1" applyFill="1" applyBorder="1">
      <alignment vertical="center"/>
    </xf>
    <xf numFmtId="2" fontId="40" fillId="23" borderId="30" xfId="0" applyNumberFormat="1" applyFont="1" applyFill="1" applyBorder="1">
      <alignment vertical="center"/>
    </xf>
    <xf numFmtId="2" fontId="40" fillId="23" borderId="32" xfId="0" applyNumberFormat="1" applyFont="1" applyFill="1" applyBorder="1">
      <alignment vertical="center"/>
    </xf>
    <xf numFmtId="178" fontId="51" fillId="0" borderId="39" xfId="0" applyNumberFormat="1" applyFont="1" applyBorder="1">
      <alignment vertical="center"/>
    </xf>
    <xf numFmtId="0" fontId="51" fillId="3" borderId="1" xfId="0" applyFont="1" applyFill="1" applyBorder="1" applyAlignment="1">
      <alignment horizontal="center" vertical="center"/>
    </xf>
    <xf numFmtId="0" fontId="51" fillId="3" borderId="2" xfId="0" applyFont="1" applyFill="1" applyBorder="1" applyAlignment="1">
      <alignment horizontal="center" vertical="center"/>
    </xf>
    <xf numFmtId="0" fontId="51" fillId="24" borderId="2" xfId="0" applyFont="1" applyFill="1" applyBorder="1" applyAlignment="1">
      <alignment horizontal="center" vertical="center"/>
    </xf>
    <xf numFmtId="0" fontId="51" fillId="3" borderId="5" xfId="0" applyFont="1" applyFill="1" applyBorder="1" applyAlignment="1">
      <alignment horizontal="center" vertical="center"/>
    </xf>
    <xf numFmtId="0" fontId="51" fillId="3" borderId="4" xfId="0" applyFont="1" applyFill="1" applyBorder="1" applyAlignment="1">
      <alignment horizontal="center" vertical="center"/>
    </xf>
    <xf numFmtId="0" fontId="51" fillId="24" borderId="4" xfId="0" applyFont="1" applyFill="1" applyBorder="1" applyAlignment="1">
      <alignment horizontal="center" vertical="center"/>
    </xf>
    <xf numFmtId="178" fontId="40" fillId="0" borderId="4" xfId="0" applyNumberFormat="1" applyFont="1" applyBorder="1">
      <alignment vertical="center"/>
    </xf>
    <xf numFmtId="0" fontId="51" fillId="0" borderId="8" xfId="0" applyFont="1" applyBorder="1" applyAlignment="1">
      <alignment horizontal="center" vertical="center"/>
    </xf>
    <xf numFmtId="0" fontId="51" fillId="0" borderId="9" xfId="0" applyFont="1" applyBorder="1">
      <alignment vertical="center"/>
    </xf>
    <xf numFmtId="178" fontId="51" fillId="0" borderId="9" xfId="0" applyNumberFormat="1" applyFont="1" applyBorder="1">
      <alignment vertical="center"/>
    </xf>
    <xf numFmtId="178" fontId="51" fillId="0" borderId="9" xfId="0" applyNumberFormat="1" applyFont="1" applyBorder="1" applyAlignment="1">
      <alignment horizontal="center" vertical="center"/>
    </xf>
    <xf numFmtId="0" fontId="54" fillId="0" borderId="0" xfId="0" applyFont="1">
      <alignment vertical="center"/>
    </xf>
    <xf numFmtId="0" fontId="51" fillId="26" borderId="3" xfId="0" applyFont="1" applyFill="1" applyBorder="1" applyAlignment="1">
      <alignment horizontal="center" vertical="center"/>
    </xf>
    <xf numFmtId="9" fontId="1" fillId="26" borderId="2" xfId="3" applyFont="1" applyFill="1" applyBorder="1" applyAlignment="1">
      <alignment horizontal="center" vertical="center"/>
    </xf>
    <xf numFmtId="9" fontId="1" fillId="23" borderId="2" xfId="3" applyFont="1" applyFill="1" applyBorder="1" applyAlignment="1">
      <alignment horizontal="center" vertical="center"/>
    </xf>
    <xf numFmtId="2" fontId="40" fillId="23" borderId="36" xfId="0" applyNumberFormat="1" applyFont="1" applyFill="1" applyBorder="1">
      <alignment vertical="center"/>
    </xf>
    <xf numFmtId="180" fontId="1" fillId="3" borderId="19" xfId="0" applyNumberFormat="1" applyFont="1" applyFill="1" applyBorder="1" applyAlignment="1">
      <alignment horizontal="center" vertical="center"/>
    </xf>
    <xf numFmtId="0" fontId="1" fillId="7" borderId="30" xfId="0" applyFont="1" applyFill="1" applyBorder="1" applyAlignment="1">
      <alignment horizontal="center" vertical="center"/>
    </xf>
    <xf numFmtId="0" fontId="1" fillId="3" borderId="40" xfId="0" applyFont="1" applyFill="1" applyBorder="1">
      <alignment vertical="center"/>
    </xf>
    <xf numFmtId="0" fontId="1" fillId="3" borderId="41" xfId="0" applyFont="1" applyFill="1" applyBorder="1">
      <alignment vertical="center"/>
    </xf>
    <xf numFmtId="0" fontId="1" fillId="0" borderId="41" xfId="0" applyFont="1" applyBorder="1">
      <alignment vertical="center"/>
    </xf>
    <xf numFmtId="0" fontId="1" fillId="27" borderId="29" xfId="0" applyFont="1" applyFill="1" applyBorder="1" applyAlignment="1">
      <alignment horizontal="center" vertical="center"/>
    </xf>
    <xf numFmtId="0" fontId="1" fillId="27" borderId="36" xfId="0" applyFont="1" applyFill="1" applyBorder="1" applyAlignment="1">
      <alignment horizontal="center" vertical="center"/>
    </xf>
    <xf numFmtId="0" fontId="1" fillId="27" borderId="28" xfId="0" applyFont="1" applyFill="1" applyBorder="1" applyAlignment="1">
      <alignment horizontal="center" vertical="center"/>
    </xf>
    <xf numFmtId="0" fontId="1" fillId="27" borderId="35" xfId="0" applyFont="1" applyFill="1" applyBorder="1" applyAlignment="1">
      <alignment horizontal="center" vertical="center"/>
    </xf>
    <xf numFmtId="0" fontId="1" fillId="27" borderId="6" xfId="0" applyFont="1" applyFill="1" applyBorder="1" applyAlignment="1">
      <alignment horizontal="center" vertical="center"/>
    </xf>
    <xf numFmtId="0" fontId="1" fillId="23" borderId="35" xfId="0" applyFont="1" applyFill="1" applyBorder="1">
      <alignment vertical="center"/>
    </xf>
    <xf numFmtId="0" fontId="1" fillId="23" borderId="4" xfId="0" applyFont="1" applyFill="1" applyBorder="1" applyAlignment="1">
      <alignment horizontal="center" vertical="center"/>
    </xf>
    <xf numFmtId="192" fontId="1" fillId="23" borderId="4" xfId="3" applyNumberFormat="1" applyFont="1" applyFill="1" applyBorder="1" applyAlignment="1">
      <alignment horizontal="center" vertical="center"/>
    </xf>
    <xf numFmtId="0" fontId="1" fillId="23" borderId="36" xfId="0" applyFont="1" applyFill="1" applyBorder="1">
      <alignment vertical="center"/>
    </xf>
    <xf numFmtId="10" fontId="1" fillId="3" borderId="4" xfId="0" applyNumberFormat="1" applyFont="1" applyFill="1" applyBorder="1" applyAlignment="1">
      <alignment horizontal="center" vertical="center"/>
    </xf>
    <xf numFmtId="9" fontId="1" fillId="23" borderId="4" xfId="0" applyNumberFormat="1" applyFont="1" applyFill="1" applyBorder="1" applyAlignment="1">
      <alignment horizontal="center" vertical="center"/>
    </xf>
    <xf numFmtId="0" fontId="1" fillId="23" borderId="27" xfId="0" applyFont="1" applyFill="1" applyBorder="1">
      <alignment vertical="center"/>
    </xf>
    <xf numFmtId="0" fontId="1" fillId="10" borderId="4" xfId="0" applyFont="1" applyFill="1" applyBorder="1" applyAlignment="1">
      <alignment horizontal="center" vertical="center"/>
    </xf>
    <xf numFmtId="0" fontId="1" fillId="23" borderId="6" xfId="0" applyFont="1" applyFill="1" applyBorder="1">
      <alignment vertical="center"/>
    </xf>
    <xf numFmtId="10" fontId="1" fillId="23" borderId="4" xfId="0" applyNumberFormat="1" applyFont="1" applyFill="1" applyBorder="1" applyAlignment="1">
      <alignment horizontal="center" vertical="center"/>
    </xf>
    <xf numFmtId="0" fontId="1" fillId="8" borderId="4" xfId="0" applyFont="1" applyFill="1" applyBorder="1" applyAlignment="1">
      <alignment horizontal="left" vertical="center"/>
    </xf>
    <xf numFmtId="2" fontId="1" fillId="8" borderId="4" xfId="0" applyNumberFormat="1" applyFont="1" applyFill="1" applyBorder="1">
      <alignment vertical="center"/>
    </xf>
    <xf numFmtId="2" fontId="1" fillId="0" borderId="4" xfId="0" applyNumberFormat="1" applyFont="1" applyBorder="1">
      <alignment vertical="center"/>
    </xf>
    <xf numFmtId="2" fontId="4" fillId="0" borderId="4" xfId="0" applyNumberFormat="1" applyFont="1" applyBorder="1">
      <alignment vertical="center"/>
    </xf>
    <xf numFmtId="0" fontId="4" fillId="8" borderId="5" xfId="0" applyFont="1" applyFill="1" applyBorder="1" applyAlignment="1">
      <alignment horizontal="center" vertical="center"/>
    </xf>
    <xf numFmtId="0" fontId="4" fillId="8" borderId="4" xfId="0" applyFont="1" applyFill="1" applyBorder="1" applyAlignment="1">
      <alignment horizontal="left" vertical="center" indent="2"/>
    </xf>
    <xf numFmtId="2" fontId="4" fillId="8" borderId="4" xfId="0" applyNumberFormat="1" applyFont="1" applyFill="1" applyBorder="1">
      <alignment vertical="center"/>
    </xf>
    <xf numFmtId="0" fontId="1" fillId="0" borderId="4" xfId="0" applyFont="1" applyBorder="1" applyAlignment="1">
      <alignment horizontal="left" vertical="center"/>
    </xf>
    <xf numFmtId="0" fontId="4" fillId="23" borderId="4" xfId="0" applyFont="1" applyFill="1" applyBorder="1" applyAlignment="1">
      <alignment horizontal="left" vertical="center" indent="3"/>
    </xf>
    <xf numFmtId="2" fontId="4" fillId="23" borderId="4" xfId="0" applyNumberFormat="1" applyFont="1" applyFill="1" applyBorder="1">
      <alignment vertical="center"/>
    </xf>
    <xf numFmtId="0" fontId="4" fillId="23" borderId="4" xfId="0" applyFont="1" applyFill="1" applyBorder="1" applyAlignment="1">
      <alignment horizontal="center" vertical="center"/>
    </xf>
    <xf numFmtId="0" fontId="4" fillId="8" borderId="8" xfId="0" applyFont="1" applyFill="1" applyBorder="1" applyAlignment="1">
      <alignment horizontal="center" vertical="center"/>
    </xf>
    <xf numFmtId="0" fontId="4" fillId="8" borderId="9" xfId="0" applyFont="1" applyFill="1" applyBorder="1" applyAlignment="1">
      <alignment horizontal="left" vertical="center" indent="2"/>
    </xf>
    <xf numFmtId="2" fontId="4" fillId="0" borderId="9" xfId="0" applyNumberFormat="1" applyFont="1" applyBorder="1">
      <alignment vertical="center"/>
    </xf>
    <xf numFmtId="0" fontId="4" fillId="0" borderId="0" xfId="0" applyFont="1" applyAlignment="1">
      <alignment horizontal="left" vertical="center" indent="2"/>
    </xf>
    <xf numFmtId="2" fontId="4" fillId="0" borderId="0" xfId="0" applyNumberFormat="1" applyFont="1">
      <alignment vertical="center"/>
    </xf>
    <xf numFmtId="0" fontId="1" fillId="28" borderId="11" xfId="0" applyFont="1" applyFill="1" applyBorder="1">
      <alignment vertical="center"/>
    </xf>
    <xf numFmtId="0" fontId="1" fillId="28" borderId="42" xfId="0" applyFont="1" applyFill="1" applyBorder="1">
      <alignment vertical="center"/>
    </xf>
    <xf numFmtId="0" fontId="1" fillId="27" borderId="4" xfId="0" applyFont="1" applyFill="1" applyBorder="1" applyAlignment="1">
      <alignment horizontal="center" vertical="center"/>
    </xf>
    <xf numFmtId="0" fontId="1" fillId="29" borderId="4" xfId="0" applyFont="1" applyFill="1" applyBorder="1" applyAlignment="1">
      <alignment horizontal="center" vertical="center"/>
    </xf>
    <xf numFmtId="0" fontId="1" fillId="3" borderId="11" xfId="0" applyFont="1" applyFill="1" applyBorder="1">
      <alignment vertical="center"/>
    </xf>
    <xf numFmtId="0" fontId="1" fillId="3" borderId="42" xfId="0" applyFont="1" applyFill="1" applyBorder="1">
      <alignment vertical="center"/>
    </xf>
    <xf numFmtId="0" fontId="1" fillId="0" borderId="42" xfId="0" applyFont="1" applyBorder="1">
      <alignment vertical="center"/>
    </xf>
    <xf numFmtId="2" fontId="4" fillId="5" borderId="4" xfId="0" applyNumberFormat="1" applyFont="1" applyFill="1" applyBorder="1">
      <alignment vertical="center"/>
    </xf>
    <xf numFmtId="0" fontId="1" fillId="8" borderId="11" xfId="0" applyFont="1" applyFill="1" applyBorder="1">
      <alignment vertical="center"/>
    </xf>
    <xf numFmtId="0" fontId="1" fillId="8" borderId="42" xfId="0" applyFont="1" applyFill="1" applyBorder="1">
      <alignment vertical="center"/>
    </xf>
    <xf numFmtId="0" fontId="1" fillId="8" borderId="4" xfId="0" applyFont="1" applyFill="1" applyBorder="1" applyAlignment="1">
      <alignment horizontal="center" vertical="center"/>
    </xf>
    <xf numFmtId="0" fontId="4" fillId="8" borderId="4" xfId="0" applyFont="1" applyFill="1" applyBorder="1">
      <alignment vertical="center"/>
    </xf>
    <xf numFmtId="0" fontId="4" fillId="8" borderId="4" xfId="0" applyFont="1" applyFill="1" applyBorder="1" applyAlignment="1">
      <alignment horizontal="left" vertical="center" indent="1"/>
    </xf>
    <xf numFmtId="9" fontId="1" fillId="3" borderId="4" xfId="0" applyNumberFormat="1" applyFont="1" applyFill="1" applyBorder="1" applyAlignment="1">
      <alignment horizontal="center" vertical="center"/>
    </xf>
    <xf numFmtId="0" fontId="4" fillId="23" borderId="4" xfId="0" applyFont="1" applyFill="1" applyBorder="1">
      <alignment vertical="center"/>
    </xf>
    <xf numFmtId="9" fontId="1" fillId="10" borderId="4" xfId="0" applyNumberFormat="1" applyFont="1" applyFill="1" applyBorder="1" applyAlignment="1">
      <alignment horizontal="center" vertical="center"/>
    </xf>
    <xf numFmtId="2" fontId="4" fillId="3" borderId="4" xfId="0" applyNumberFormat="1" applyFont="1" applyFill="1" applyBorder="1">
      <alignment vertical="center"/>
    </xf>
    <xf numFmtId="2" fontId="4" fillId="8" borderId="9" xfId="0" applyNumberFormat="1" applyFont="1" applyFill="1" applyBorder="1">
      <alignment vertical="center"/>
    </xf>
    <xf numFmtId="186" fontId="4" fillId="0" borderId="0" xfId="0" applyNumberFormat="1" applyFont="1">
      <alignment vertical="center"/>
    </xf>
    <xf numFmtId="0" fontId="1" fillId="28" borderId="7" xfId="0" applyFont="1" applyFill="1" applyBorder="1">
      <alignment vertical="center"/>
    </xf>
    <xf numFmtId="0" fontId="1" fillId="0" borderId="11" xfId="0" applyFont="1" applyBorder="1">
      <alignment vertical="center"/>
    </xf>
    <xf numFmtId="0" fontId="55" fillId="0" borderId="0" xfId="0" applyFont="1" applyAlignment="1">
      <alignment horizontal="center" vertical="center"/>
    </xf>
    <xf numFmtId="0" fontId="56" fillId="0" borderId="0" xfId="0" applyFont="1">
      <alignment vertical="center"/>
    </xf>
    <xf numFmtId="0" fontId="55" fillId="0" borderId="0" xfId="0" applyFont="1">
      <alignment vertical="center"/>
    </xf>
    <xf numFmtId="0" fontId="57" fillId="0" borderId="0" xfId="0" applyFont="1">
      <alignment vertical="center"/>
    </xf>
    <xf numFmtId="0" fontId="58" fillId="0" borderId="0" xfId="0" applyFont="1" applyAlignment="1">
      <alignment horizontal="center" vertical="center"/>
    </xf>
    <xf numFmtId="0" fontId="59" fillId="0" borderId="0" xfId="0" applyFont="1" applyAlignment="1">
      <alignment horizontal="center" vertical="center"/>
    </xf>
    <xf numFmtId="0" fontId="60" fillId="0" borderId="0" xfId="0" applyFont="1">
      <alignment vertical="center"/>
    </xf>
    <xf numFmtId="0" fontId="61" fillId="24" borderId="4" xfId="0" applyFont="1" applyFill="1" applyBorder="1" applyAlignment="1">
      <alignment horizontal="center" vertical="center"/>
    </xf>
    <xf numFmtId="0" fontId="62" fillId="24" borderId="4" xfId="0" applyFont="1" applyFill="1" applyBorder="1" applyAlignment="1">
      <alignment horizontal="center" vertical="center"/>
    </xf>
    <xf numFmtId="0" fontId="61" fillId="24" borderId="36" xfId="0" applyFont="1" applyFill="1" applyBorder="1" applyAlignment="1">
      <alignment horizontal="center" vertical="center" wrapText="1"/>
    </xf>
    <xf numFmtId="0" fontId="63" fillId="3" borderId="4" xfId="0" applyFont="1" applyFill="1" applyBorder="1" applyAlignment="1">
      <alignment horizontal="center" vertical="center" wrapText="1"/>
    </xf>
    <xf numFmtId="0" fontId="64" fillId="3" borderId="4" xfId="0" applyFont="1" applyFill="1" applyBorder="1">
      <alignment vertical="center"/>
    </xf>
    <xf numFmtId="0" fontId="33" fillId="0" borderId="4" xfId="0" applyFont="1" applyBorder="1" applyAlignment="1">
      <alignment horizontal="center" vertical="center"/>
    </xf>
    <xf numFmtId="0" fontId="65" fillId="0" borderId="4" xfId="0" applyFont="1" applyBorder="1" applyAlignment="1">
      <alignment horizontal="center" vertical="center"/>
    </xf>
    <xf numFmtId="0" fontId="24" fillId="0" borderId="4" xfId="0" applyFont="1" applyBorder="1" applyAlignment="1">
      <alignment horizontal="center" vertical="center"/>
    </xf>
    <xf numFmtId="0" fontId="55" fillId="0" borderId="4" xfId="0" applyFont="1" applyBorder="1" applyAlignment="1">
      <alignment vertical="center" wrapText="1"/>
    </xf>
    <xf numFmtId="0" fontId="55" fillId="3" borderId="4" xfId="0" applyFont="1" applyFill="1" applyBorder="1" applyAlignment="1">
      <alignment horizontal="center" vertical="center" wrapText="1"/>
    </xf>
    <xf numFmtId="0" fontId="66" fillId="0" borderId="4" xfId="0" applyFont="1" applyBorder="1" applyAlignment="1">
      <alignment horizontal="center" vertical="center"/>
    </xf>
    <xf numFmtId="0" fontId="24" fillId="3" borderId="4" xfId="0" applyFont="1" applyFill="1" applyBorder="1" applyAlignment="1">
      <alignment horizontal="center" vertical="center"/>
    </xf>
    <xf numFmtId="0" fontId="67" fillId="5" borderId="4" xfId="0" applyFont="1" applyFill="1" applyBorder="1">
      <alignment vertical="center"/>
    </xf>
    <xf numFmtId="0" fontId="68" fillId="5" borderId="4" xfId="0" applyFont="1" applyFill="1" applyBorder="1" applyAlignment="1">
      <alignment horizontal="left" vertical="center" indent="3"/>
    </xf>
    <xf numFmtId="0" fontId="57" fillId="0" borderId="4" xfId="0" applyFont="1" applyBorder="1" applyAlignment="1">
      <alignment horizontal="left" vertical="center" indent="3"/>
    </xf>
    <xf numFmtId="0" fontId="69" fillId="0" borderId="4" xfId="0" applyFont="1" applyBorder="1" applyAlignment="1">
      <alignment horizontal="center" vertical="center"/>
    </xf>
    <xf numFmtId="0" fontId="64" fillId="5" borderId="4" xfId="0" applyFont="1" applyFill="1" applyBorder="1">
      <alignment vertical="center"/>
    </xf>
    <xf numFmtId="0" fontId="70" fillId="3" borderId="4" xfId="0" applyFont="1" applyFill="1" applyBorder="1" applyAlignment="1">
      <alignment horizontal="center" vertical="center" wrapText="1"/>
    </xf>
    <xf numFmtId="0" fontId="71" fillId="5" borderId="4" xfId="0" applyFont="1" applyFill="1" applyBorder="1">
      <alignment vertical="center"/>
    </xf>
    <xf numFmtId="0" fontId="72" fillId="0" borderId="4" xfId="0" applyFont="1" applyBorder="1" applyAlignment="1">
      <alignment horizontal="center" vertical="center"/>
    </xf>
    <xf numFmtId="0" fontId="73" fillId="0" borderId="4" xfId="0" applyFont="1" applyBorder="1" applyAlignment="1">
      <alignment horizontal="center" vertical="center"/>
    </xf>
    <xf numFmtId="0" fontId="74" fillId="0" borderId="4" xfId="0" applyFont="1" applyBorder="1" applyAlignment="1">
      <alignment horizontal="center" vertical="center"/>
    </xf>
    <xf numFmtId="0" fontId="75" fillId="0" borderId="4" xfId="0" applyFont="1" applyBorder="1" applyAlignment="1">
      <alignment vertical="center" wrapText="1"/>
    </xf>
    <xf numFmtId="0" fontId="63" fillId="0" borderId="4" xfId="0" applyFont="1" applyBorder="1" applyAlignment="1">
      <alignment horizontal="center" vertical="center" wrapText="1"/>
    </xf>
    <xf numFmtId="0" fontId="57" fillId="0" borderId="4" xfId="0" applyFont="1" applyBorder="1" applyAlignment="1">
      <alignment horizontal="left" vertical="center" indent="2"/>
    </xf>
    <xf numFmtId="0" fontId="68" fillId="3" borderId="4" xfId="0" applyFont="1" applyFill="1" applyBorder="1" applyAlignment="1">
      <alignment horizontal="left" vertical="center" indent="2"/>
    </xf>
    <xf numFmtId="0" fontId="68" fillId="0" borderId="4" xfId="0" applyFont="1" applyBorder="1" applyAlignment="1">
      <alignment horizontal="left" vertical="center" indent="2"/>
    </xf>
    <xf numFmtId="0" fontId="15" fillId="24" borderId="36" xfId="0" applyFont="1" applyFill="1" applyBorder="1" applyAlignment="1">
      <alignment horizontal="center" vertical="center" wrapText="1"/>
    </xf>
    <xf numFmtId="0" fontId="63" fillId="8" borderId="4" xfId="0" applyFont="1" applyFill="1" applyBorder="1" applyAlignment="1">
      <alignment horizontal="center" vertical="center" wrapText="1"/>
    </xf>
    <xf numFmtId="0" fontId="64" fillId="8" borderId="4" xfId="0" applyFont="1" applyFill="1" applyBorder="1">
      <alignment vertical="center"/>
    </xf>
    <xf numFmtId="0" fontId="69" fillId="8" borderId="4" xfId="0" applyFont="1" applyFill="1" applyBorder="1" applyAlignment="1">
      <alignment horizontal="center" vertical="center"/>
    </xf>
    <xf numFmtId="0" fontId="68" fillId="8" borderId="4" xfId="0" applyFont="1" applyFill="1" applyBorder="1">
      <alignment vertical="center"/>
    </xf>
    <xf numFmtId="0" fontId="24" fillId="8" borderId="4" xfId="0" applyFont="1" applyFill="1" applyBorder="1" applyAlignment="1">
      <alignment horizontal="center" vertical="center"/>
    </xf>
    <xf numFmtId="0" fontId="64" fillId="0" borderId="4" xfId="0" applyFont="1" applyBorder="1">
      <alignment vertical="center"/>
    </xf>
    <xf numFmtId="0" fontId="55" fillId="0" borderId="4" xfId="0" applyFont="1" applyBorder="1">
      <alignment vertical="center"/>
    </xf>
    <xf numFmtId="0" fontId="64" fillId="10" borderId="4" xfId="0" applyFont="1" applyFill="1" applyBorder="1">
      <alignment vertical="center"/>
    </xf>
    <xf numFmtId="0" fontId="76" fillId="5" borderId="4" xfId="0" applyFont="1" applyFill="1" applyBorder="1" applyAlignment="1">
      <alignment horizontal="left" vertical="center" indent="4"/>
    </xf>
    <xf numFmtId="0" fontId="77" fillId="0" borderId="4" xfId="0" applyFont="1" applyBorder="1" applyAlignment="1">
      <alignment horizontal="center" vertical="center"/>
    </xf>
    <xf numFmtId="0" fontId="78" fillId="0" borderId="4" xfId="0" applyFont="1" applyBorder="1" applyAlignment="1">
      <alignment horizontal="center" vertical="center"/>
    </xf>
    <xf numFmtId="0" fontId="55" fillId="5" borderId="4" xfId="0" applyFont="1" applyFill="1" applyBorder="1" applyAlignment="1">
      <alignment horizontal="left" vertical="center" indent="4"/>
    </xf>
    <xf numFmtId="0" fontId="58" fillId="0" borderId="4" xfId="0" applyFont="1" applyBorder="1" applyAlignment="1">
      <alignment horizontal="center" vertical="center"/>
    </xf>
    <xf numFmtId="57" fontId="76" fillId="10" borderId="4" xfId="0" applyNumberFormat="1" applyFont="1" applyFill="1" applyBorder="1" applyAlignment="1">
      <alignment horizontal="left" vertical="center" indent="4"/>
    </xf>
    <xf numFmtId="0" fontId="77" fillId="10" borderId="4" xfId="0" applyFont="1" applyFill="1" applyBorder="1" applyAlignment="1">
      <alignment horizontal="center" vertical="center"/>
    </xf>
    <xf numFmtId="0" fontId="77" fillId="3" borderId="4" xfId="0" applyFont="1" applyFill="1" applyBorder="1" applyAlignment="1">
      <alignment horizontal="center" vertical="center"/>
    </xf>
    <xf numFmtId="0" fontId="79" fillId="0" borderId="0" xfId="0" applyFont="1" applyAlignment="1">
      <alignment horizontal="center" vertical="center"/>
    </xf>
    <xf numFmtId="0" fontId="24" fillId="0" borderId="0" xfId="0" applyFont="1" applyAlignment="1">
      <alignment horizontal="center" vertical="center"/>
    </xf>
    <xf numFmtId="180" fontId="59" fillId="0" borderId="4" xfId="0" applyNumberFormat="1" applyFont="1" applyBorder="1" applyAlignment="1">
      <alignment horizontal="center" vertical="center"/>
    </xf>
    <xf numFmtId="0" fontId="55" fillId="0" borderId="4" xfId="0" applyFont="1" applyBorder="1" applyAlignment="1">
      <alignment horizontal="center" vertical="center"/>
    </xf>
    <xf numFmtId="0" fontId="59" fillId="0" borderId="4" xfId="0" applyFont="1" applyBorder="1" applyAlignment="1">
      <alignment horizontal="center" vertical="center"/>
    </xf>
    <xf numFmtId="0" fontId="76" fillId="0" borderId="4" xfId="0" applyFont="1" applyBorder="1" applyAlignment="1">
      <alignment horizontal="center" vertical="center"/>
    </xf>
    <xf numFmtId="0" fontId="76" fillId="0" borderId="4" xfId="0" applyFont="1" applyBorder="1" applyAlignment="1">
      <alignment vertical="center" wrapText="1"/>
    </xf>
    <xf numFmtId="0" fontId="59" fillId="11" borderId="4" xfId="0" applyFont="1" applyFill="1" applyBorder="1" applyAlignment="1">
      <alignment horizontal="center" vertical="center"/>
    </xf>
    <xf numFmtId="0" fontId="76" fillId="0" borderId="28" xfId="0" applyFont="1" applyBorder="1" applyAlignment="1">
      <alignment horizontal="left" vertical="center" wrapText="1"/>
    </xf>
    <xf numFmtId="57" fontId="59" fillId="0" borderId="4" xfId="0" applyNumberFormat="1" applyFont="1" applyBorder="1" applyAlignment="1">
      <alignment horizontal="center" vertical="center"/>
    </xf>
    <xf numFmtId="0" fontId="55" fillId="0" borderId="6" xfId="0" applyFont="1" applyBorder="1" applyAlignment="1">
      <alignment horizontal="left" vertical="center" wrapText="1"/>
    </xf>
    <xf numFmtId="9" fontId="59" fillId="0" borderId="4" xfId="0" applyNumberFormat="1" applyFont="1" applyBorder="1" applyAlignment="1">
      <alignment horizontal="center" vertical="center"/>
    </xf>
    <xf numFmtId="10" fontId="59" fillId="0" borderId="4" xfId="0" applyNumberFormat="1" applyFont="1" applyBorder="1" applyAlignment="1">
      <alignment horizontal="center" vertical="center"/>
    </xf>
    <xf numFmtId="0" fontId="80" fillId="0" borderId="4" xfId="0" applyFont="1" applyBorder="1" applyAlignment="1">
      <alignment horizontal="center" vertical="center"/>
    </xf>
    <xf numFmtId="0" fontId="81" fillId="0" borderId="4" xfId="0" applyFont="1" applyBorder="1" applyAlignment="1">
      <alignment horizontal="center" vertical="center"/>
    </xf>
    <xf numFmtId="0" fontId="75" fillId="0" borderId="4" xfId="0" applyFont="1" applyBorder="1">
      <alignment vertical="center"/>
    </xf>
    <xf numFmtId="0" fontId="76" fillId="0" borderId="4" xfId="0" applyFont="1" applyBorder="1">
      <alignment vertical="center"/>
    </xf>
    <xf numFmtId="178" fontId="59" fillId="8" borderId="4" xfId="0" applyNumberFormat="1" applyFont="1" applyFill="1" applyBorder="1" applyAlignment="1">
      <alignment horizontal="center" vertical="center"/>
    </xf>
    <xf numFmtId="0" fontId="55" fillId="8" borderId="4" xfId="0" applyFont="1" applyFill="1" applyBorder="1" applyAlignment="1">
      <alignment horizontal="center" vertical="center"/>
    </xf>
    <xf numFmtId="178" fontId="59" fillId="0" borderId="4" xfId="0" applyNumberFormat="1" applyFont="1" applyBorder="1" applyAlignment="1">
      <alignment horizontal="center" vertical="center"/>
    </xf>
    <xf numFmtId="9" fontId="57" fillId="10" borderId="4" xfId="3" applyFont="1" applyFill="1" applyBorder="1" applyAlignment="1">
      <alignment horizontal="center" vertical="center"/>
    </xf>
    <xf numFmtId="9" fontId="57" fillId="0" borderId="4" xfId="0" applyNumberFormat="1" applyFont="1" applyBorder="1" applyAlignment="1">
      <alignment horizontal="center" vertical="center"/>
    </xf>
    <xf numFmtId="9" fontId="57" fillId="8" borderId="4" xfId="0" applyNumberFormat="1" applyFont="1" applyFill="1" applyBorder="1" applyAlignment="1">
      <alignment horizontal="center" vertical="center"/>
    </xf>
    <xf numFmtId="0" fontId="64" fillId="30" borderId="4" xfId="0" applyFont="1" applyFill="1" applyBorder="1">
      <alignment vertical="center"/>
    </xf>
    <xf numFmtId="0" fontId="66" fillId="0" borderId="4" xfId="0" applyFont="1" applyBorder="1" applyAlignment="1">
      <alignment horizontal="center" vertical="center" wrapText="1"/>
    </xf>
    <xf numFmtId="0" fontId="82" fillId="0" borderId="4" xfId="0" applyFont="1" applyBorder="1" applyAlignment="1">
      <alignment horizontal="center" vertical="center" wrapText="1"/>
    </xf>
    <xf numFmtId="0" fontId="33" fillId="0" borderId="4" xfId="0" applyFont="1" applyBorder="1" applyAlignment="1">
      <alignment horizontal="center" vertical="center" wrapText="1"/>
    </xf>
    <xf numFmtId="0" fontId="61" fillId="0" borderId="36" xfId="0" applyFont="1" applyBorder="1" applyAlignment="1">
      <alignment horizontal="center" vertical="center" wrapText="1"/>
    </xf>
    <xf numFmtId="0" fontId="68" fillId="8" borderId="4" xfId="0" applyFont="1" applyFill="1" applyBorder="1" applyAlignment="1">
      <alignment horizontal="left" vertical="center" indent="3"/>
    </xf>
    <xf numFmtId="0" fontId="68" fillId="0" borderId="4" xfId="0" applyFont="1" applyBorder="1" applyAlignment="1">
      <alignment horizontal="left" vertical="center" indent="3"/>
    </xf>
    <xf numFmtId="0" fontId="55" fillId="0" borderId="4" xfId="0" applyFont="1" applyBorder="1" applyAlignment="1">
      <alignment horizontal="left" vertical="center" indent="5"/>
    </xf>
    <xf numFmtId="0" fontId="82" fillId="0" borderId="4" xfId="0" applyFont="1" applyBorder="1" applyAlignment="1">
      <alignment horizontal="center" vertical="center"/>
    </xf>
    <xf numFmtId="0" fontId="24" fillId="0" borderId="4" xfId="0" applyFont="1" applyBorder="1" applyAlignment="1">
      <alignment vertical="center" wrapText="1"/>
    </xf>
    <xf numFmtId="178" fontId="57" fillId="0" borderId="4" xfId="0" applyNumberFormat="1" applyFont="1" applyBorder="1" applyAlignment="1">
      <alignment horizontal="center" vertical="center"/>
    </xf>
    <xf numFmtId="10" fontId="57" fillId="0" borderId="4" xfId="0" applyNumberFormat="1" applyFont="1" applyBorder="1" applyAlignment="1">
      <alignment horizontal="center" vertical="center"/>
    </xf>
    <xf numFmtId="0" fontId="15" fillId="24" borderId="28" xfId="0" applyFont="1" applyFill="1" applyBorder="1" applyAlignment="1">
      <alignment horizontal="center" vertical="center" wrapText="1"/>
    </xf>
    <xf numFmtId="9" fontId="24" fillId="0" borderId="4" xfId="0" applyNumberFormat="1" applyFont="1" applyBorder="1" applyAlignment="1">
      <alignment horizontal="center" vertical="center"/>
    </xf>
    <xf numFmtId="0" fontId="67" fillId="0" borderId="4" xfId="0" applyFont="1" applyBorder="1">
      <alignment vertical="center"/>
    </xf>
    <xf numFmtId="0" fontId="82" fillId="8" borderId="4" xfId="0" applyFont="1" applyFill="1" applyBorder="1" applyAlignment="1">
      <alignment horizontal="center" vertical="center"/>
    </xf>
    <xf numFmtId="0" fontId="76" fillId="8" borderId="4" xfId="0" applyFont="1" applyFill="1" applyBorder="1">
      <alignment vertical="center"/>
    </xf>
    <xf numFmtId="0" fontId="68" fillId="8" borderId="4" xfId="0" applyFont="1" applyFill="1" applyBorder="1" applyAlignment="1">
      <alignment horizontal="left" vertical="center" indent="2"/>
    </xf>
    <xf numFmtId="0" fontId="65" fillId="8" borderId="4" xfId="0" applyFont="1" applyFill="1" applyBorder="1" applyAlignment="1">
      <alignment horizontal="center" vertical="center"/>
    </xf>
    <xf numFmtId="0" fontId="55" fillId="8" borderId="4" xfId="0" applyFont="1" applyFill="1" applyBorder="1">
      <alignment vertical="center"/>
    </xf>
    <xf numFmtId="0" fontId="61" fillId="24" borderId="6" xfId="0" applyFont="1" applyFill="1" applyBorder="1" applyAlignment="1">
      <alignment horizontal="center" vertical="center" wrapText="1"/>
    </xf>
    <xf numFmtId="0" fontId="61" fillId="24" borderId="36" xfId="0" applyFont="1" applyFill="1" applyBorder="1" applyAlignment="1">
      <alignment vertical="center" wrapText="1"/>
    </xf>
    <xf numFmtId="0" fontId="33" fillId="0" borderId="4" xfId="0" applyFont="1" applyBorder="1">
      <alignment vertical="center"/>
    </xf>
    <xf numFmtId="0" fontId="55" fillId="3" borderId="4" xfId="0" applyFont="1" applyFill="1" applyBorder="1" applyAlignment="1">
      <alignment horizontal="left" vertical="center" indent="5"/>
    </xf>
    <xf numFmtId="181" fontId="57" fillId="0" borderId="4" xfId="0" applyNumberFormat="1" applyFont="1" applyBorder="1" applyAlignment="1">
      <alignment horizontal="center" vertical="center"/>
    </xf>
    <xf numFmtId="181" fontId="57" fillId="3" borderId="4" xfId="0" applyNumberFormat="1" applyFont="1" applyFill="1" applyBorder="1" applyAlignment="1">
      <alignment horizontal="center" vertical="center"/>
    </xf>
    <xf numFmtId="2" fontId="59" fillId="0" borderId="4" xfId="0" applyNumberFormat="1" applyFont="1" applyBorder="1" applyAlignment="1">
      <alignment horizontal="right" vertical="center"/>
    </xf>
    <xf numFmtId="2" fontId="83" fillId="0" borderId="4" xfId="0" applyNumberFormat="1" applyFont="1" applyBorder="1" applyAlignment="1">
      <alignment horizontal="right" vertical="center"/>
    </xf>
    <xf numFmtId="2" fontId="84" fillId="8" borderId="4" xfId="0" applyNumberFormat="1" applyFont="1" applyFill="1" applyBorder="1" applyAlignment="1">
      <alignment horizontal="right" vertical="center"/>
    </xf>
    <xf numFmtId="2" fontId="59" fillId="8" borderId="4" xfId="0" applyNumberFormat="1" applyFont="1" applyFill="1" applyBorder="1" applyAlignment="1">
      <alignment horizontal="right" vertical="center"/>
    </xf>
    <xf numFmtId="0" fontId="76" fillId="8" borderId="4" xfId="0" applyFont="1" applyFill="1" applyBorder="1" applyAlignment="1">
      <alignment horizontal="center" vertical="center"/>
    </xf>
    <xf numFmtId="9" fontId="59" fillId="0" borderId="4" xfId="3" applyFont="1" applyFill="1" applyBorder="1" applyAlignment="1">
      <alignment horizontal="right" vertical="center"/>
    </xf>
    <xf numFmtId="2" fontId="59" fillId="5" borderId="4" xfId="0" applyNumberFormat="1" applyFont="1" applyFill="1" applyBorder="1" applyAlignment="1">
      <alignment horizontal="right" vertical="center"/>
    </xf>
    <xf numFmtId="0" fontId="61" fillId="24" borderId="36" xfId="0" applyFont="1" applyFill="1" applyBorder="1">
      <alignment vertical="center"/>
    </xf>
    <xf numFmtId="0" fontId="67" fillId="30" borderId="4" xfId="0" applyFont="1" applyFill="1" applyBorder="1" applyAlignment="1">
      <alignment horizontal="left" vertical="center" indent="2"/>
    </xf>
    <xf numFmtId="0" fontId="63" fillId="3" borderId="4" xfId="0" applyFont="1" applyFill="1" applyBorder="1" applyAlignment="1">
      <alignment horizontal="center" vertical="center"/>
    </xf>
    <xf numFmtId="0" fontId="61" fillId="5" borderId="4" xfId="0" applyFont="1" applyFill="1" applyBorder="1">
      <alignment vertical="center"/>
    </xf>
    <xf numFmtId="0" fontId="57" fillId="26" borderId="4" xfId="0" applyFont="1" applyFill="1" applyBorder="1" applyAlignment="1">
      <alignment horizontal="left" vertical="center" indent="2"/>
    </xf>
    <xf numFmtId="0" fontId="69" fillId="26" borderId="4" xfId="0" applyFont="1" applyFill="1" applyBorder="1" applyAlignment="1">
      <alignment horizontal="center" vertical="center"/>
    </xf>
    <xf numFmtId="0" fontId="65" fillId="26" borderId="4" xfId="0" applyFont="1" applyFill="1" applyBorder="1" applyAlignment="1">
      <alignment horizontal="center" vertical="center"/>
    </xf>
    <xf numFmtId="0" fontId="24" fillId="26" borderId="4" xfId="0" applyFont="1" applyFill="1" applyBorder="1" applyAlignment="1">
      <alignment vertical="center" wrapText="1"/>
    </xf>
    <xf numFmtId="0" fontId="57" fillId="5" borderId="4" xfId="0" applyFont="1" applyFill="1" applyBorder="1" applyAlignment="1">
      <alignment horizontal="left" vertical="center" indent="2"/>
    </xf>
    <xf numFmtId="0" fontId="15" fillId="3" borderId="4" xfId="0" applyFont="1" applyFill="1" applyBorder="1">
      <alignment vertical="center"/>
    </xf>
    <xf numFmtId="0" fontId="65" fillId="0" borderId="28" xfId="0" applyFont="1" applyBorder="1" applyAlignment="1">
      <alignment horizontal="center" vertical="center"/>
    </xf>
    <xf numFmtId="0" fontId="24" fillId="0" borderId="28" xfId="0" applyFont="1" applyBorder="1" applyAlignment="1">
      <alignment horizontal="center" vertical="center"/>
    </xf>
    <xf numFmtId="0" fontId="55" fillId="5" borderId="4" xfId="0" applyFont="1" applyFill="1" applyBorder="1" applyAlignment="1">
      <alignment horizontal="left" vertical="center" indent="5"/>
    </xf>
    <xf numFmtId="0" fontId="58" fillId="0" borderId="28" xfId="0" applyFont="1" applyBorder="1" applyAlignment="1">
      <alignment horizontal="center" vertical="center"/>
    </xf>
    <xf numFmtId="0" fontId="77" fillId="0" borderId="28" xfId="0" applyFont="1" applyBorder="1" applyAlignment="1">
      <alignment horizontal="center" vertical="center"/>
    </xf>
    <xf numFmtId="0" fontId="77" fillId="0" borderId="4" xfId="0" applyFont="1" applyBorder="1" applyAlignment="1">
      <alignment vertical="center" wrapText="1"/>
    </xf>
    <xf numFmtId="0" fontId="59" fillId="26" borderId="4" xfId="0" applyFont="1" applyFill="1" applyBorder="1" applyAlignment="1">
      <alignment horizontal="center" vertical="center"/>
    </xf>
    <xf numFmtId="0" fontId="24" fillId="26" borderId="4" xfId="0" applyFont="1" applyFill="1" applyBorder="1" applyAlignment="1">
      <alignment horizontal="center" vertical="center"/>
    </xf>
    <xf numFmtId="0" fontId="55" fillId="26" borderId="4" xfId="0" applyFont="1" applyFill="1" applyBorder="1" applyAlignment="1">
      <alignment vertical="center" wrapText="1"/>
    </xf>
    <xf numFmtId="0" fontId="57" fillId="0" borderId="4" xfId="0" applyFont="1" applyBorder="1" applyAlignment="1">
      <alignment horizontal="center" vertical="center"/>
    </xf>
    <xf numFmtId="0" fontId="15" fillId="5" borderId="4" xfId="0" applyFont="1" applyFill="1" applyBorder="1">
      <alignment vertical="center"/>
    </xf>
    <xf numFmtId="0" fontId="61" fillId="24" borderId="28" xfId="0" applyFont="1" applyFill="1" applyBorder="1" applyAlignment="1">
      <alignment horizontal="center" vertical="center" wrapText="1"/>
    </xf>
    <xf numFmtId="0" fontId="61" fillId="16" borderId="28" xfId="0" applyFont="1" applyFill="1" applyBorder="1" applyAlignment="1">
      <alignment horizontal="center" vertical="center" wrapText="1"/>
    </xf>
    <xf numFmtId="0" fontId="55" fillId="0" borderId="4" xfId="0" applyFont="1" applyBorder="1" applyAlignment="1">
      <alignment horizontal="center" vertical="center" wrapText="1"/>
    </xf>
    <xf numFmtId="0" fontId="82" fillId="0" borderId="28" xfId="0" applyFont="1" applyBorder="1" applyAlignment="1">
      <alignment horizontal="center" vertical="center"/>
    </xf>
    <xf numFmtId="0" fontId="61" fillId="0" borderId="28" xfId="0" applyFont="1" applyBorder="1" applyAlignment="1">
      <alignment horizontal="center" vertical="center" wrapText="1"/>
    </xf>
    <xf numFmtId="0" fontId="66" fillId="3" borderId="4" xfId="0" applyFont="1" applyFill="1" applyBorder="1" applyAlignment="1">
      <alignment horizontal="center" vertical="center" wrapText="1"/>
    </xf>
    <xf numFmtId="0" fontId="64" fillId="5" borderId="4" xfId="0" applyFont="1" applyFill="1" applyBorder="1" applyAlignment="1">
      <alignment horizontal="center" vertical="center" wrapText="1"/>
    </xf>
    <xf numFmtId="178" fontId="83" fillId="3" borderId="4" xfId="0" applyNumberFormat="1" applyFont="1" applyFill="1" applyBorder="1" applyAlignment="1">
      <alignment horizontal="center" vertical="center"/>
    </xf>
    <xf numFmtId="0" fontId="68" fillId="5" borderId="4" xfId="0" applyFont="1" applyFill="1" applyBorder="1" applyAlignment="1">
      <alignment horizontal="left" vertical="center" indent="2"/>
    </xf>
    <xf numFmtId="0" fontId="56" fillId="0" borderId="4" xfId="0" applyFont="1" applyBorder="1" applyAlignment="1">
      <alignment horizontal="center" vertical="center" wrapText="1"/>
    </xf>
    <xf numFmtId="0" fontId="27" fillId="0" borderId="4" xfId="0" applyFont="1" applyBorder="1" applyAlignment="1">
      <alignment horizontal="center" vertical="center"/>
    </xf>
    <xf numFmtId="0" fontId="23" fillId="0" borderId="28" xfId="0" applyFont="1" applyBorder="1" applyAlignment="1">
      <alignment horizontal="center" vertical="center" wrapText="1"/>
    </xf>
    <xf numFmtId="0" fontId="56" fillId="0" borderId="4" xfId="0" applyFont="1" applyBorder="1" applyAlignment="1">
      <alignment vertical="center" wrapText="1"/>
    </xf>
    <xf numFmtId="0" fontId="66" fillId="5" borderId="4" xfId="0" applyFont="1" applyFill="1" applyBorder="1" applyAlignment="1">
      <alignment horizontal="center" vertical="center" wrapText="1"/>
    </xf>
    <xf numFmtId="0" fontId="66" fillId="0" borderId="28" xfId="0" applyFont="1" applyBorder="1" applyAlignment="1">
      <alignment horizontal="center" vertical="center" wrapText="1"/>
    </xf>
    <xf numFmtId="0" fontId="27" fillId="0" borderId="28" xfId="0" applyFont="1" applyBorder="1" applyAlignment="1">
      <alignment horizontal="center" vertical="center"/>
    </xf>
    <xf numFmtId="0" fontId="56" fillId="0" borderId="28" xfId="0" applyFont="1" applyBorder="1" applyAlignment="1">
      <alignment vertical="center" wrapText="1"/>
    </xf>
    <xf numFmtId="0" fontId="55" fillId="0" borderId="28" xfId="0" applyFont="1" applyBorder="1" applyAlignment="1">
      <alignment horizontal="center" vertical="center" wrapText="1"/>
    </xf>
    <xf numFmtId="0" fontId="63" fillId="0" borderId="28" xfId="0" applyFont="1" applyBorder="1" applyAlignment="1">
      <alignment horizontal="center" vertical="center" wrapText="1"/>
    </xf>
    <xf numFmtId="0" fontId="55" fillId="0" borderId="28" xfId="0" applyFont="1" applyBorder="1" applyAlignment="1">
      <alignment vertical="center" wrapText="1"/>
    </xf>
    <xf numFmtId="0" fontId="24" fillId="5" borderId="4" xfId="0" applyFont="1" applyFill="1" applyBorder="1" applyAlignment="1">
      <alignment horizontal="left" vertical="center" indent="2"/>
    </xf>
    <xf numFmtId="0" fontId="57" fillId="5" borderId="4" xfId="0" applyFont="1" applyFill="1" applyBorder="1" applyAlignment="1">
      <alignment horizontal="left" vertical="center" indent="4"/>
    </xf>
    <xf numFmtId="178" fontId="83" fillId="0" borderId="4" xfId="0" applyNumberFormat="1" applyFont="1" applyBorder="1" applyAlignment="1">
      <alignment horizontal="center" vertical="center"/>
    </xf>
    <xf numFmtId="10" fontId="85" fillId="0" borderId="4" xfId="3" applyNumberFormat="1" applyFont="1" applyBorder="1" applyAlignment="1">
      <alignment horizontal="center" vertical="center"/>
    </xf>
    <xf numFmtId="0" fontId="56" fillId="0" borderId="4" xfId="0" applyFont="1" applyBorder="1">
      <alignment vertical="center"/>
    </xf>
    <xf numFmtId="178" fontId="83" fillId="5" borderId="4" xfId="0" applyNumberFormat="1" applyFont="1" applyFill="1" applyBorder="1" applyAlignment="1">
      <alignment horizontal="center" vertical="center"/>
    </xf>
    <xf numFmtId="10" fontId="85" fillId="3" borderId="4" xfId="3" applyNumberFormat="1" applyFont="1" applyFill="1" applyBorder="1" applyAlignment="1">
      <alignment horizontal="center" vertical="center"/>
    </xf>
    <xf numFmtId="184" fontId="85" fillId="0" borderId="4" xfId="3" applyNumberFormat="1" applyFont="1" applyBorder="1" applyAlignment="1">
      <alignment horizontal="center" vertical="center"/>
    </xf>
    <xf numFmtId="184" fontId="59" fillId="0" borderId="4" xfId="0" applyNumberFormat="1" applyFont="1" applyBorder="1" applyAlignment="1">
      <alignment horizontal="center" vertical="center"/>
    </xf>
    <xf numFmtId="0" fontId="33" fillId="0" borderId="28" xfId="0" applyFont="1" applyBorder="1" applyAlignment="1">
      <alignment horizontal="center" vertical="center" wrapText="1"/>
    </xf>
    <xf numFmtId="0" fontId="33" fillId="0" borderId="36" xfId="0" applyFont="1" applyBorder="1" applyAlignment="1">
      <alignment horizontal="center" vertical="center" wrapText="1"/>
    </xf>
    <xf numFmtId="0" fontId="24" fillId="0" borderId="6" xfId="0" applyFont="1" applyBorder="1" applyAlignment="1">
      <alignment horizontal="center" vertical="center"/>
    </xf>
    <xf numFmtId="0" fontId="55" fillId="0" borderId="6" xfId="0" applyFont="1" applyBorder="1" applyAlignment="1">
      <alignment horizontal="center" vertical="center" wrapText="1"/>
    </xf>
    <xf numFmtId="0" fontId="61" fillId="31" borderId="28" xfId="0" applyFont="1" applyFill="1" applyBorder="1" applyAlignment="1">
      <alignment horizontal="center" vertical="center" wrapText="1"/>
    </xf>
    <xf numFmtId="0" fontId="76" fillId="0" borderId="4" xfId="0" applyFont="1" applyBorder="1" applyAlignment="1">
      <alignment horizontal="left" vertical="center" indent="5"/>
    </xf>
    <xf numFmtId="0" fontId="64" fillId="3" borderId="4" xfId="0" applyFont="1" applyFill="1" applyBorder="1" applyAlignment="1">
      <alignment horizontal="left" vertical="center" indent="2"/>
    </xf>
    <xf numFmtId="0" fontId="57" fillId="30" borderId="4" xfId="0" applyFont="1" applyFill="1" applyBorder="1" applyAlignment="1">
      <alignment horizontal="left" vertical="center" indent="4"/>
    </xf>
    <xf numFmtId="49" fontId="55" fillId="0" borderId="4" xfId="0" applyNumberFormat="1" applyFont="1" applyBorder="1" applyAlignment="1">
      <alignment horizontal="center" vertical="center" wrapText="1"/>
    </xf>
    <xf numFmtId="0" fontId="24" fillId="0" borderId="4" xfId="0" applyFont="1" applyBorder="1">
      <alignment vertical="center"/>
    </xf>
    <xf numFmtId="0" fontId="57" fillId="3" borderId="4" xfId="0" applyFont="1" applyFill="1" applyBorder="1" applyAlignment="1">
      <alignment horizontal="left" vertical="center" indent="4"/>
    </xf>
    <xf numFmtId="0" fontId="68" fillId="3" borderId="4" xfId="0" applyFont="1" applyFill="1" applyBorder="1" applyAlignment="1">
      <alignment horizontal="left" vertical="center" indent="4"/>
    </xf>
    <xf numFmtId="0" fontId="33" fillId="0" borderId="6" xfId="0" applyFont="1" applyBorder="1" applyAlignment="1">
      <alignment horizontal="center" vertical="center" wrapText="1"/>
    </xf>
    <xf numFmtId="178" fontId="59" fillId="3" borderId="4" xfId="0" applyNumberFormat="1" applyFont="1" applyFill="1" applyBorder="1" applyAlignment="1">
      <alignment horizontal="center" vertical="center"/>
    </xf>
    <xf numFmtId="0" fontId="59" fillId="10" borderId="4" xfId="0" applyFont="1" applyFill="1" applyBorder="1" applyAlignment="1">
      <alignment horizontal="center" vertical="center"/>
    </xf>
    <xf numFmtId="182" fontId="59" fillId="0" borderId="4" xfId="0" applyNumberFormat="1" applyFont="1" applyBorder="1" applyAlignment="1">
      <alignment horizontal="center" vertical="center"/>
    </xf>
    <xf numFmtId="0" fontId="66" fillId="3" borderId="4" xfId="0" applyFont="1" applyFill="1" applyBorder="1" applyAlignment="1">
      <alignment horizontal="center" vertical="center"/>
    </xf>
    <xf numFmtId="0" fontId="68" fillId="5" borderId="4" xfId="0" applyFont="1" applyFill="1" applyBorder="1" applyAlignment="1">
      <alignment horizontal="left" vertical="center" indent="4"/>
    </xf>
    <xf numFmtId="0" fontId="64" fillId="3" borderId="4" xfId="0" applyFont="1" applyFill="1" applyBorder="1" applyAlignment="1">
      <alignment horizontal="left" vertical="center" indent="4"/>
    </xf>
    <xf numFmtId="0" fontId="76" fillId="5" borderId="4" xfId="0" applyFont="1" applyFill="1" applyBorder="1" applyAlignment="1">
      <alignment horizontal="left" vertical="center" indent="5"/>
    </xf>
    <xf numFmtId="0" fontId="86" fillId="0" borderId="4" xfId="0" applyFont="1" applyBorder="1" applyAlignment="1">
      <alignment horizontal="center" vertical="center"/>
    </xf>
    <xf numFmtId="0" fontId="77" fillId="0" borderId="4" xfId="0" applyFont="1" applyBorder="1">
      <alignment vertical="center"/>
    </xf>
    <xf numFmtId="9" fontId="24" fillId="10" borderId="4" xfId="0" applyNumberFormat="1" applyFont="1" applyFill="1" applyBorder="1" applyAlignment="1">
      <alignment horizontal="center" vertical="center"/>
    </xf>
    <xf numFmtId="0" fontId="61" fillId="0" borderId="4" xfId="0" applyFont="1" applyBorder="1">
      <alignment vertical="center"/>
    </xf>
    <xf numFmtId="0" fontId="33" fillId="0" borderId="4" xfId="0" applyFont="1" applyBorder="1" applyAlignment="1">
      <alignment horizontal="left" vertical="center" indent="2"/>
    </xf>
    <xf numFmtId="0" fontId="24" fillId="0" borderId="4" xfId="0" applyFont="1" applyBorder="1" applyAlignment="1">
      <alignment horizontal="left" vertical="center" indent="2"/>
    </xf>
    <xf numFmtId="0" fontId="61" fillId="3" borderId="4" xfId="0" applyFont="1" applyFill="1" applyBorder="1">
      <alignment vertical="center"/>
    </xf>
    <xf numFmtId="0" fontId="33" fillId="3" borderId="4" xfId="0" applyFont="1" applyFill="1" applyBorder="1" applyAlignment="1">
      <alignment horizontal="left" vertical="center" indent="2"/>
    </xf>
    <xf numFmtId="2" fontId="59" fillId="0" borderId="4" xfId="0" applyNumberFormat="1" applyFont="1" applyBorder="1" applyAlignment="1">
      <alignment horizontal="center" vertical="center"/>
    </xf>
    <xf numFmtId="181" fontId="59" fillId="0" borderId="4" xfId="0" applyNumberFormat="1" applyFont="1" applyBorder="1" applyAlignment="1">
      <alignment horizontal="center" vertical="center"/>
    </xf>
    <xf numFmtId="190" fontId="59" fillId="0" borderId="4" xfId="0" applyNumberFormat="1" applyFont="1" applyBorder="1" applyAlignment="1">
      <alignment horizontal="center" vertical="center"/>
    </xf>
    <xf numFmtId="0" fontId="15" fillId="16" borderId="28" xfId="0" applyFont="1" applyFill="1" applyBorder="1" applyAlignment="1">
      <alignment horizontal="center" vertical="center" wrapText="1"/>
    </xf>
    <xf numFmtId="0" fontId="68" fillId="3" borderId="4" xfId="0" applyFont="1" applyFill="1" applyBorder="1">
      <alignment vertical="center"/>
    </xf>
    <xf numFmtId="0" fontId="24" fillId="0" borderId="4" xfId="0" applyFont="1" applyBorder="1" applyAlignment="1">
      <alignment horizontal="center" vertical="center" wrapText="1"/>
    </xf>
    <xf numFmtId="9" fontId="24" fillId="0" borderId="4" xfId="0" applyNumberFormat="1" applyFont="1" applyBorder="1" applyAlignment="1">
      <alignment horizontal="left" vertical="center" wrapText="1"/>
    </xf>
    <xf numFmtId="0" fontId="15" fillId="3" borderId="28" xfId="0" applyFont="1" applyFill="1" applyBorder="1" applyAlignment="1">
      <alignment horizontal="center" vertical="center" wrapText="1"/>
    </xf>
    <xf numFmtId="0" fontId="61" fillId="3" borderId="36" xfId="0" applyFont="1" applyFill="1" applyBorder="1" applyAlignment="1">
      <alignment horizontal="center" vertical="center" wrapText="1"/>
    </xf>
    <xf numFmtId="0" fontId="59" fillId="3" borderId="4" xfId="0" applyFont="1" applyFill="1" applyBorder="1" applyAlignment="1">
      <alignment horizontal="center" vertical="center"/>
    </xf>
    <xf numFmtId="192" fontId="21" fillId="0" borderId="4" xfId="49" applyNumberFormat="1" applyFont="1" applyBorder="1" applyAlignment="1">
      <alignment horizontal="right" vertical="center"/>
    </xf>
    <xf numFmtId="0" fontId="55" fillId="10" borderId="4" xfId="0" applyFont="1" applyFill="1" applyBorder="1" applyAlignment="1">
      <alignment horizontal="center" vertical="center" wrapText="1"/>
    </xf>
    <xf numFmtId="0" fontId="68" fillId="10" borderId="4" xfId="0" applyFont="1" applyFill="1" applyBorder="1">
      <alignment vertical="center"/>
    </xf>
    <xf numFmtId="0" fontId="24" fillId="10" borderId="4" xfId="0" applyFont="1" applyFill="1" applyBorder="1" applyAlignment="1">
      <alignment horizontal="center" vertical="center"/>
    </xf>
    <xf numFmtId="0" fontId="76" fillId="10" borderId="4" xfId="0" applyFont="1" applyFill="1" applyBorder="1" applyAlignment="1">
      <alignment vertical="center" wrapText="1"/>
    </xf>
    <xf numFmtId="0" fontId="61" fillId="3" borderId="6" xfId="0" applyFont="1" applyFill="1" applyBorder="1" applyAlignment="1">
      <alignment horizontal="center" vertical="center" wrapText="1"/>
    </xf>
    <xf numFmtId="0" fontId="61" fillId="0" borderId="0" xfId="0" applyFont="1" applyAlignment="1">
      <alignment horizontal="center" vertical="center" wrapText="1"/>
    </xf>
    <xf numFmtId="0" fontId="57" fillId="0" borderId="0" xfId="0" applyFont="1" applyAlignment="1">
      <alignment horizontal="left" vertical="center" indent="2"/>
    </xf>
    <xf numFmtId="0" fontId="57" fillId="0" borderId="0" xfId="0" applyFont="1" applyAlignment="1">
      <alignment horizontal="center" vertical="center"/>
    </xf>
    <xf numFmtId="0" fontId="65" fillId="0" borderId="0" xfId="0" applyFont="1" applyAlignment="1">
      <alignment horizontal="center" vertical="center"/>
    </xf>
    <xf numFmtId="0" fontId="87" fillId="24" borderId="4" xfId="0" applyFont="1" applyFill="1" applyBorder="1" applyAlignment="1">
      <alignment horizontal="center" vertical="center"/>
    </xf>
    <xf numFmtId="0" fontId="67" fillId="2" borderId="43" xfId="0" applyFont="1" applyFill="1" applyBorder="1" applyAlignment="1">
      <alignment horizontal="center" vertical="center"/>
    </xf>
    <xf numFmtId="0" fontId="57" fillId="0" borderId="7" xfId="0" applyFont="1" applyBorder="1" applyAlignment="1">
      <alignment horizontal="center" vertical="center"/>
    </xf>
    <xf numFmtId="0" fontId="57" fillId="0" borderId="4" xfId="0" applyFont="1" applyBorder="1">
      <alignment vertical="center"/>
    </xf>
    <xf numFmtId="0" fontId="67" fillId="2" borderId="0" xfId="0" applyFont="1" applyFill="1" applyAlignment="1">
      <alignment horizontal="center" vertical="center"/>
    </xf>
    <xf numFmtId="0" fontId="68" fillId="0" borderId="7" xfId="0" applyFont="1" applyBorder="1" applyAlignment="1">
      <alignment horizontal="left" vertical="center" indent="2"/>
    </xf>
    <xf numFmtId="0" fontId="88" fillId="0" borderId="0" xfId="0" applyFont="1">
      <alignment vertical="center"/>
    </xf>
    <xf numFmtId="0" fontId="33" fillId="10" borderId="4" xfId="0" applyFont="1" applyFill="1" applyBorder="1" applyAlignment="1">
      <alignment horizontal="center" vertical="center"/>
    </xf>
    <xf numFmtId="0" fontId="55" fillId="10" borderId="4" xfId="0" applyFont="1" applyFill="1" applyBorder="1" applyAlignment="1">
      <alignment horizontal="center" vertical="center"/>
    </xf>
    <xf numFmtId="0" fontId="1" fillId="0" borderId="7" xfId="0" applyFont="1" applyBorder="1">
      <alignment vertical="center"/>
    </xf>
    <xf numFmtId="0" fontId="51" fillId="9" borderId="6" xfId="0" applyFont="1" applyFill="1" applyBorder="1" applyAlignment="1">
      <alignment horizontal="center" vertical="center"/>
    </xf>
    <xf numFmtId="0" fontId="1" fillId="9" borderId="6" xfId="0" applyFont="1" applyFill="1" applyBorder="1" applyAlignment="1">
      <alignment horizontal="center" vertical="center"/>
    </xf>
    <xf numFmtId="180" fontId="1" fillId="3" borderId="6" xfId="0" applyNumberFormat="1" applyFont="1" applyFill="1" applyBorder="1" applyAlignment="1">
      <alignment horizontal="center" vertical="center"/>
    </xf>
    <xf numFmtId="0" fontId="4" fillId="32" borderId="4" xfId="0" applyFont="1" applyFill="1" applyBorder="1" applyAlignment="1">
      <alignment horizontal="center" vertical="center"/>
    </xf>
    <xf numFmtId="9" fontId="4" fillId="32" borderId="4" xfId="0" applyNumberFormat="1" applyFont="1" applyFill="1" applyBorder="1" applyAlignment="1">
      <alignment horizontal="center" vertical="center"/>
    </xf>
    <xf numFmtId="10" fontId="1" fillId="0" borderId="4" xfId="0" applyNumberFormat="1" applyFont="1" applyBorder="1">
      <alignment vertical="center"/>
    </xf>
    <xf numFmtId="0" fontId="1" fillId="5" borderId="11" xfId="0" applyFont="1" applyFill="1" applyBorder="1" applyAlignment="1">
      <alignment horizontal="center" vertical="center"/>
    </xf>
    <xf numFmtId="0" fontId="1" fillId="5" borderId="7" xfId="0" applyFont="1" applyFill="1" applyBorder="1" applyAlignment="1">
      <alignment horizontal="center" vertical="center"/>
    </xf>
    <xf numFmtId="0" fontId="4" fillId="5" borderId="11" xfId="0" applyFont="1" applyFill="1" applyBorder="1" applyAlignment="1">
      <alignment horizontal="center" vertical="center"/>
    </xf>
    <xf numFmtId="0" fontId="4" fillId="5" borderId="7" xfId="0" applyFont="1" applyFill="1" applyBorder="1" applyAlignment="1">
      <alignment horizontal="center" vertical="center"/>
    </xf>
    <xf numFmtId="0" fontId="40" fillId="0" borderId="0" xfId="0" applyFont="1" applyAlignment="1">
      <alignment horizontal="right" vertical="center"/>
    </xf>
    <xf numFmtId="0" fontId="1" fillId="0" borderId="44" xfId="0" applyFont="1" applyBorder="1" applyAlignment="1">
      <alignment horizontal="center" vertical="center"/>
    </xf>
    <xf numFmtId="0" fontId="4" fillId="32" borderId="0" xfId="0" applyFont="1" applyFill="1" applyAlignment="1">
      <alignment horizontal="right" vertical="center"/>
    </xf>
    <xf numFmtId="0" fontId="4" fillId="32" borderId="0" xfId="0" applyFont="1" applyFill="1" applyAlignment="1">
      <alignment horizontal="center" vertical="center"/>
    </xf>
    <xf numFmtId="178" fontId="4" fillId="32" borderId="0" xfId="0" applyNumberFormat="1" applyFont="1" applyFill="1" applyAlignment="1">
      <alignment horizontal="right" vertical="center"/>
    </xf>
    <xf numFmtId="0" fontId="40" fillId="5" borderId="0" xfId="0" applyFont="1" applyFill="1">
      <alignment vertical="center"/>
    </xf>
    <xf numFmtId="0" fontId="40" fillId="0" borderId="0" xfId="0" applyFont="1" applyAlignment="1">
      <alignment vertical="center" wrapText="1"/>
    </xf>
    <xf numFmtId="0" fontId="40" fillId="31" borderId="0" xfId="0" applyFont="1" applyFill="1">
      <alignment vertical="center"/>
    </xf>
    <xf numFmtId="0" fontId="40" fillId="16" borderId="0" xfId="0" applyFont="1" applyFill="1">
      <alignment vertical="center"/>
    </xf>
    <xf numFmtId="0" fontId="40" fillId="30" borderId="0" xfId="0" applyFont="1" applyFill="1">
      <alignment vertical="center"/>
    </xf>
    <xf numFmtId="0" fontId="40" fillId="10" borderId="0" xfId="0" applyFont="1" applyFill="1">
      <alignment vertical="center"/>
    </xf>
    <xf numFmtId="0" fontId="40" fillId="33" borderId="0" xfId="0" applyFont="1" applyFill="1">
      <alignment vertical="center"/>
    </xf>
  </cellXfs>
  <cellStyles count="6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百分比 16 2" xfId="49"/>
    <cellStyle name="常规 2 3 2 2" xfId="50"/>
    <cellStyle name="常规 32" xfId="51"/>
    <cellStyle name="常规_0100烟台天达石化收益法－081110" xfId="52"/>
    <cellStyle name="常规_电信酒店收益法评估明细表" xfId="53"/>
    <cellStyle name="常规_收益法评估表格（东莞兴华）" xfId="54"/>
    <cellStyle name="千位分隔 10 2 2 3" xfId="55"/>
    <cellStyle name="千位分隔 15" xfId="56"/>
    <cellStyle name="千位分隔 2 2 4" xfId="57"/>
    <cellStyle name="千位分隔 3 4 2" xfId="58"/>
    <cellStyle name="样式 1" xfId="59"/>
  </cellStyles>
  <dxfs count="3">
    <dxf>
      <numFmt numFmtId="179" formatCode="0_ "/>
    </dxf>
    <dxf>
      <font>
        <b val="1"/>
        <i val="0"/>
        <color rgb="FFC00000"/>
      </font>
    </dxf>
    <dxf>
      <font>
        <b val="1"/>
        <i val="0"/>
        <color rgb="FFFF0000"/>
      </font>
    </dxf>
  </dxfs>
  <tableStyles count="0" defaultTableStyle="TableStyleMedium2" defaultPivotStyle="PivotStyleLight16"/>
  <colors>
    <mruColors>
      <color rgb="00F4C2ED"/>
      <color rgb="00E83855"/>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1:C20"/>
  <sheetViews>
    <sheetView showGridLines="0" workbookViewId="0">
      <selection activeCell="C3" sqref="C3"/>
    </sheetView>
  </sheetViews>
  <sheetFormatPr defaultColWidth="8.78181818181818" defaultRowHeight="16.5" outlineLevelCol="2"/>
  <cols>
    <col min="1" max="1" width="1.21818181818182" style="232" customWidth="1"/>
    <col min="2" max="2" width="8.89090909090909" style="232" customWidth="1"/>
    <col min="3" max="3" width="151.781818181818" style="232" customWidth="1"/>
    <col min="4" max="16384" width="8.78181818181818" style="232"/>
  </cols>
  <sheetData>
    <row r="1" ht="10.05" customHeight="1"/>
    <row r="2" spans="2:2">
      <c r="B2" s="232" t="s">
        <v>0</v>
      </c>
    </row>
    <row r="3" ht="19.05" customHeight="1" spans="2:3">
      <c r="B3" s="812"/>
      <c r="C3" s="813" t="s">
        <v>1</v>
      </c>
    </row>
    <row r="4" ht="22.5" customHeight="1" spans="2:3">
      <c r="B4" s="814"/>
      <c r="C4" s="813" t="s">
        <v>2</v>
      </c>
    </row>
    <row r="5" ht="18" customHeight="1" spans="2:3">
      <c r="B5" s="815"/>
      <c r="C5" s="813" t="s">
        <v>3</v>
      </c>
    </row>
    <row r="6" ht="19.5" customHeight="1" spans="2:3">
      <c r="B6" s="816"/>
      <c r="C6" s="813" t="s">
        <v>4</v>
      </c>
    </row>
    <row r="7" ht="18.45" customHeight="1" spans="2:3">
      <c r="B7" s="817"/>
      <c r="C7" s="813" t="s">
        <v>5</v>
      </c>
    </row>
    <row r="8" ht="20.55" customHeight="1" spans="2:3">
      <c r="B8" s="818"/>
      <c r="C8" s="813" t="s">
        <v>6</v>
      </c>
    </row>
    <row r="9" spans="3:3">
      <c r="C9" s="813"/>
    </row>
    <row r="10" ht="33" spans="3:3">
      <c r="C10" s="813" t="s">
        <v>7</v>
      </c>
    </row>
    <row r="11" spans="3:3">
      <c r="C11" s="813"/>
    </row>
    <row r="12" ht="33" spans="3:3">
      <c r="C12" s="813" t="s">
        <v>8</v>
      </c>
    </row>
    <row r="13" spans="3:3">
      <c r="C13" s="813"/>
    </row>
    <row r="14" spans="3:3">
      <c r="C14" s="813" t="s">
        <v>9</v>
      </c>
    </row>
    <row r="16" spans="3:3">
      <c r="C16" s="813" t="s">
        <v>10</v>
      </c>
    </row>
    <row r="17" spans="3:3">
      <c r="C17" s="813"/>
    </row>
    <row r="18" ht="49.5" spans="3:3">
      <c r="C18" s="813" t="s">
        <v>11</v>
      </c>
    </row>
    <row r="20" spans="3:3">
      <c r="C20" s="232" t="s">
        <v>12</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rgb="FFF4C2ED"/>
  </sheetPr>
  <dimension ref="B1:L29"/>
  <sheetViews>
    <sheetView showGridLines="0" zoomScale="85" zoomScaleNormal="85" workbookViewId="0">
      <selection activeCell="D26" sqref="D26"/>
    </sheetView>
  </sheetViews>
  <sheetFormatPr defaultColWidth="8.78181818181818" defaultRowHeight="16.5"/>
  <cols>
    <col min="1" max="1" width="3.10909090909091" style="232" customWidth="1"/>
    <col min="2" max="2" width="9.21818181818182" style="232" customWidth="1"/>
    <col min="3" max="3" width="34.7818181818182" style="232" customWidth="1"/>
    <col min="4" max="4" width="16.5545454545455" style="232" customWidth="1"/>
    <col min="5" max="5" width="10" style="232" customWidth="1"/>
    <col min="6" max="6" width="15" style="232" customWidth="1"/>
    <col min="7" max="7" width="14.7818181818182" style="376" customWidth="1"/>
    <col min="8" max="10" width="12.4454545454545" style="232" customWidth="1"/>
    <col min="11" max="11" width="8.78181818181818" style="232"/>
    <col min="12" max="12" width="21.8909090909091" style="232" customWidth="1"/>
    <col min="13" max="16384" width="8.78181818181818" style="232"/>
  </cols>
  <sheetData>
    <row r="1" spans="9:9">
      <c r="I1" s="807"/>
    </row>
    <row r="2" ht="25.2" customHeight="1" spans="2:12">
      <c r="B2" s="581" t="s">
        <v>13</v>
      </c>
      <c r="C2" s="567"/>
      <c r="D2" s="567"/>
      <c r="E2" s="567"/>
      <c r="F2" s="567"/>
      <c r="G2" s="567"/>
      <c r="H2" s="796"/>
      <c r="I2" s="808" t="s">
        <v>14</v>
      </c>
      <c r="J2" s="349"/>
      <c r="K2" s="349"/>
      <c r="L2" s="349"/>
    </row>
    <row r="3" spans="2:12">
      <c r="B3" s="797" t="s">
        <v>15</v>
      </c>
      <c r="C3" s="798" t="s">
        <v>16</v>
      </c>
      <c r="D3" s="798" t="s">
        <v>17</v>
      </c>
      <c r="E3" s="798" t="s">
        <v>18</v>
      </c>
      <c r="F3" s="799" t="s">
        <v>19</v>
      </c>
      <c r="G3" s="799" t="s">
        <v>20</v>
      </c>
      <c r="H3" s="800" t="s">
        <v>21</v>
      </c>
      <c r="I3" s="809" t="s">
        <v>19</v>
      </c>
      <c r="J3" s="810" t="s">
        <v>20</v>
      </c>
      <c r="K3" s="807" t="s">
        <v>17</v>
      </c>
      <c r="L3" s="807" t="s">
        <v>22</v>
      </c>
    </row>
    <row r="4" spans="2:12">
      <c r="B4" s="224">
        <v>1</v>
      </c>
      <c r="C4" s="16" t="s">
        <v>23</v>
      </c>
      <c r="D4" s="547">
        <f t="shared" ref="D4:D8" si="0">SUM(F4:G4)</f>
        <v>100000</v>
      </c>
      <c r="E4" s="337" t="s">
        <v>24</v>
      </c>
      <c r="F4" s="547">
        <v>30000</v>
      </c>
      <c r="G4" s="547">
        <v>70000</v>
      </c>
      <c r="H4" s="801">
        <f>参数输入表!G134</f>
        <v>0.13</v>
      </c>
      <c r="I4" s="811">
        <f>F4*H4</f>
        <v>3900</v>
      </c>
      <c r="J4" s="811">
        <f>G4*H4</f>
        <v>9100</v>
      </c>
      <c r="K4" s="232">
        <f t="shared" ref="K4:K11" si="1">D4*H4</f>
        <v>13000</v>
      </c>
      <c r="L4" s="266">
        <f>K4-D18</f>
        <v>1495.57522123894</v>
      </c>
    </row>
    <row r="5" spans="2:12">
      <c r="B5" s="224">
        <v>2</v>
      </c>
      <c r="C5" s="16" t="s">
        <v>25</v>
      </c>
      <c r="D5" s="547">
        <f t="shared" si="0"/>
        <v>20000</v>
      </c>
      <c r="E5" s="337" t="s">
        <v>24</v>
      </c>
      <c r="F5" s="547">
        <v>6000</v>
      </c>
      <c r="G5" s="547">
        <v>14000</v>
      </c>
      <c r="H5" s="801">
        <f>参数输入表!G135</f>
        <v>0.09</v>
      </c>
      <c r="I5" s="811">
        <f t="shared" ref="I5:I12" si="2">F5*H5</f>
        <v>540</v>
      </c>
      <c r="J5" s="811">
        <f t="shared" ref="J5:J12" si="3">G5*H5</f>
        <v>1260</v>
      </c>
      <c r="K5" s="232">
        <f t="shared" si="1"/>
        <v>1800</v>
      </c>
      <c r="L5" s="266">
        <f t="shared" ref="L5:L11" si="4">K5-D19</f>
        <v>148.623853211009</v>
      </c>
    </row>
    <row r="6" spans="2:12">
      <c r="B6" s="224">
        <v>3</v>
      </c>
      <c r="C6" s="16" t="s">
        <v>26</v>
      </c>
      <c r="D6" s="547">
        <f t="shared" si="0"/>
        <v>12000</v>
      </c>
      <c r="E6" s="337" t="s">
        <v>24</v>
      </c>
      <c r="F6" s="547">
        <v>3600</v>
      </c>
      <c r="G6" s="547">
        <v>8400</v>
      </c>
      <c r="H6" s="801">
        <f>参数输入表!G136</f>
        <v>0.06</v>
      </c>
      <c r="I6" s="811">
        <f t="shared" si="2"/>
        <v>216</v>
      </c>
      <c r="J6" s="811">
        <f t="shared" si="3"/>
        <v>504</v>
      </c>
      <c r="K6" s="232">
        <f t="shared" si="1"/>
        <v>720</v>
      </c>
      <c r="L6" s="266">
        <f t="shared" si="4"/>
        <v>40.7547169811321</v>
      </c>
    </row>
    <row r="7" spans="2:12">
      <c r="B7" s="224">
        <v>4</v>
      </c>
      <c r="C7" s="16" t="s">
        <v>27</v>
      </c>
      <c r="D7" s="547">
        <f t="shared" si="0"/>
        <v>2500</v>
      </c>
      <c r="E7" s="337" t="s">
        <v>24</v>
      </c>
      <c r="F7" s="547">
        <v>750</v>
      </c>
      <c r="G7" s="547">
        <v>1750</v>
      </c>
      <c r="H7" s="801">
        <f>参数输入表!G137</f>
        <v>0</v>
      </c>
      <c r="I7" s="811">
        <f t="shared" si="2"/>
        <v>0</v>
      </c>
      <c r="J7" s="811">
        <f t="shared" si="3"/>
        <v>0</v>
      </c>
      <c r="K7" s="232">
        <f t="shared" si="1"/>
        <v>0</v>
      </c>
      <c r="L7" s="266">
        <f t="shared" si="4"/>
        <v>0</v>
      </c>
    </row>
    <row r="8" spans="2:12">
      <c r="B8" s="224">
        <v>5</v>
      </c>
      <c r="C8" s="16" t="s">
        <v>28</v>
      </c>
      <c r="D8" s="547">
        <f t="shared" si="0"/>
        <v>500</v>
      </c>
      <c r="E8" s="337" t="s">
        <v>24</v>
      </c>
      <c r="F8" s="547">
        <v>150</v>
      </c>
      <c r="G8" s="547">
        <v>350</v>
      </c>
      <c r="H8" s="801">
        <f>参数输入表!G138</f>
        <v>0.13</v>
      </c>
      <c r="I8" s="811">
        <f t="shared" si="2"/>
        <v>19.5</v>
      </c>
      <c r="J8" s="811">
        <f t="shared" si="3"/>
        <v>45.5</v>
      </c>
      <c r="K8" s="232">
        <f t="shared" si="1"/>
        <v>65</v>
      </c>
      <c r="L8" s="266">
        <f t="shared" si="4"/>
        <v>7.47787610619468</v>
      </c>
    </row>
    <row r="9" spans="2:12">
      <c r="B9" s="224">
        <v>6</v>
      </c>
      <c r="C9" s="16" t="s">
        <v>29</v>
      </c>
      <c r="D9" s="547">
        <f t="shared" ref="D9:D14" si="5">SUM(F9:G9)</f>
        <v>4000</v>
      </c>
      <c r="E9" s="337" t="s">
        <v>24</v>
      </c>
      <c r="F9" s="547">
        <v>1200</v>
      </c>
      <c r="G9" s="547">
        <v>2800</v>
      </c>
      <c r="H9" s="801">
        <f>参数输入表!G139</f>
        <v>0.09</v>
      </c>
      <c r="I9" s="811">
        <f t="shared" si="2"/>
        <v>108</v>
      </c>
      <c r="J9" s="811">
        <f t="shared" si="3"/>
        <v>252</v>
      </c>
      <c r="K9" s="232">
        <f t="shared" si="1"/>
        <v>360</v>
      </c>
      <c r="L9" s="266">
        <f t="shared" si="4"/>
        <v>29.7247706422019</v>
      </c>
    </row>
    <row r="10" spans="2:12">
      <c r="B10" s="224">
        <v>7</v>
      </c>
      <c r="C10" s="16" t="s">
        <v>30</v>
      </c>
      <c r="D10" s="547">
        <f t="shared" si="5"/>
        <v>0</v>
      </c>
      <c r="E10" s="337" t="s">
        <v>24</v>
      </c>
      <c r="F10" s="547">
        <v>0</v>
      </c>
      <c r="G10" s="547">
        <v>0</v>
      </c>
      <c r="H10" s="801">
        <f>参数输入表!G140</f>
        <v>0</v>
      </c>
      <c r="I10" s="811">
        <f t="shared" si="2"/>
        <v>0</v>
      </c>
      <c r="J10" s="811">
        <f t="shared" si="3"/>
        <v>0</v>
      </c>
      <c r="K10" s="232">
        <f t="shared" si="1"/>
        <v>0</v>
      </c>
      <c r="L10" s="266">
        <f t="shared" si="4"/>
        <v>0</v>
      </c>
    </row>
    <row r="11" spans="2:12">
      <c r="B11" s="224">
        <v>8</v>
      </c>
      <c r="C11" s="16" t="s">
        <v>31</v>
      </c>
      <c r="D11" s="547">
        <f t="shared" si="5"/>
        <v>139000</v>
      </c>
      <c r="E11" s="337" t="s">
        <v>24</v>
      </c>
      <c r="F11" s="547">
        <f>SUM(F4:F10)</f>
        <v>41700</v>
      </c>
      <c r="G11" s="547">
        <f>SUM(G4:G10)</f>
        <v>97300</v>
      </c>
      <c r="H11" s="800"/>
      <c r="I11" s="811">
        <f t="shared" si="2"/>
        <v>0</v>
      </c>
      <c r="J11" s="811">
        <f t="shared" si="3"/>
        <v>0</v>
      </c>
      <c r="K11" s="232">
        <f t="shared" si="1"/>
        <v>0</v>
      </c>
      <c r="L11" s="266">
        <f t="shared" si="4"/>
        <v>0</v>
      </c>
    </row>
    <row r="12" spans="2:10">
      <c r="B12" s="224">
        <v>9</v>
      </c>
      <c r="C12" s="16" t="s">
        <v>32</v>
      </c>
      <c r="D12" s="547">
        <f t="shared" si="5"/>
        <v>0</v>
      </c>
      <c r="E12" s="337" t="s">
        <v>24</v>
      </c>
      <c r="F12" s="547">
        <v>0</v>
      </c>
      <c r="G12" s="547">
        <v>0</v>
      </c>
      <c r="H12" s="801">
        <f>参数输入表!G143</f>
        <v>0</v>
      </c>
      <c r="I12" s="811">
        <f t="shared" si="2"/>
        <v>0</v>
      </c>
      <c r="J12" s="811">
        <f t="shared" si="3"/>
        <v>0</v>
      </c>
    </row>
    <row r="13" spans="2:10">
      <c r="B13" s="224">
        <v>10</v>
      </c>
      <c r="C13" s="16" t="s">
        <v>33</v>
      </c>
      <c r="D13" s="547">
        <f t="shared" si="5"/>
        <v>139000</v>
      </c>
      <c r="E13" s="337" t="s">
        <v>24</v>
      </c>
      <c r="F13" s="547">
        <f>F11+F12</f>
        <v>41700</v>
      </c>
      <c r="G13" s="547">
        <f>G11+G12</f>
        <v>97300</v>
      </c>
      <c r="H13" s="800"/>
      <c r="I13" s="809"/>
      <c r="J13" s="810"/>
    </row>
    <row r="14" spans="2:12">
      <c r="B14" s="224"/>
      <c r="C14" s="16" t="s">
        <v>34</v>
      </c>
      <c r="D14" s="802">
        <f t="shared" si="5"/>
        <v>1</v>
      </c>
      <c r="E14" s="337" t="s">
        <v>24</v>
      </c>
      <c r="F14" s="802">
        <f>F13/$D$13</f>
        <v>0.3</v>
      </c>
      <c r="G14" s="802">
        <f>G13/$D$13</f>
        <v>0.7</v>
      </c>
      <c r="H14" s="800"/>
      <c r="I14" s="811">
        <f>SUM(I4:I11)</f>
        <v>4783.5</v>
      </c>
      <c r="J14" s="811">
        <f>SUM(J4:J11)</f>
        <v>11161.5</v>
      </c>
      <c r="K14" s="232">
        <f>SUM(K4:K11)</f>
        <v>15945</v>
      </c>
      <c r="L14" s="266">
        <f>SUM(L4:L11)</f>
        <v>1722.15643817947</v>
      </c>
    </row>
    <row r="16" ht="23.4" customHeight="1" spans="2:10">
      <c r="B16" s="581" t="s">
        <v>35</v>
      </c>
      <c r="C16" s="567"/>
      <c r="D16" s="567"/>
      <c r="E16" s="567"/>
      <c r="F16" s="567"/>
      <c r="G16" s="567"/>
      <c r="H16" s="1"/>
      <c r="I16" s="1"/>
      <c r="J16" s="1"/>
    </row>
    <row r="17" ht="19.8" customHeight="1" spans="2:10">
      <c r="B17" s="797" t="s">
        <v>15</v>
      </c>
      <c r="C17" s="798" t="s">
        <v>16</v>
      </c>
      <c r="D17" s="798" t="s">
        <v>17</v>
      </c>
      <c r="E17" s="798" t="s">
        <v>18</v>
      </c>
      <c r="F17" s="799" t="str">
        <f>F3</f>
        <v>2023年</v>
      </c>
      <c r="G17" s="799" t="str">
        <f>G3</f>
        <v>2024年</v>
      </c>
      <c r="H17" s="5"/>
      <c r="I17" s="5"/>
      <c r="J17" s="5"/>
    </row>
    <row r="18" spans="2:10">
      <c r="B18" s="224">
        <v>1</v>
      </c>
      <c r="C18" s="16" t="s">
        <v>23</v>
      </c>
      <c r="D18" s="547">
        <f t="shared" ref="D18:D26" si="6">SUM(F18:G18)</f>
        <v>11504.4247787611</v>
      </c>
      <c r="E18" s="337" t="s">
        <v>24</v>
      </c>
      <c r="F18" s="547">
        <f>F4/(1+$H$4)*$H$4</f>
        <v>3451.32743362832</v>
      </c>
      <c r="G18" s="547">
        <f>G4/(1+$H$4)*$H$4</f>
        <v>8053.09734513274</v>
      </c>
      <c r="H18" s="5"/>
      <c r="I18" s="5"/>
      <c r="J18" s="5"/>
    </row>
    <row r="19" spans="2:10">
      <c r="B19" s="224">
        <v>2</v>
      </c>
      <c r="C19" s="16" t="s">
        <v>25</v>
      </c>
      <c r="D19" s="547">
        <f t="shared" si="6"/>
        <v>1651.37614678899</v>
      </c>
      <c r="E19" s="337" t="s">
        <v>24</v>
      </c>
      <c r="F19" s="547">
        <f>F5/(1+$H$5)*$H$5</f>
        <v>495.412844036697</v>
      </c>
      <c r="G19" s="547">
        <f>G5/(1+$H$5)*$H$5</f>
        <v>1155.96330275229</v>
      </c>
      <c r="H19" s="5"/>
      <c r="I19" s="5"/>
      <c r="J19" s="5"/>
    </row>
    <row r="20" spans="2:10">
      <c r="B20" s="224">
        <v>3</v>
      </c>
      <c r="C20" s="16" t="s">
        <v>26</v>
      </c>
      <c r="D20" s="547">
        <f t="shared" si="6"/>
        <v>679.245283018868</v>
      </c>
      <c r="E20" s="337" t="s">
        <v>24</v>
      </c>
      <c r="F20" s="547">
        <f>F6/(1+$H$6)*$H$6</f>
        <v>203.77358490566</v>
      </c>
      <c r="G20" s="547">
        <f>G6/(1+$H$6)*$H$6</f>
        <v>475.471698113208</v>
      </c>
      <c r="H20" s="5"/>
      <c r="I20" s="5"/>
      <c r="J20" s="5"/>
    </row>
    <row r="21" spans="2:10">
      <c r="B21" s="224">
        <v>4</v>
      </c>
      <c r="C21" s="16" t="s">
        <v>27</v>
      </c>
      <c r="D21" s="547">
        <f t="shared" si="6"/>
        <v>0</v>
      </c>
      <c r="E21" s="337" t="s">
        <v>24</v>
      </c>
      <c r="F21" s="547">
        <f>F7/(1+$H$7)*$H$7</f>
        <v>0</v>
      </c>
      <c r="G21" s="547">
        <f>G7/(1+$H$7)*$H$7</f>
        <v>0</v>
      </c>
      <c r="H21" s="5"/>
      <c r="I21" s="5"/>
      <c r="J21" s="5"/>
    </row>
    <row r="22" spans="2:10">
      <c r="B22" s="224">
        <v>5</v>
      </c>
      <c r="C22" s="16" t="s">
        <v>28</v>
      </c>
      <c r="D22" s="547">
        <f t="shared" si="6"/>
        <v>57.5221238938053</v>
      </c>
      <c r="E22" s="337" t="s">
        <v>24</v>
      </c>
      <c r="F22" s="547">
        <f>F8/(1+$H$8)*$H$8</f>
        <v>17.2566371681416</v>
      </c>
      <c r="G22" s="547">
        <f>G8/(1+$H$8)*$H$8</f>
        <v>40.2654867256637</v>
      </c>
      <c r="H22" s="5"/>
      <c r="I22" s="5"/>
      <c r="J22" s="5"/>
    </row>
    <row r="23" spans="2:10">
      <c r="B23" s="224">
        <v>6</v>
      </c>
      <c r="C23" s="16" t="s">
        <v>29</v>
      </c>
      <c r="D23" s="547">
        <f t="shared" si="6"/>
        <v>330.275229357798</v>
      </c>
      <c r="E23" s="337" t="s">
        <v>24</v>
      </c>
      <c r="F23" s="547">
        <f>F9/(1+$H$9)*$H$9</f>
        <v>99.0825688073394</v>
      </c>
      <c r="G23" s="547">
        <f>G9/(1+$H$9)*$H$9</f>
        <v>231.192660550459</v>
      </c>
      <c r="H23" s="5"/>
      <c r="I23" s="5"/>
      <c r="J23" s="5"/>
    </row>
    <row r="24" spans="2:10">
      <c r="B24" s="224">
        <v>7</v>
      </c>
      <c r="C24" s="16" t="s">
        <v>30</v>
      </c>
      <c r="D24" s="547">
        <f t="shared" si="6"/>
        <v>0</v>
      </c>
      <c r="E24" s="337" t="s">
        <v>24</v>
      </c>
      <c r="F24" s="547">
        <f>F10/(1+$H$10)*$H$10</f>
        <v>0</v>
      </c>
      <c r="G24" s="547">
        <f>G10/(1+$H$10)*$H$10</f>
        <v>0</v>
      </c>
      <c r="H24" s="5"/>
      <c r="I24" s="5"/>
      <c r="J24" s="5"/>
    </row>
    <row r="25" spans="2:10">
      <c r="B25" s="224">
        <v>8</v>
      </c>
      <c r="C25" s="16" t="s">
        <v>32</v>
      </c>
      <c r="D25" s="547">
        <f t="shared" si="6"/>
        <v>0</v>
      </c>
      <c r="E25" s="337" t="s">
        <v>24</v>
      </c>
      <c r="F25" s="547">
        <f>F12/(1+$H$12)*$H$12</f>
        <v>0</v>
      </c>
      <c r="G25" s="547">
        <f>G12/(1+$H$12)*$H$12</f>
        <v>0</v>
      </c>
      <c r="H25" s="5"/>
      <c r="I25" s="5"/>
      <c r="J25" s="5"/>
    </row>
    <row r="26" spans="2:10">
      <c r="B26" s="803" t="s">
        <v>36</v>
      </c>
      <c r="C26" s="804"/>
      <c r="D26" s="547">
        <f t="shared" si="6"/>
        <v>14222.8435618205</v>
      </c>
      <c r="E26" s="337" t="s">
        <v>24</v>
      </c>
      <c r="F26" s="547">
        <f>SUM(F18:F25)</f>
        <v>4266.85306854616</v>
      </c>
      <c r="G26" s="547">
        <f>SUM(G18:G25)</f>
        <v>9955.99049327437</v>
      </c>
      <c r="H26" s="5"/>
      <c r="I26" s="5"/>
      <c r="J26" s="5"/>
    </row>
    <row r="27" spans="2:7">
      <c r="B27" s="805" t="s">
        <v>37</v>
      </c>
      <c r="C27" s="806"/>
      <c r="D27" s="547"/>
      <c r="E27" s="337" t="s">
        <v>24</v>
      </c>
      <c r="F27" s="409">
        <f>F26</f>
        <v>4266.85306854616</v>
      </c>
      <c r="G27" s="409">
        <f>F27+G26</f>
        <v>14222.8435618205</v>
      </c>
    </row>
    <row r="29" spans="3:3">
      <c r="C29" s="380" t="s">
        <v>38</v>
      </c>
    </row>
  </sheetData>
  <mergeCells count="3">
    <mergeCell ref="I2:L2"/>
    <mergeCell ref="B26:C26"/>
    <mergeCell ref="B27:C27"/>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B1:L750"/>
  <sheetViews>
    <sheetView showGridLines="0" tabSelected="1" zoomScale="85" zoomScaleNormal="85" workbookViewId="0">
      <pane xSplit="2" ySplit="3" topLeftCell="C4" activePane="bottomRight" state="frozen"/>
      <selection/>
      <selection pane="topRight"/>
      <selection pane="bottomLeft"/>
      <selection pane="bottomRight" activeCell="H15" sqref="H15"/>
    </sheetView>
  </sheetViews>
  <sheetFormatPr defaultColWidth="9.78181818181818" defaultRowHeight="20.5"/>
  <cols>
    <col min="1" max="1" width="2.55454545454545" style="584" customWidth="1"/>
    <col min="2" max="2" width="12.7818181818182" style="584" customWidth="1"/>
    <col min="3" max="3" width="9.55454545454545" style="582" customWidth="1"/>
    <col min="4" max="4" width="55" style="585" customWidth="1"/>
    <col min="5" max="5" width="42.2181818181818" style="582" customWidth="1"/>
    <col min="6" max="6" width="23.4454545454545" style="586" customWidth="1"/>
    <col min="7" max="7" width="17.2181818181818" style="582" customWidth="1"/>
    <col min="8" max="8" width="39.2181818181818" style="584" customWidth="1"/>
    <col min="9" max="9" width="25.2181818181818" style="587" customWidth="1"/>
    <col min="10" max="10" width="18" style="582" customWidth="1"/>
    <col min="11" max="11" width="86.5545454545454" style="584" customWidth="1"/>
    <col min="12" max="12" width="21.7818181818182" style="584" customWidth="1"/>
    <col min="13" max="258" width="9.78181818181818" style="584"/>
    <col min="259" max="259" width="5.78181818181818" style="584" customWidth="1"/>
    <col min="260" max="260" width="15.5545454545455" style="584" customWidth="1"/>
    <col min="261" max="261" width="9.55454545454545" style="584" customWidth="1"/>
    <col min="262" max="262" width="30.8909090909091" style="584" customWidth="1"/>
    <col min="263" max="263" width="17.2181818181818" style="584" customWidth="1"/>
    <col min="264" max="264" width="69.2181818181818" style="584" customWidth="1"/>
    <col min="265" max="265" width="19.7818181818182" style="584" customWidth="1"/>
    <col min="266" max="266" width="18" style="584" customWidth="1"/>
    <col min="267" max="267" width="72.1090909090909" style="584" customWidth="1"/>
    <col min="268" max="268" width="21.7818181818182" style="584" customWidth="1"/>
    <col min="269" max="514" width="9.78181818181818" style="584"/>
    <col min="515" max="515" width="5.78181818181818" style="584" customWidth="1"/>
    <col min="516" max="516" width="15.5545454545455" style="584" customWidth="1"/>
    <col min="517" max="517" width="9.55454545454545" style="584" customWidth="1"/>
    <col min="518" max="518" width="30.8909090909091" style="584" customWidth="1"/>
    <col min="519" max="519" width="17.2181818181818" style="584" customWidth="1"/>
    <col min="520" max="520" width="69.2181818181818" style="584" customWidth="1"/>
    <col min="521" max="521" width="19.7818181818182" style="584" customWidth="1"/>
    <col min="522" max="522" width="18" style="584" customWidth="1"/>
    <col min="523" max="523" width="72.1090909090909" style="584" customWidth="1"/>
    <col min="524" max="524" width="21.7818181818182" style="584" customWidth="1"/>
    <col min="525" max="770" width="9.78181818181818" style="584"/>
    <col min="771" max="771" width="5.78181818181818" style="584" customWidth="1"/>
    <col min="772" max="772" width="15.5545454545455" style="584" customWidth="1"/>
    <col min="773" max="773" width="9.55454545454545" style="584" customWidth="1"/>
    <col min="774" max="774" width="30.8909090909091" style="584" customWidth="1"/>
    <col min="775" max="775" width="17.2181818181818" style="584" customWidth="1"/>
    <col min="776" max="776" width="69.2181818181818" style="584" customWidth="1"/>
    <col min="777" max="777" width="19.7818181818182" style="584" customWidth="1"/>
    <col min="778" max="778" width="18" style="584" customWidth="1"/>
    <col min="779" max="779" width="72.1090909090909" style="584" customWidth="1"/>
    <col min="780" max="780" width="21.7818181818182" style="584" customWidth="1"/>
    <col min="781" max="1026" width="9.78181818181818" style="584"/>
    <col min="1027" max="1027" width="5.78181818181818" style="584" customWidth="1"/>
    <col min="1028" max="1028" width="15.5545454545455" style="584" customWidth="1"/>
    <col min="1029" max="1029" width="9.55454545454545" style="584" customWidth="1"/>
    <col min="1030" max="1030" width="30.8909090909091" style="584" customWidth="1"/>
    <col min="1031" max="1031" width="17.2181818181818" style="584" customWidth="1"/>
    <col min="1032" max="1032" width="69.2181818181818" style="584" customWidth="1"/>
    <col min="1033" max="1033" width="19.7818181818182" style="584" customWidth="1"/>
    <col min="1034" max="1034" width="18" style="584" customWidth="1"/>
    <col min="1035" max="1035" width="72.1090909090909" style="584" customWidth="1"/>
    <col min="1036" max="1036" width="21.7818181818182" style="584" customWidth="1"/>
    <col min="1037" max="1282" width="9.78181818181818" style="584"/>
    <col min="1283" max="1283" width="5.78181818181818" style="584" customWidth="1"/>
    <col min="1284" max="1284" width="15.5545454545455" style="584" customWidth="1"/>
    <col min="1285" max="1285" width="9.55454545454545" style="584" customWidth="1"/>
    <col min="1286" max="1286" width="30.8909090909091" style="584" customWidth="1"/>
    <col min="1287" max="1287" width="17.2181818181818" style="584" customWidth="1"/>
    <col min="1288" max="1288" width="69.2181818181818" style="584" customWidth="1"/>
    <col min="1289" max="1289" width="19.7818181818182" style="584" customWidth="1"/>
    <col min="1290" max="1290" width="18" style="584" customWidth="1"/>
    <col min="1291" max="1291" width="72.1090909090909" style="584" customWidth="1"/>
    <col min="1292" max="1292" width="21.7818181818182" style="584" customWidth="1"/>
    <col min="1293" max="1538" width="9.78181818181818" style="584"/>
    <col min="1539" max="1539" width="5.78181818181818" style="584" customWidth="1"/>
    <col min="1540" max="1540" width="15.5545454545455" style="584" customWidth="1"/>
    <col min="1541" max="1541" width="9.55454545454545" style="584" customWidth="1"/>
    <col min="1542" max="1542" width="30.8909090909091" style="584" customWidth="1"/>
    <col min="1543" max="1543" width="17.2181818181818" style="584" customWidth="1"/>
    <col min="1544" max="1544" width="69.2181818181818" style="584" customWidth="1"/>
    <col min="1545" max="1545" width="19.7818181818182" style="584" customWidth="1"/>
    <col min="1546" max="1546" width="18" style="584" customWidth="1"/>
    <col min="1547" max="1547" width="72.1090909090909" style="584" customWidth="1"/>
    <col min="1548" max="1548" width="21.7818181818182" style="584" customWidth="1"/>
    <col min="1549" max="1794" width="9.78181818181818" style="584"/>
    <col min="1795" max="1795" width="5.78181818181818" style="584" customWidth="1"/>
    <col min="1796" max="1796" width="15.5545454545455" style="584" customWidth="1"/>
    <col min="1797" max="1797" width="9.55454545454545" style="584" customWidth="1"/>
    <col min="1798" max="1798" width="30.8909090909091" style="584" customWidth="1"/>
    <col min="1799" max="1799" width="17.2181818181818" style="584" customWidth="1"/>
    <col min="1800" max="1800" width="69.2181818181818" style="584" customWidth="1"/>
    <col min="1801" max="1801" width="19.7818181818182" style="584" customWidth="1"/>
    <col min="1802" max="1802" width="18" style="584" customWidth="1"/>
    <col min="1803" max="1803" width="72.1090909090909" style="584" customWidth="1"/>
    <col min="1804" max="1804" width="21.7818181818182" style="584" customWidth="1"/>
    <col min="1805" max="2050" width="9.78181818181818" style="584"/>
    <col min="2051" max="2051" width="5.78181818181818" style="584" customWidth="1"/>
    <col min="2052" max="2052" width="15.5545454545455" style="584" customWidth="1"/>
    <col min="2053" max="2053" width="9.55454545454545" style="584" customWidth="1"/>
    <col min="2054" max="2054" width="30.8909090909091" style="584" customWidth="1"/>
    <col min="2055" max="2055" width="17.2181818181818" style="584" customWidth="1"/>
    <col min="2056" max="2056" width="69.2181818181818" style="584" customWidth="1"/>
    <col min="2057" max="2057" width="19.7818181818182" style="584" customWidth="1"/>
    <col min="2058" max="2058" width="18" style="584" customWidth="1"/>
    <col min="2059" max="2059" width="72.1090909090909" style="584" customWidth="1"/>
    <col min="2060" max="2060" width="21.7818181818182" style="584" customWidth="1"/>
    <col min="2061" max="2306" width="9.78181818181818" style="584"/>
    <col min="2307" max="2307" width="5.78181818181818" style="584" customWidth="1"/>
    <col min="2308" max="2308" width="15.5545454545455" style="584" customWidth="1"/>
    <col min="2309" max="2309" width="9.55454545454545" style="584" customWidth="1"/>
    <col min="2310" max="2310" width="30.8909090909091" style="584" customWidth="1"/>
    <col min="2311" max="2311" width="17.2181818181818" style="584" customWidth="1"/>
    <col min="2312" max="2312" width="69.2181818181818" style="584" customWidth="1"/>
    <col min="2313" max="2313" width="19.7818181818182" style="584" customWidth="1"/>
    <col min="2314" max="2314" width="18" style="584" customWidth="1"/>
    <col min="2315" max="2315" width="72.1090909090909" style="584" customWidth="1"/>
    <col min="2316" max="2316" width="21.7818181818182" style="584" customWidth="1"/>
    <col min="2317" max="2562" width="9.78181818181818" style="584"/>
    <col min="2563" max="2563" width="5.78181818181818" style="584" customWidth="1"/>
    <col min="2564" max="2564" width="15.5545454545455" style="584" customWidth="1"/>
    <col min="2565" max="2565" width="9.55454545454545" style="584" customWidth="1"/>
    <col min="2566" max="2566" width="30.8909090909091" style="584" customWidth="1"/>
    <col min="2567" max="2567" width="17.2181818181818" style="584" customWidth="1"/>
    <col min="2568" max="2568" width="69.2181818181818" style="584" customWidth="1"/>
    <col min="2569" max="2569" width="19.7818181818182" style="584" customWidth="1"/>
    <col min="2570" max="2570" width="18" style="584" customWidth="1"/>
    <col min="2571" max="2571" width="72.1090909090909" style="584" customWidth="1"/>
    <col min="2572" max="2572" width="21.7818181818182" style="584" customWidth="1"/>
    <col min="2573" max="2818" width="9.78181818181818" style="584"/>
    <col min="2819" max="2819" width="5.78181818181818" style="584" customWidth="1"/>
    <col min="2820" max="2820" width="15.5545454545455" style="584" customWidth="1"/>
    <col min="2821" max="2821" width="9.55454545454545" style="584" customWidth="1"/>
    <col min="2822" max="2822" width="30.8909090909091" style="584" customWidth="1"/>
    <col min="2823" max="2823" width="17.2181818181818" style="584" customWidth="1"/>
    <col min="2824" max="2824" width="69.2181818181818" style="584" customWidth="1"/>
    <col min="2825" max="2825" width="19.7818181818182" style="584" customWidth="1"/>
    <col min="2826" max="2826" width="18" style="584" customWidth="1"/>
    <col min="2827" max="2827" width="72.1090909090909" style="584" customWidth="1"/>
    <col min="2828" max="2828" width="21.7818181818182" style="584" customWidth="1"/>
    <col min="2829" max="3074" width="9.78181818181818" style="584"/>
    <col min="3075" max="3075" width="5.78181818181818" style="584" customWidth="1"/>
    <col min="3076" max="3076" width="15.5545454545455" style="584" customWidth="1"/>
    <col min="3077" max="3077" width="9.55454545454545" style="584" customWidth="1"/>
    <col min="3078" max="3078" width="30.8909090909091" style="584" customWidth="1"/>
    <col min="3079" max="3079" width="17.2181818181818" style="584" customWidth="1"/>
    <col min="3080" max="3080" width="69.2181818181818" style="584" customWidth="1"/>
    <col min="3081" max="3081" width="19.7818181818182" style="584" customWidth="1"/>
    <col min="3082" max="3082" width="18" style="584" customWidth="1"/>
    <col min="3083" max="3083" width="72.1090909090909" style="584" customWidth="1"/>
    <col min="3084" max="3084" width="21.7818181818182" style="584" customWidth="1"/>
    <col min="3085" max="3330" width="9.78181818181818" style="584"/>
    <col min="3331" max="3331" width="5.78181818181818" style="584" customWidth="1"/>
    <col min="3332" max="3332" width="15.5545454545455" style="584" customWidth="1"/>
    <col min="3333" max="3333" width="9.55454545454545" style="584" customWidth="1"/>
    <col min="3334" max="3334" width="30.8909090909091" style="584" customWidth="1"/>
    <col min="3335" max="3335" width="17.2181818181818" style="584" customWidth="1"/>
    <col min="3336" max="3336" width="69.2181818181818" style="584" customWidth="1"/>
    <col min="3337" max="3337" width="19.7818181818182" style="584" customWidth="1"/>
    <col min="3338" max="3338" width="18" style="584" customWidth="1"/>
    <col min="3339" max="3339" width="72.1090909090909" style="584" customWidth="1"/>
    <col min="3340" max="3340" width="21.7818181818182" style="584" customWidth="1"/>
    <col min="3341" max="3586" width="9.78181818181818" style="584"/>
    <col min="3587" max="3587" width="5.78181818181818" style="584" customWidth="1"/>
    <col min="3588" max="3588" width="15.5545454545455" style="584" customWidth="1"/>
    <col min="3589" max="3589" width="9.55454545454545" style="584" customWidth="1"/>
    <col min="3590" max="3590" width="30.8909090909091" style="584" customWidth="1"/>
    <col min="3591" max="3591" width="17.2181818181818" style="584" customWidth="1"/>
    <col min="3592" max="3592" width="69.2181818181818" style="584" customWidth="1"/>
    <col min="3593" max="3593" width="19.7818181818182" style="584" customWidth="1"/>
    <col min="3594" max="3594" width="18" style="584" customWidth="1"/>
    <col min="3595" max="3595" width="72.1090909090909" style="584" customWidth="1"/>
    <col min="3596" max="3596" width="21.7818181818182" style="584" customWidth="1"/>
    <col min="3597" max="3842" width="9.78181818181818" style="584"/>
    <col min="3843" max="3843" width="5.78181818181818" style="584" customWidth="1"/>
    <col min="3844" max="3844" width="15.5545454545455" style="584" customWidth="1"/>
    <col min="3845" max="3845" width="9.55454545454545" style="584" customWidth="1"/>
    <col min="3846" max="3846" width="30.8909090909091" style="584" customWidth="1"/>
    <col min="3847" max="3847" width="17.2181818181818" style="584" customWidth="1"/>
    <col min="3848" max="3848" width="69.2181818181818" style="584" customWidth="1"/>
    <col min="3849" max="3849" width="19.7818181818182" style="584" customWidth="1"/>
    <col min="3850" max="3850" width="18" style="584" customWidth="1"/>
    <col min="3851" max="3851" width="72.1090909090909" style="584" customWidth="1"/>
    <col min="3852" max="3852" width="21.7818181818182" style="584" customWidth="1"/>
    <col min="3853" max="4098" width="9.78181818181818" style="584"/>
    <col min="4099" max="4099" width="5.78181818181818" style="584" customWidth="1"/>
    <col min="4100" max="4100" width="15.5545454545455" style="584" customWidth="1"/>
    <col min="4101" max="4101" width="9.55454545454545" style="584" customWidth="1"/>
    <col min="4102" max="4102" width="30.8909090909091" style="584" customWidth="1"/>
    <col min="4103" max="4103" width="17.2181818181818" style="584" customWidth="1"/>
    <col min="4104" max="4104" width="69.2181818181818" style="584" customWidth="1"/>
    <col min="4105" max="4105" width="19.7818181818182" style="584" customWidth="1"/>
    <col min="4106" max="4106" width="18" style="584" customWidth="1"/>
    <col min="4107" max="4107" width="72.1090909090909" style="584" customWidth="1"/>
    <col min="4108" max="4108" width="21.7818181818182" style="584" customWidth="1"/>
    <col min="4109" max="4354" width="9.78181818181818" style="584"/>
    <col min="4355" max="4355" width="5.78181818181818" style="584" customWidth="1"/>
    <col min="4356" max="4356" width="15.5545454545455" style="584" customWidth="1"/>
    <col min="4357" max="4357" width="9.55454545454545" style="584" customWidth="1"/>
    <col min="4358" max="4358" width="30.8909090909091" style="584" customWidth="1"/>
    <col min="4359" max="4359" width="17.2181818181818" style="584" customWidth="1"/>
    <col min="4360" max="4360" width="69.2181818181818" style="584" customWidth="1"/>
    <col min="4361" max="4361" width="19.7818181818182" style="584" customWidth="1"/>
    <col min="4362" max="4362" width="18" style="584" customWidth="1"/>
    <col min="4363" max="4363" width="72.1090909090909" style="584" customWidth="1"/>
    <col min="4364" max="4364" width="21.7818181818182" style="584" customWidth="1"/>
    <col min="4365" max="4610" width="9.78181818181818" style="584"/>
    <col min="4611" max="4611" width="5.78181818181818" style="584" customWidth="1"/>
    <col min="4612" max="4612" width="15.5545454545455" style="584" customWidth="1"/>
    <col min="4613" max="4613" width="9.55454545454545" style="584" customWidth="1"/>
    <col min="4614" max="4614" width="30.8909090909091" style="584" customWidth="1"/>
    <col min="4615" max="4615" width="17.2181818181818" style="584" customWidth="1"/>
    <col min="4616" max="4616" width="69.2181818181818" style="584" customWidth="1"/>
    <col min="4617" max="4617" width="19.7818181818182" style="584" customWidth="1"/>
    <col min="4618" max="4618" width="18" style="584" customWidth="1"/>
    <col min="4619" max="4619" width="72.1090909090909" style="584" customWidth="1"/>
    <col min="4620" max="4620" width="21.7818181818182" style="584" customWidth="1"/>
    <col min="4621" max="4866" width="9.78181818181818" style="584"/>
    <col min="4867" max="4867" width="5.78181818181818" style="584" customWidth="1"/>
    <col min="4868" max="4868" width="15.5545454545455" style="584" customWidth="1"/>
    <col min="4869" max="4869" width="9.55454545454545" style="584" customWidth="1"/>
    <col min="4870" max="4870" width="30.8909090909091" style="584" customWidth="1"/>
    <col min="4871" max="4871" width="17.2181818181818" style="584" customWidth="1"/>
    <col min="4872" max="4872" width="69.2181818181818" style="584" customWidth="1"/>
    <col min="4873" max="4873" width="19.7818181818182" style="584" customWidth="1"/>
    <col min="4874" max="4874" width="18" style="584" customWidth="1"/>
    <col min="4875" max="4875" width="72.1090909090909" style="584" customWidth="1"/>
    <col min="4876" max="4876" width="21.7818181818182" style="584" customWidth="1"/>
    <col min="4877" max="5122" width="9.78181818181818" style="584"/>
    <col min="5123" max="5123" width="5.78181818181818" style="584" customWidth="1"/>
    <col min="5124" max="5124" width="15.5545454545455" style="584" customWidth="1"/>
    <col min="5125" max="5125" width="9.55454545454545" style="584" customWidth="1"/>
    <col min="5126" max="5126" width="30.8909090909091" style="584" customWidth="1"/>
    <col min="5127" max="5127" width="17.2181818181818" style="584" customWidth="1"/>
    <col min="5128" max="5128" width="69.2181818181818" style="584" customWidth="1"/>
    <col min="5129" max="5129" width="19.7818181818182" style="584" customWidth="1"/>
    <col min="5130" max="5130" width="18" style="584" customWidth="1"/>
    <col min="5131" max="5131" width="72.1090909090909" style="584" customWidth="1"/>
    <col min="5132" max="5132" width="21.7818181818182" style="584" customWidth="1"/>
    <col min="5133" max="5378" width="9.78181818181818" style="584"/>
    <col min="5379" max="5379" width="5.78181818181818" style="584" customWidth="1"/>
    <col min="5380" max="5380" width="15.5545454545455" style="584" customWidth="1"/>
    <col min="5381" max="5381" width="9.55454545454545" style="584" customWidth="1"/>
    <col min="5382" max="5382" width="30.8909090909091" style="584" customWidth="1"/>
    <col min="5383" max="5383" width="17.2181818181818" style="584" customWidth="1"/>
    <col min="5384" max="5384" width="69.2181818181818" style="584" customWidth="1"/>
    <col min="5385" max="5385" width="19.7818181818182" style="584" customWidth="1"/>
    <col min="5386" max="5386" width="18" style="584" customWidth="1"/>
    <col min="5387" max="5387" width="72.1090909090909" style="584" customWidth="1"/>
    <col min="5388" max="5388" width="21.7818181818182" style="584" customWidth="1"/>
    <col min="5389" max="5634" width="9.78181818181818" style="584"/>
    <col min="5635" max="5635" width="5.78181818181818" style="584" customWidth="1"/>
    <col min="5636" max="5636" width="15.5545454545455" style="584" customWidth="1"/>
    <col min="5637" max="5637" width="9.55454545454545" style="584" customWidth="1"/>
    <col min="5638" max="5638" width="30.8909090909091" style="584" customWidth="1"/>
    <col min="5639" max="5639" width="17.2181818181818" style="584" customWidth="1"/>
    <col min="5640" max="5640" width="69.2181818181818" style="584" customWidth="1"/>
    <col min="5641" max="5641" width="19.7818181818182" style="584" customWidth="1"/>
    <col min="5642" max="5642" width="18" style="584" customWidth="1"/>
    <col min="5643" max="5643" width="72.1090909090909" style="584" customWidth="1"/>
    <col min="5644" max="5644" width="21.7818181818182" style="584" customWidth="1"/>
    <col min="5645" max="5890" width="9.78181818181818" style="584"/>
    <col min="5891" max="5891" width="5.78181818181818" style="584" customWidth="1"/>
    <col min="5892" max="5892" width="15.5545454545455" style="584" customWidth="1"/>
    <col min="5893" max="5893" width="9.55454545454545" style="584" customWidth="1"/>
    <col min="5894" max="5894" width="30.8909090909091" style="584" customWidth="1"/>
    <col min="5895" max="5895" width="17.2181818181818" style="584" customWidth="1"/>
    <col min="5896" max="5896" width="69.2181818181818" style="584" customWidth="1"/>
    <col min="5897" max="5897" width="19.7818181818182" style="584" customWidth="1"/>
    <col min="5898" max="5898" width="18" style="584" customWidth="1"/>
    <col min="5899" max="5899" width="72.1090909090909" style="584" customWidth="1"/>
    <col min="5900" max="5900" width="21.7818181818182" style="584" customWidth="1"/>
    <col min="5901" max="6146" width="9.78181818181818" style="584"/>
    <col min="6147" max="6147" width="5.78181818181818" style="584" customWidth="1"/>
    <col min="6148" max="6148" width="15.5545454545455" style="584" customWidth="1"/>
    <col min="6149" max="6149" width="9.55454545454545" style="584" customWidth="1"/>
    <col min="6150" max="6150" width="30.8909090909091" style="584" customWidth="1"/>
    <col min="6151" max="6151" width="17.2181818181818" style="584" customWidth="1"/>
    <col min="6152" max="6152" width="69.2181818181818" style="584" customWidth="1"/>
    <col min="6153" max="6153" width="19.7818181818182" style="584" customWidth="1"/>
    <col min="6154" max="6154" width="18" style="584" customWidth="1"/>
    <col min="6155" max="6155" width="72.1090909090909" style="584" customWidth="1"/>
    <col min="6156" max="6156" width="21.7818181818182" style="584" customWidth="1"/>
    <col min="6157" max="6402" width="9.78181818181818" style="584"/>
    <col min="6403" max="6403" width="5.78181818181818" style="584" customWidth="1"/>
    <col min="6404" max="6404" width="15.5545454545455" style="584" customWidth="1"/>
    <col min="6405" max="6405" width="9.55454545454545" style="584" customWidth="1"/>
    <col min="6406" max="6406" width="30.8909090909091" style="584" customWidth="1"/>
    <col min="6407" max="6407" width="17.2181818181818" style="584" customWidth="1"/>
    <col min="6408" max="6408" width="69.2181818181818" style="584" customWidth="1"/>
    <col min="6409" max="6409" width="19.7818181818182" style="584" customWidth="1"/>
    <col min="6410" max="6410" width="18" style="584" customWidth="1"/>
    <col min="6411" max="6411" width="72.1090909090909" style="584" customWidth="1"/>
    <col min="6412" max="6412" width="21.7818181818182" style="584" customWidth="1"/>
    <col min="6413" max="6658" width="9.78181818181818" style="584"/>
    <col min="6659" max="6659" width="5.78181818181818" style="584" customWidth="1"/>
    <col min="6660" max="6660" width="15.5545454545455" style="584" customWidth="1"/>
    <col min="6661" max="6661" width="9.55454545454545" style="584" customWidth="1"/>
    <col min="6662" max="6662" width="30.8909090909091" style="584" customWidth="1"/>
    <col min="6663" max="6663" width="17.2181818181818" style="584" customWidth="1"/>
    <col min="6664" max="6664" width="69.2181818181818" style="584" customWidth="1"/>
    <col min="6665" max="6665" width="19.7818181818182" style="584" customWidth="1"/>
    <col min="6666" max="6666" width="18" style="584" customWidth="1"/>
    <col min="6667" max="6667" width="72.1090909090909" style="584" customWidth="1"/>
    <col min="6668" max="6668" width="21.7818181818182" style="584" customWidth="1"/>
    <col min="6669" max="6914" width="9.78181818181818" style="584"/>
    <col min="6915" max="6915" width="5.78181818181818" style="584" customWidth="1"/>
    <col min="6916" max="6916" width="15.5545454545455" style="584" customWidth="1"/>
    <col min="6917" max="6917" width="9.55454545454545" style="584" customWidth="1"/>
    <col min="6918" max="6918" width="30.8909090909091" style="584" customWidth="1"/>
    <col min="6919" max="6919" width="17.2181818181818" style="584" customWidth="1"/>
    <col min="6920" max="6920" width="69.2181818181818" style="584" customWidth="1"/>
    <col min="6921" max="6921" width="19.7818181818182" style="584" customWidth="1"/>
    <col min="6922" max="6922" width="18" style="584" customWidth="1"/>
    <col min="6923" max="6923" width="72.1090909090909" style="584" customWidth="1"/>
    <col min="6924" max="6924" width="21.7818181818182" style="584" customWidth="1"/>
    <col min="6925" max="7170" width="9.78181818181818" style="584"/>
    <col min="7171" max="7171" width="5.78181818181818" style="584" customWidth="1"/>
    <col min="7172" max="7172" width="15.5545454545455" style="584" customWidth="1"/>
    <col min="7173" max="7173" width="9.55454545454545" style="584" customWidth="1"/>
    <col min="7174" max="7174" width="30.8909090909091" style="584" customWidth="1"/>
    <col min="7175" max="7175" width="17.2181818181818" style="584" customWidth="1"/>
    <col min="7176" max="7176" width="69.2181818181818" style="584" customWidth="1"/>
    <col min="7177" max="7177" width="19.7818181818182" style="584" customWidth="1"/>
    <col min="7178" max="7178" width="18" style="584" customWidth="1"/>
    <col min="7179" max="7179" width="72.1090909090909" style="584" customWidth="1"/>
    <col min="7180" max="7180" width="21.7818181818182" style="584" customWidth="1"/>
    <col min="7181" max="7426" width="9.78181818181818" style="584"/>
    <col min="7427" max="7427" width="5.78181818181818" style="584" customWidth="1"/>
    <col min="7428" max="7428" width="15.5545454545455" style="584" customWidth="1"/>
    <col min="7429" max="7429" width="9.55454545454545" style="584" customWidth="1"/>
    <col min="7430" max="7430" width="30.8909090909091" style="584" customWidth="1"/>
    <col min="7431" max="7431" width="17.2181818181818" style="584" customWidth="1"/>
    <col min="7432" max="7432" width="69.2181818181818" style="584" customWidth="1"/>
    <col min="7433" max="7433" width="19.7818181818182" style="584" customWidth="1"/>
    <col min="7434" max="7434" width="18" style="584" customWidth="1"/>
    <col min="7435" max="7435" width="72.1090909090909" style="584" customWidth="1"/>
    <col min="7436" max="7436" width="21.7818181818182" style="584" customWidth="1"/>
    <col min="7437" max="7682" width="9.78181818181818" style="584"/>
    <col min="7683" max="7683" width="5.78181818181818" style="584" customWidth="1"/>
    <col min="7684" max="7684" width="15.5545454545455" style="584" customWidth="1"/>
    <col min="7685" max="7685" width="9.55454545454545" style="584" customWidth="1"/>
    <col min="7686" max="7686" width="30.8909090909091" style="584" customWidth="1"/>
    <col min="7687" max="7687" width="17.2181818181818" style="584" customWidth="1"/>
    <col min="7688" max="7688" width="69.2181818181818" style="584" customWidth="1"/>
    <col min="7689" max="7689" width="19.7818181818182" style="584" customWidth="1"/>
    <col min="7690" max="7690" width="18" style="584" customWidth="1"/>
    <col min="7691" max="7691" width="72.1090909090909" style="584" customWidth="1"/>
    <col min="7692" max="7692" width="21.7818181818182" style="584" customWidth="1"/>
    <col min="7693" max="7938" width="9.78181818181818" style="584"/>
    <col min="7939" max="7939" width="5.78181818181818" style="584" customWidth="1"/>
    <col min="7940" max="7940" width="15.5545454545455" style="584" customWidth="1"/>
    <col min="7941" max="7941" width="9.55454545454545" style="584" customWidth="1"/>
    <col min="7942" max="7942" width="30.8909090909091" style="584" customWidth="1"/>
    <col min="7943" max="7943" width="17.2181818181818" style="584" customWidth="1"/>
    <col min="7944" max="7944" width="69.2181818181818" style="584" customWidth="1"/>
    <col min="7945" max="7945" width="19.7818181818182" style="584" customWidth="1"/>
    <col min="7946" max="7946" width="18" style="584" customWidth="1"/>
    <col min="7947" max="7947" width="72.1090909090909" style="584" customWidth="1"/>
    <col min="7948" max="7948" width="21.7818181818182" style="584" customWidth="1"/>
    <col min="7949" max="8194" width="9.78181818181818" style="584"/>
    <col min="8195" max="8195" width="5.78181818181818" style="584" customWidth="1"/>
    <col min="8196" max="8196" width="15.5545454545455" style="584" customWidth="1"/>
    <col min="8197" max="8197" width="9.55454545454545" style="584" customWidth="1"/>
    <col min="8198" max="8198" width="30.8909090909091" style="584" customWidth="1"/>
    <col min="8199" max="8199" width="17.2181818181818" style="584" customWidth="1"/>
    <col min="8200" max="8200" width="69.2181818181818" style="584" customWidth="1"/>
    <col min="8201" max="8201" width="19.7818181818182" style="584" customWidth="1"/>
    <col min="8202" max="8202" width="18" style="584" customWidth="1"/>
    <col min="8203" max="8203" width="72.1090909090909" style="584" customWidth="1"/>
    <col min="8204" max="8204" width="21.7818181818182" style="584" customWidth="1"/>
    <col min="8205" max="8450" width="9.78181818181818" style="584"/>
    <col min="8451" max="8451" width="5.78181818181818" style="584" customWidth="1"/>
    <col min="8452" max="8452" width="15.5545454545455" style="584" customWidth="1"/>
    <col min="8453" max="8453" width="9.55454545454545" style="584" customWidth="1"/>
    <col min="8454" max="8454" width="30.8909090909091" style="584" customWidth="1"/>
    <col min="8455" max="8455" width="17.2181818181818" style="584" customWidth="1"/>
    <col min="8456" max="8456" width="69.2181818181818" style="584" customWidth="1"/>
    <col min="8457" max="8457" width="19.7818181818182" style="584" customWidth="1"/>
    <col min="8458" max="8458" width="18" style="584" customWidth="1"/>
    <col min="8459" max="8459" width="72.1090909090909" style="584" customWidth="1"/>
    <col min="8460" max="8460" width="21.7818181818182" style="584" customWidth="1"/>
    <col min="8461" max="8706" width="9.78181818181818" style="584"/>
    <col min="8707" max="8707" width="5.78181818181818" style="584" customWidth="1"/>
    <col min="8708" max="8708" width="15.5545454545455" style="584" customWidth="1"/>
    <col min="8709" max="8709" width="9.55454545454545" style="584" customWidth="1"/>
    <col min="8710" max="8710" width="30.8909090909091" style="584" customWidth="1"/>
    <col min="8711" max="8711" width="17.2181818181818" style="584" customWidth="1"/>
    <col min="8712" max="8712" width="69.2181818181818" style="584" customWidth="1"/>
    <col min="8713" max="8713" width="19.7818181818182" style="584" customWidth="1"/>
    <col min="8714" max="8714" width="18" style="584" customWidth="1"/>
    <col min="8715" max="8715" width="72.1090909090909" style="584" customWidth="1"/>
    <col min="8716" max="8716" width="21.7818181818182" style="584" customWidth="1"/>
    <col min="8717" max="8962" width="9.78181818181818" style="584"/>
    <col min="8963" max="8963" width="5.78181818181818" style="584" customWidth="1"/>
    <col min="8964" max="8964" width="15.5545454545455" style="584" customWidth="1"/>
    <col min="8965" max="8965" width="9.55454545454545" style="584" customWidth="1"/>
    <col min="8966" max="8966" width="30.8909090909091" style="584" customWidth="1"/>
    <col min="8967" max="8967" width="17.2181818181818" style="584" customWidth="1"/>
    <col min="8968" max="8968" width="69.2181818181818" style="584" customWidth="1"/>
    <col min="8969" max="8969" width="19.7818181818182" style="584" customWidth="1"/>
    <col min="8970" max="8970" width="18" style="584" customWidth="1"/>
    <col min="8971" max="8971" width="72.1090909090909" style="584" customWidth="1"/>
    <col min="8972" max="8972" width="21.7818181818182" style="584" customWidth="1"/>
    <col min="8973" max="9218" width="9.78181818181818" style="584"/>
    <col min="9219" max="9219" width="5.78181818181818" style="584" customWidth="1"/>
    <col min="9220" max="9220" width="15.5545454545455" style="584" customWidth="1"/>
    <col min="9221" max="9221" width="9.55454545454545" style="584" customWidth="1"/>
    <col min="9222" max="9222" width="30.8909090909091" style="584" customWidth="1"/>
    <col min="9223" max="9223" width="17.2181818181818" style="584" customWidth="1"/>
    <col min="9224" max="9224" width="69.2181818181818" style="584" customWidth="1"/>
    <col min="9225" max="9225" width="19.7818181818182" style="584" customWidth="1"/>
    <col min="9226" max="9226" width="18" style="584" customWidth="1"/>
    <col min="9227" max="9227" width="72.1090909090909" style="584" customWidth="1"/>
    <col min="9228" max="9228" width="21.7818181818182" style="584" customWidth="1"/>
    <col min="9229" max="9474" width="9.78181818181818" style="584"/>
    <col min="9475" max="9475" width="5.78181818181818" style="584" customWidth="1"/>
    <col min="9476" max="9476" width="15.5545454545455" style="584" customWidth="1"/>
    <col min="9477" max="9477" width="9.55454545454545" style="584" customWidth="1"/>
    <col min="9478" max="9478" width="30.8909090909091" style="584" customWidth="1"/>
    <col min="9479" max="9479" width="17.2181818181818" style="584" customWidth="1"/>
    <col min="9480" max="9480" width="69.2181818181818" style="584" customWidth="1"/>
    <col min="9481" max="9481" width="19.7818181818182" style="584" customWidth="1"/>
    <col min="9482" max="9482" width="18" style="584" customWidth="1"/>
    <col min="9483" max="9483" width="72.1090909090909" style="584" customWidth="1"/>
    <col min="9484" max="9484" width="21.7818181818182" style="584" customWidth="1"/>
    <col min="9485" max="9730" width="9.78181818181818" style="584"/>
    <col min="9731" max="9731" width="5.78181818181818" style="584" customWidth="1"/>
    <col min="9732" max="9732" width="15.5545454545455" style="584" customWidth="1"/>
    <col min="9733" max="9733" width="9.55454545454545" style="584" customWidth="1"/>
    <col min="9734" max="9734" width="30.8909090909091" style="584" customWidth="1"/>
    <col min="9735" max="9735" width="17.2181818181818" style="584" customWidth="1"/>
    <col min="9736" max="9736" width="69.2181818181818" style="584" customWidth="1"/>
    <col min="9737" max="9737" width="19.7818181818182" style="584" customWidth="1"/>
    <col min="9738" max="9738" width="18" style="584" customWidth="1"/>
    <col min="9739" max="9739" width="72.1090909090909" style="584" customWidth="1"/>
    <col min="9740" max="9740" width="21.7818181818182" style="584" customWidth="1"/>
    <col min="9741" max="9986" width="9.78181818181818" style="584"/>
    <col min="9987" max="9987" width="5.78181818181818" style="584" customWidth="1"/>
    <col min="9988" max="9988" width="15.5545454545455" style="584" customWidth="1"/>
    <col min="9989" max="9989" width="9.55454545454545" style="584" customWidth="1"/>
    <col min="9990" max="9990" width="30.8909090909091" style="584" customWidth="1"/>
    <col min="9991" max="9991" width="17.2181818181818" style="584" customWidth="1"/>
    <col min="9992" max="9992" width="69.2181818181818" style="584" customWidth="1"/>
    <col min="9993" max="9993" width="19.7818181818182" style="584" customWidth="1"/>
    <col min="9994" max="9994" width="18" style="584" customWidth="1"/>
    <col min="9995" max="9995" width="72.1090909090909" style="584" customWidth="1"/>
    <col min="9996" max="9996" width="21.7818181818182" style="584" customWidth="1"/>
    <col min="9997" max="10242" width="9.78181818181818" style="584"/>
    <col min="10243" max="10243" width="5.78181818181818" style="584" customWidth="1"/>
    <col min="10244" max="10244" width="15.5545454545455" style="584" customWidth="1"/>
    <col min="10245" max="10245" width="9.55454545454545" style="584" customWidth="1"/>
    <col min="10246" max="10246" width="30.8909090909091" style="584" customWidth="1"/>
    <col min="10247" max="10247" width="17.2181818181818" style="584" customWidth="1"/>
    <col min="10248" max="10248" width="69.2181818181818" style="584" customWidth="1"/>
    <col min="10249" max="10249" width="19.7818181818182" style="584" customWidth="1"/>
    <col min="10250" max="10250" width="18" style="584" customWidth="1"/>
    <col min="10251" max="10251" width="72.1090909090909" style="584" customWidth="1"/>
    <col min="10252" max="10252" width="21.7818181818182" style="584" customWidth="1"/>
    <col min="10253" max="10498" width="9.78181818181818" style="584"/>
    <col min="10499" max="10499" width="5.78181818181818" style="584" customWidth="1"/>
    <col min="10500" max="10500" width="15.5545454545455" style="584" customWidth="1"/>
    <col min="10501" max="10501" width="9.55454545454545" style="584" customWidth="1"/>
    <col min="10502" max="10502" width="30.8909090909091" style="584" customWidth="1"/>
    <col min="10503" max="10503" width="17.2181818181818" style="584" customWidth="1"/>
    <col min="10504" max="10504" width="69.2181818181818" style="584" customWidth="1"/>
    <col min="10505" max="10505" width="19.7818181818182" style="584" customWidth="1"/>
    <col min="10506" max="10506" width="18" style="584" customWidth="1"/>
    <col min="10507" max="10507" width="72.1090909090909" style="584" customWidth="1"/>
    <col min="10508" max="10508" width="21.7818181818182" style="584" customWidth="1"/>
    <col min="10509" max="10754" width="9.78181818181818" style="584"/>
    <col min="10755" max="10755" width="5.78181818181818" style="584" customWidth="1"/>
    <col min="10756" max="10756" width="15.5545454545455" style="584" customWidth="1"/>
    <col min="10757" max="10757" width="9.55454545454545" style="584" customWidth="1"/>
    <col min="10758" max="10758" width="30.8909090909091" style="584" customWidth="1"/>
    <col min="10759" max="10759" width="17.2181818181818" style="584" customWidth="1"/>
    <col min="10760" max="10760" width="69.2181818181818" style="584" customWidth="1"/>
    <col min="10761" max="10761" width="19.7818181818182" style="584" customWidth="1"/>
    <col min="10762" max="10762" width="18" style="584" customWidth="1"/>
    <col min="10763" max="10763" width="72.1090909090909" style="584" customWidth="1"/>
    <col min="10764" max="10764" width="21.7818181818182" style="584" customWidth="1"/>
    <col min="10765" max="11010" width="9.78181818181818" style="584"/>
    <col min="11011" max="11011" width="5.78181818181818" style="584" customWidth="1"/>
    <col min="11012" max="11012" width="15.5545454545455" style="584" customWidth="1"/>
    <col min="11013" max="11013" width="9.55454545454545" style="584" customWidth="1"/>
    <col min="11014" max="11014" width="30.8909090909091" style="584" customWidth="1"/>
    <col min="11015" max="11015" width="17.2181818181818" style="584" customWidth="1"/>
    <col min="11016" max="11016" width="69.2181818181818" style="584" customWidth="1"/>
    <col min="11017" max="11017" width="19.7818181818182" style="584" customWidth="1"/>
    <col min="11018" max="11018" width="18" style="584" customWidth="1"/>
    <col min="11019" max="11019" width="72.1090909090909" style="584" customWidth="1"/>
    <col min="11020" max="11020" width="21.7818181818182" style="584" customWidth="1"/>
    <col min="11021" max="11266" width="9.78181818181818" style="584"/>
    <col min="11267" max="11267" width="5.78181818181818" style="584" customWidth="1"/>
    <col min="11268" max="11268" width="15.5545454545455" style="584" customWidth="1"/>
    <col min="11269" max="11269" width="9.55454545454545" style="584" customWidth="1"/>
    <col min="11270" max="11270" width="30.8909090909091" style="584" customWidth="1"/>
    <col min="11271" max="11271" width="17.2181818181818" style="584" customWidth="1"/>
    <col min="11272" max="11272" width="69.2181818181818" style="584" customWidth="1"/>
    <col min="11273" max="11273" width="19.7818181818182" style="584" customWidth="1"/>
    <col min="11274" max="11274" width="18" style="584" customWidth="1"/>
    <col min="11275" max="11275" width="72.1090909090909" style="584" customWidth="1"/>
    <col min="11276" max="11276" width="21.7818181818182" style="584" customWidth="1"/>
    <col min="11277" max="11522" width="9.78181818181818" style="584"/>
    <col min="11523" max="11523" width="5.78181818181818" style="584" customWidth="1"/>
    <col min="11524" max="11524" width="15.5545454545455" style="584" customWidth="1"/>
    <col min="11525" max="11525" width="9.55454545454545" style="584" customWidth="1"/>
    <col min="11526" max="11526" width="30.8909090909091" style="584" customWidth="1"/>
    <col min="11527" max="11527" width="17.2181818181818" style="584" customWidth="1"/>
    <col min="11528" max="11528" width="69.2181818181818" style="584" customWidth="1"/>
    <col min="11529" max="11529" width="19.7818181818182" style="584" customWidth="1"/>
    <col min="11530" max="11530" width="18" style="584" customWidth="1"/>
    <col min="11531" max="11531" width="72.1090909090909" style="584" customWidth="1"/>
    <col min="11532" max="11532" width="21.7818181818182" style="584" customWidth="1"/>
    <col min="11533" max="11778" width="9.78181818181818" style="584"/>
    <col min="11779" max="11779" width="5.78181818181818" style="584" customWidth="1"/>
    <col min="11780" max="11780" width="15.5545454545455" style="584" customWidth="1"/>
    <col min="11781" max="11781" width="9.55454545454545" style="584" customWidth="1"/>
    <col min="11782" max="11782" width="30.8909090909091" style="584" customWidth="1"/>
    <col min="11783" max="11783" width="17.2181818181818" style="584" customWidth="1"/>
    <col min="11784" max="11784" width="69.2181818181818" style="584" customWidth="1"/>
    <col min="11785" max="11785" width="19.7818181818182" style="584" customWidth="1"/>
    <col min="11786" max="11786" width="18" style="584" customWidth="1"/>
    <col min="11787" max="11787" width="72.1090909090909" style="584" customWidth="1"/>
    <col min="11788" max="11788" width="21.7818181818182" style="584" customWidth="1"/>
    <col min="11789" max="12034" width="9.78181818181818" style="584"/>
    <col min="12035" max="12035" width="5.78181818181818" style="584" customWidth="1"/>
    <col min="12036" max="12036" width="15.5545454545455" style="584" customWidth="1"/>
    <col min="12037" max="12037" width="9.55454545454545" style="584" customWidth="1"/>
    <col min="12038" max="12038" width="30.8909090909091" style="584" customWidth="1"/>
    <col min="12039" max="12039" width="17.2181818181818" style="584" customWidth="1"/>
    <col min="12040" max="12040" width="69.2181818181818" style="584" customWidth="1"/>
    <col min="12041" max="12041" width="19.7818181818182" style="584" customWidth="1"/>
    <col min="12042" max="12042" width="18" style="584" customWidth="1"/>
    <col min="12043" max="12043" width="72.1090909090909" style="584" customWidth="1"/>
    <col min="12044" max="12044" width="21.7818181818182" style="584" customWidth="1"/>
    <col min="12045" max="12290" width="9.78181818181818" style="584"/>
    <col min="12291" max="12291" width="5.78181818181818" style="584" customWidth="1"/>
    <col min="12292" max="12292" width="15.5545454545455" style="584" customWidth="1"/>
    <col min="12293" max="12293" width="9.55454545454545" style="584" customWidth="1"/>
    <col min="12294" max="12294" width="30.8909090909091" style="584" customWidth="1"/>
    <col min="12295" max="12295" width="17.2181818181818" style="584" customWidth="1"/>
    <col min="12296" max="12296" width="69.2181818181818" style="584" customWidth="1"/>
    <col min="12297" max="12297" width="19.7818181818182" style="584" customWidth="1"/>
    <col min="12298" max="12298" width="18" style="584" customWidth="1"/>
    <col min="12299" max="12299" width="72.1090909090909" style="584" customWidth="1"/>
    <col min="12300" max="12300" width="21.7818181818182" style="584" customWidth="1"/>
    <col min="12301" max="12546" width="9.78181818181818" style="584"/>
    <col min="12547" max="12547" width="5.78181818181818" style="584" customWidth="1"/>
    <col min="12548" max="12548" width="15.5545454545455" style="584" customWidth="1"/>
    <col min="12549" max="12549" width="9.55454545454545" style="584" customWidth="1"/>
    <col min="12550" max="12550" width="30.8909090909091" style="584" customWidth="1"/>
    <col min="12551" max="12551" width="17.2181818181818" style="584" customWidth="1"/>
    <col min="12552" max="12552" width="69.2181818181818" style="584" customWidth="1"/>
    <col min="12553" max="12553" width="19.7818181818182" style="584" customWidth="1"/>
    <col min="12554" max="12554" width="18" style="584" customWidth="1"/>
    <col min="12555" max="12555" width="72.1090909090909" style="584" customWidth="1"/>
    <col min="12556" max="12556" width="21.7818181818182" style="584" customWidth="1"/>
    <col min="12557" max="12802" width="9.78181818181818" style="584"/>
    <col min="12803" max="12803" width="5.78181818181818" style="584" customWidth="1"/>
    <col min="12804" max="12804" width="15.5545454545455" style="584" customWidth="1"/>
    <col min="12805" max="12805" width="9.55454545454545" style="584" customWidth="1"/>
    <col min="12806" max="12806" width="30.8909090909091" style="584" customWidth="1"/>
    <col min="12807" max="12807" width="17.2181818181818" style="584" customWidth="1"/>
    <col min="12808" max="12808" width="69.2181818181818" style="584" customWidth="1"/>
    <col min="12809" max="12809" width="19.7818181818182" style="584" customWidth="1"/>
    <col min="12810" max="12810" width="18" style="584" customWidth="1"/>
    <col min="12811" max="12811" width="72.1090909090909" style="584" customWidth="1"/>
    <col min="12812" max="12812" width="21.7818181818182" style="584" customWidth="1"/>
    <col min="12813" max="13058" width="9.78181818181818" style="584"/>
    <col min="13059" max="13059" width="5.78181818181818" style="584" customWidth="1"/>
    <col min="13060" max="13060" width="15.5545454545455" style="584" customWidth="1"/>
    <col min="13061" max="13061" width="9.55454545454545" style="584" customWidth="1"/>
    <col min="13062" max="13062" width="30.8909090909091" style="584" customWidth="1"/>
    <col min="13063" max="13063" width="17.2181818181818" style="584" customWidth="1"/>
    <col min="13064" max="13064" width="69.2181818181818" style="584" customWidth="1"/>
    <col min="13065" max="13065" width="19.7818181818182" style="584" customWidth="1"/>
    <col min="13066" max="13066" width="18" style="584" customWidth="1"/>
    <col min="13067" max="13067" width="72.1090909090909" style="584" customWidth="1"/>
    <col min="13068" max="13068" width="21.7818181818182" style="584" customWidth="1"/>
    <col min="13069" max="13314" width="9.78181818181818" style="584"/>
    <col min="13315" max="13315" width="5.78181818181818" style="584" customWidth="1"/>
    <col min="13316" max="13316" width="15.5545454545455" style="584" customWidth="1"/>
    <col min="13317" max="13317" width="9.55454545454545" style="584" customWidth="1"/>
    <col min="13318" max="13318" width="30.8909090909091" style="584" customWidth="1"/>
    <col min="13319" max="13319" width="17.2181818181818" style="584" customWidth="1"/>
    <col min="13320" max="13320" width="69.2181818181818" style="584" customWidth="1"/>
    <col min="13321" max="13321" width="19.7818181818182" style="584" customWidth="1"/>
    <col min="13322" max="13322" width="18" style="584" customWidth="1"/>
    <col min="13323" max="13323" width="72.1090909090909" style="584" customWidth="1"/>
    <col min="13324" max="13324" width="21.7818181818182" style="584" customWidth="1"/>
    <col min="13325" max="13570" width="9.78181818181818" style="584"/>
    <col min="13571" max="13571" width="5.78181818181818" style="584" customWidth="1"/>
    <col min="13572" max="13572" width="15.5545454545455" style="584" customWidth="1"/>
    <col min="13573" max="13573" width="9.55454545454545" style="584" customWidth="1"/>
    <col min="13574" max="13574" width="30.8909090909091" style="584" customWidth="1"/>
    <col min="13575" max="13575" width="17.2181818181818" style="584" customWidth="1"/>
    <col min="13576" max="13576" width="69.2181818181818" style="584" customWidth="1"/>
    <col min="13577" max="13577" width="19.7818181818182" style="584" customWidth="1"/>
    <col min="13578" max="13578" width="18" style="584" customWidth="1"/>
    <col min="13579" max="13579" width="72.1090909090909" style="584" customWidth="1"/>
    <col min="13580" max="13580" width="21.7818181818182" style="584" customWidth="1"/>
    <col min="13581" max="13826" width="9.78181818181818" style="584"/>
    <col min="13827" max="13827" width="5.78181818181818" style="584" customWidth="1"/>
    <col min="13828" max="13828" width="15.5545454545455" style="584" customWidth="1"/>
    <col min="13829" max="13829" width="9.55454545454545" style="584" customWidth="1"/>
    <col min="13830" max="13830" width="30.8909090909091" style="584" customWidth="1"/>
    <col min="13831" max="13831" width="17.2181818181818" style="584" customWidth="1"/>
    <col min="13832" max="13832" width="69.2181818181818" style="584" customWidth="1"/>
    <col min="13833" max="13833" width="19.7818181818182" style="584" customWidth="1"/>
    <col min="13834" max="13834" width="18" style="584" customWidth="1"/>
    <col min="13835" max="13835" width="72.1090909090909" style="584" customWidth="1"/>
    <col min="13836" max="13836" width="21.7818181818182" style="584" customWidth="1"/>
    <col min="13837" max="14082" width="9.78181818181818" style="584"/>
    <col min="14083" max="14083" width="5.78181818181818" style="584" customWidth="1"/>
    <col min="14084" max="14084" width="15.5545454545455" style="584" customWidth="1"/>
    <col min="14085" max="14085" width="9.55454545454545" style="584" customWidth="1"/>
    <col min="14086" max="14086" width="30.8909090909091" style="584" customWidth="1"/>
    <col min="14087" max="14087" width="17.2181818181818" style="584" customWidth="1"/>
    <col min="14088" max="14088" width="69.2181818181818" style="584" customWidth="1"/>
    <col min="14089" max="14089" width="19.7818181818182" style="584" customWidth="1"/>
    <col min="14090" max="14090" width="18" style="584" customWidth="1"/>
    <col min="14091" max="14091" width="72.1090909090909" style="584" customWidth="1"/>
    <col min="14092" max="14092" width="21.7818181818182" style="584" customWidth="1"/>
    <col min="14093" max="14338" width="9.78181818181818" style="584"/>
    <col min="14339" max="14339" width="5.78181818181818" style="584" customWidth="1"/>
    <col min="14340" max="14340" width="15.5545454545455" style="584" customWidth="1"/>
    <col min="14341" max="14341" width="9.55454545454545" style="584" customWidth="1"/>
    <col min="14342" max="14342" width="30.8909090909091" style="584" customWidth="1"/>
    <col min="14343" max="14343" width="17.2181818181818" style="584" customWidth="1"/>
    <col min="14344" max="14344" width="69.2181818181818" style="584" customWidth="1"/>
    <col min="14345" max="14345" width="19.7818181818182" style="584" customWidth="1"/>
    <col min="14346" max="14346" width="18" style="584" customWidth="1"/>
    <col min="14347" max="14347" width="72.1090909090909" style="584" customWidth="1"/>
    <col min="14348" max="14348" width="21.7818181818182" style="584" customWidth="1"/>
    <col min="14349" max="14594" width="9.78181818181818" style="584"/>
    <col min="14595" max="14595" width="5.78181818181818" style="584" customWidth="1"/>
    <col min="14596" max="14596" width="15.5545454545455" style="584" customWidth="1"/>
    <col min="14597" max="14597" width="9.55454545454545" style="584" customWidth="1"/>
    <col min="14598" max="14598" width="30.8909090909091" style="584" customWidth="1"/>
    <col min="14599" max="14599" width="17.2181818181818" style="584" customWidth="1"/>
    <col min="14600" max="14600" width="69.2181818181818" style="584" customWidth="1"/>
    <col min="14601" max="14601" width="19.7818181818182" style="584" customWidth="1"/>
    <col min="14602" max="14602" width="18" style="584" customWidth="1"/>
    <col min="14603" max="14603" width="72.1090909090909" style="584" customWidth="1"/>
    <col min="14604" max="14604" width="21.7818181818182" style="584" customWidth="1"/>
    <col min="14605" max="14850" width="9.78181818181818" style="584"/>
    <col min="14851" max="14851" width="5.78181818181818" style="584" customWidth="1"/>
    <col min="14852" max="14852" width="15.5545454545455" style="584" customWidth="1"/>
    <col min="14853" max="14853" width="9.55454545454545" style="584" customWidth="1"/>
    <col min="14854" max="14854" width="30.8909090909091" style="584" customWidth="1"/>
    <col min="14855" max="14855" width="17.2181818181818" style="584" customWidth="1"/>
    <col min="14856" max="14856" width="69.2181818181818" style="584" customWidth="1"/>
    <col min="14857" max="14857" width="19.7818181818182" style="584" customWidth="1"/>
    <col min="14858" max="14858" width="18" style="584" customWidth="1"/>
    <col min="14859" max="14859" width="72.1090909090909" style="584" customWidth="1"/>
    <col min="14860" max="14860" width="21.7818181818182" style="584" customWidth="1"/>
    <col min="14861" max="15106" width="9.78181818181818" style="584"/>
    <col min="15107" max="15107" width="5.78181818181818" style="584" customWidth="1"/>
    <col min="15108" max="15108" width="15.5545454545455" style="584" customWidth="1"/>
    <col min="15109" max="15109" width="9.55454545454545" style="584" customWidth="1"/>
    <col min="15110" max="15110" width="30.8909090909091" style="584" customWidth="1"/>
    <col min="15111" max="15111" width="17.2181818181818" style="584" customWidth="1"/>
    <col min="15112" max="15112" width="69.2181818181818" style="584" customWidth="1"/>
    <col min="15113" max="15113" width="19.7818181818182" style="584" customWidth="1"/>
    <col min="15114" max="15114" width="18" style="584" customWidth="1"/>
    <col min="15115" max="15115" width="72.1090909090909" style="584" customWidth="1"/>
    <col min="15116" max="15116" width="21.7818181818182" style="584" customWidth="1"/>
    <col min="15117" max="15362" width="9.78181818181818" style="584"/>
    <col min="15363" max="15363" width="5.78181818181818" style="584" customWidth="1"/>
    <col min="15364" max="15364" width="15.5545454545455" style="584" customWidth="1"/>
    <col min="15365" max="15365" width="9.55454545454545" style="584" customWidth="1"/>
    <col min="15366" max="15366" width="30.8909090909091" style="584" customWidth="1"/>
    <col min="15367" max="15367" width="17.2181818181818" style="584" customWidth="1"/>
    <col min="15368" max="15368" width="69.2181818181818" style="584" customWidth="1"/>
    <col min="15369" max="15369" width="19.7818181818182" style="584" customWidth="1"/>
    <col min="15370" max="15370" width="18" style="584" customWidth="1"/>
    <col min="15371" max="15371" width="72.1090909090909" style="584" customWidth="1"/>
    <col min="15372" max="15372" width="21.7818181818182" style="584" customWidth="1"/>
    <col min="15373" max="15618" width="9.78181818181818" style="584"/>
    <col min="15619" max="15619" width="5.78181818181818" style="584" customWidth="1"/>
    <col min="15620" max="15620" width="15.5545454545455" style="584" customWidth="1"/>
    <col min="15621" max="15621" width="9.55454545454545" style="584" customWidth="1"/>
    <col min="15622" max="15622" width="30.8909090909091" style="584" customWidth="1"/>
    <col min="15623" max="15623" width="17.2181818181818" style="584" customWidth="1"/>
    <col min="15624" max="15624" width="69.2181818181818" style="584" customWidth="1"/>
    <col min="15625" max="15625" width="19.7818181818182" style="584" customWidth="1"/>
    <col min="15626" max="15626" width="18" style="584" customWidth="1"/>
    <col min="15627" max="15627" width="72.1090909090909" style="584" customWidth="1"/>
    <col min="15628" max="15628" width="21.7818181818182" style="584" customWidth="1"/>
    <col min="15629" max="15874" width="9.78181818181818" style="584"/>
    <col min="15875" max="15875" width="5.78181818181818" style="584" customWidth="1"/>
    <col min="15876" max="15876" width="15.5545454545455" style="584" customWidth="1"/>
    <col min="15877" max="15877" width="9.55454545454545" style="584" customWidth="1"/>
    <col min="15878" max="15878" width="30.8909090909091" style="584" customWidth="1"/>
    <col min="15879" max="15879" width="17.2181818181818" style="584" customWidth="1"/>
    <col min="15880" max="15880" width="69.2181818181818" style="584" customWidth="1"/>
    <col min="15881" max="15881" width="19.7818181818182" style="584" customWidth="1"/>
    <col min="15882" max="15882" width="18" style="584" customWidth="1"/>
    <col min="15883" max="15883" width="72.1090909090909" style="584" customWidth="1"/>
    <col min="15884" max="15884" width="21.7818181818182" style="584" customWidth="1"/>
    <col min="15885" max="16130" width="9.78181818181818" style="584"/>
    <col min="16131" max="16131" width="5.78181818181818" style="584" customWidth="1"/>
    <col min="16132" max="16132" width="15.5545454545455" style="584" customWidth="1"/>
    <col min="16133" max="16133" width="9.55454545454545" style="584" customWidth="1"/>
    <col min="16134" max="16134" width="30.8909090909091" style="584" customWidth="1"/>
    <col min="16135" max="16135" width="17.2181818181818" style="584" customWidth="1"/>
    <col min="16136" max="16136" width="69.2181818181818" style="584" customWidth="1"/>
    <col min="16137" max="16137" width="19.7818181818182" style="584" customWidth="1"/>
    <col min="16138" max="16138" width="18" style="584" customWidth="1"/>
    <col min="16139" max="16139" width="72.1090909090909" style="584" customWidth="1"/>
    <col min="16140" max="16140" width="21.7818181818182" style="584" customWidth="1"/>
    <col min="16141" max="16384" width="9.78181818181818" style="584"/>
  </cols>
  <sheetData>
    <row r="1" ht="21.5" spans="4:10">
      <c r="D1" s="588" t="s">
        <v>39</v>
      </c>
      <c r="H1" s="588"/>
      <c r="I1" s="633"/>
      <c r="J1" s="634"/>
    </row>
    <row r="2" ht="4.5" customHeight="1"/>
    <row r="3" s="582" customFormat="1" ht="37.95" customHeight="1" spans="2:12">
      <c r="B3" s="589" t="s">
        <v>40</v>
      </c>
      <c r="C3" s="589" t="s">
        <v>41</v>
      </c>
      <c r="D3" s="589" t="s">
        <v>42</v>
      </c>
      <c r="E3" s="589" t="s">
        <v>43</v>
      </c>
      <c r="F3" s="590" t="s">
        <v>44</v>
      </c>
      <c r="G3" s="589" t="s">
        <v>45</v>
      </c>
      <c r="H3" s="589" t="s">
        <v>46</v>
      </c>
      <c r="I3" s="589" t="s">
        <v>47</v>
      </c>
      <c r="J3" s="589" t="s">
        <v>48</v>
      </c>
      <c r="K3" s="589" t="s">
        <v>49</v>
      </c>
      <c r="L3" s="589" t="s">
        <v>50</v>
      </c>
    </row>
    <row r="4" spans="2:12">
      <c r="B4" s="591"/>
      <c r="C4" s="592">
        <v>1</v>
      </c>
      <c r="D4" s="593" t="s">
        <v>51</v>
      </c>
      <c r="E4" s="594" t="s">
        <v>52</v>
      </c>
      <c r="F4" s="595"/>
      <c r="G4" s="596"/>
      <c r="H4" s="597"/>
      <c r="I4" s="635">
        <v>43921</v>
      </c>
      <c r="J4" s="636"/>
      <c r="K4" s="597"/>
      <c r="L4" s="623"/>
    </row>
    <row r="5" spans="2:12">
      <c r="B5" s="591"/>
      <c r="C5" s="598"/>
      <c r="D5" s="593" t="s">
        <v>53</v>
      </c>
      <c r="E5" s="596" t="s">
        <v>54</v>
      </c>
      <c r="F5" s="595"/>
      <c r="G5" s="596"/>
      <c r="H5" s="597"/>
      <c r="I5" s="637">
        <v>25</v>
      </c>
      <c r="J5" s="636" t="s">
        <v>55</v>
      </c>
      <c r="K5" s="597"/>
      <c r="L5" s="623"/>
    </row>
    <row r="6" spans="2:12">
      <c r="B6" s="591"/>
      <c r="C6" s="598"/>
      <c r="D6" s="593" t="s">
        <v>56</v>
      </c>
      <c r="E6" s="599" t="s">
        <v>57</v>
      </c>
      <c r="F6" s="595"/>
      <c r="G6" s="596"/>
      <c r="H6" s="597"/>
      <c r="I6" s="635">
        <f>I4+365*I5</f>
        <v>53046</v>
      </c>
      <c r="J6" s="636"/>
      <c r="K6" s="597"/>
      <c r="L6" s="623"/>
    </row>
    <row r="7" spans="2:12">
      <c r="B7" s="591"/>
      <c r="C7" s="598"/>
      <c r="D7" s="593" t="s">
        <v>58</v>
      </c>
      <c r="E7" s="596" t="s">
        <v>54</v>
      </c>
      <c r="F7" s="595"/>
      <c r="G7" s="596"/>
      <c r="H7" s="597"/>
      <c r="I7" s="637">
        <v>4</v>
      </c>
      <c r="J7" s="638" t="s">
        <v>55</v>
      </c>
      <c r="K7" s="639" t="s">
        <v>59</v>
      </c>
      <c r="L7" s="623"/>
    </row>
    <row r="8" spans="2:12">
      <c r="B8" s="591"/>
      <c r="C8" s="598"/>
      <c r="D8" s="593" t="s">
        <v>60</v>
      </c>
      <c r="E8" s="596" t="s">
        <v>54</v>
      </c>
      <c r="F8" s="595"/>
      <c r="G8" s="596"/>
      <c r="H8" s="597"/>
      <c r="I8" s="635">
        <v>45107</v>
      </c>
      <c r="J8" s="636"/>
      <c r="K8" s="597"/>
      <c r="L8" s="623"/>
    </row>
    <row r="9" spans="2:12">
      <c r="B9" s="591"/>
      <c r="C9" s="598"/>
      <c r="D9" s="593" t="s">
        <v>61</v>
      </c>
      <c r="E9" s="599" t="s">
        <v>57</v>
      </c>
      <c r="F9" s="595"/>
      <c r="G9" s="596"/>
      <c r="H9" s="597"/>
      <c r="I9" s="637">
        <f>IF(MONTH(I8)=12,YEAR(I6)-YEAR(I8),YEAR(I6)-YEAR(I8)+1)</f>
        <v>23</v>
      </c>
      <c r="J9" s="636"/>
      <c r="K9" s="639" t="s">
        <v>62</v>
      </c>
      <c r="L9" s="623"/>
    </row>
    <row r="10" spans="2:12">
      <c r="B10" s="591"/>
      <c r="C10" s="592">
        <v>2</v>
      </c>
      <c r="D10" s="593" t="s">
        <v>63</v>
      </c>
      <c r="E10" s="600"/>
      <c r="F10" s="595"/>
      <c r="G10" s="596"/>
      <c r="H10" s="597"/>
      <c r="I10" s="637"/>
      <c r="J10" s="636"/>
      <c r="K10" s="639"/>
      <c r="L10" s="623"/>
    </row>
    <row r="11" spans="2:12">
      <c r="B11" s="591"/>
      <c r="C11" s="592"/>
      <c r="D11" s="593" t="s">
        <v>64</v>
      </c>
      <c r="E11" s="600" t="s">
        <v>54</v>
      </c>
      <c r="F11" s="595"/>
      <c r="G11" s="596"/>
      <c r="H11" s="597"/>
      <c r="I11" s="640">
        <v>8000</v>
      </c>
      <c r="J11" s="636" t="s">
        <v>24</v>
      </c>
      <c r="K11" s="639"/>
      <c r="L11" s="623"/>
    </row>
    <row r="12" spans="2:12">
      <c r="B12" s="591"/>
      <c r="C12" s="592"/>
      <c r="D12" s="593" t="s">
        <v>65</v>
      </c>
      <c r="E12" s="600" t="s">
        <v>54</v>
      </c>
      <c r="F12" s="595"/>
      <c r="G12" s="596"/>
      <c r="H12" s="597"/>
      <c r="I12" s="640">
        <v>47000</v>
      </c>
      <c r="J12" s="636" t="s">
        <v>24</v>
      </c>
      <c r="K12" s="639"/>
      <c r="L12" s="623"/>
    </row>
    <row r="13" spans="2:12">
      <c r="B13" s="591"/>
      <c r="C13" s="592">
        <v>3</v>
      </c>
      <c r="D13" s="593" t="s">
        <v>66</v>
      </c>
      <c r="E13" s="595"/>
      <c r="F13" s="595"/>
      <c r="G13" s="596"/>
      <c r="H13" s="597"/>
      <c r="I13" s="637"/>
      <c r="J13" s="636"/>
      <c r="K13" s="639"/>
      <c r="L13" s="623"/>
    </row>
    <row r="14" spans="2:12">
      <c r="B14" s="591" t="s">
        <v>67</v>
      </c>
      <c r="C14" s="592">
        <v>3.1</v>
      </c>
      <c r="D14" s="601" t="s">
        <v>68</v>
      </c>
      <c r="E14" s="599" t="s">
        <v>69</v>
      </c>
      <c r="F14" s="595"/>
      <c r="G14" s="596"/>
      <c r="H14" s="597"/>
      <c r="I14" s="637">
        <v>2</v>
      </c>
      <c r="J14" s="638" t="s">
        <v>55</v>
      </c>
      <c r="K14" s="639" t="s">
        <v>70</v>
      </c>
      <c r="L14" s="623"/>
    </row>
    <row r="15" spans="2:12">
      <c r="B15" s="591"/>
      <c r="C15" s="592"/>
      <c r="D15" s="602" t="s">
        <v>71</v>
      </c>
      <c r="E15" s="594" t="s">
        <v>52</v>
      </c>
      <c r="F15" s="595"/>
      <c r="G15" s="596"/>
      <c r="H15" s="597"/>
      <c r="I15" s="635">
        <v>45107</v>
      </c>
      <c r="J15" s="636" t="s">
        <v>72</v>
      </c>
      <c r="K15" s="641" t="s">
        <v>73</v>
      </c>
      <c r="L15" s="623"/>
    </row>
    <row r="16" spans="2:12">
      <c r="B16" s="591"/>
      <c r="C16" s="592"/>
      <c r="D16" s="602" t="s">
        <v>74</v>
      </c>
      <c r="E16" s="594" t="s">
        <v>52</v>
      </c>
      <c r="F16" s="595"/>
      <c r="G16" s="596"/>
      <c r="H16" s="597"/>
      <c r="I16" s="642">
        <v>45627</v>
      </c>
      <c r="J16" s="636" t="s">
        <v>72</v>
      </c>
      <c r="K16" s="643"/>
      <c r="L16" s="623"/>
    </row>
    <row r="17" spans="2:12">
      <c r="B17" s="591"/>
      <c r="C17" s="592">
        <v>3.2</v>
      </c>
      <c r="D17" s="601" t="s">
        <v>75</v>
      </c>
      <c r="E17" s="596"/>
      <c r="F17" s="595"/>
      <c r="G17" s="596"/>
      <c r="H17" s="597"/>
      <c r="I17" s="644">
        <f>SUM(I18:I19)</f>
        <v>1</v>
      </c>
      <c r="J17" s="636"/>
      <c r="K17" s="597"/>
      <c r="L17" s="623"/>
    </row>
    <row r="18" spans="2:12">
      <c r="B18" s="591"/>
      <c r="C18" s="598"/>
      <c r="D18" s="603" t="s">
        <v>76</v>
      </c>
      <c r="E18" s="604" t="s">
        <v>77</v>
      </c>
      <c r="F18" s="595"/>
      <c r="G18" s="596"/>
      <c r="H18" s="597"/>
      <c r="I18" s="645">
        <f>'新建及改扩建项目投资概算明细 (光伏)'!F14</f>
        <v>0.3</v>
      </c>
      <c r="J18" s="636" t="s">
        <v>78</v>
      </c>
      <c r="K18" s="597"/>
      <c r="L18" s="623"/>
    </row>
    <row r="19" spans="2:12">
      <c r="B19" s="591"/>
      <c r="C19" s="598"/>
      <c r="D19" s="603" t="s">
        <v>79</v>
      </c>
      <c r="E19" s="604" t="s">
        <v>77</v>
      </c>
      <c r="F19" s="595"/>
      <c r="G19" s="596"/>
      <c r="H19" s="597"/>
      <c r="I19" s="645">
        <f>'新建及改扩建项目投资概算明细 (光伏)'!G14</f>
        <v>0.7</v>
      </c>
      <c r="J19" s="636" t="s">
        <v>78</v>
      </c>
      <c r="K19" s="597"/>
      <c r="L19" s="623"/>
    </row>
    <row r="20" spans="2:12">
      <c r="B20" s="591"/>
      <c r="C20" s="598"/>
      <c r="D20" s="603" t="s">
        <v>80</v>
      </c>
      <c r="E20" s="599" t="s">
        <v>81</v>
      </c>
      <c r="F20" s="595"/>
      <c r="G20" s="596"/>
      <c r="H20" s="597"/>
      <c r="I20" s="645"/>
      <c r="J20" s="636"/>
      <c r="K20" s="597"/>
      <c r="L20" s="623"/>
    </row>
    <row r="21" spans="2:12">
      <c r="B21" s="591"/>
      <c r="C21" s="592">
        <v>3.3</v>
      </c>
      <c r="D21" s="605" t="s">
        <v>82</v>
      </c>
      <c r="E21" s="596" t="s">
        <v>83</v>
      </c>
      <c r="F21" s="595"/>
      <c r="G21" s="596"/>
      <c r="H21" s="597"/>
      <c r="I21" s="637">
        <v>7</v>
      </c>
      <c r="J21" s="636" t="s">
        <v>84</v>
      </c>
      <c r="K21" s="597"/>
      <c r="L21" s="623"/>
    </row>
    <row r="22" ht="20.55" customHeight="1" spans="2:12">
      <c r="B22" s="591"/>
      <c r="C22" s="606"/>
      <c r="D22" s="607" t="s">
        <v>85</v>
      </c>
      <c r="E22" s="608" t="s">
        <v>86</v>
      </c>
      <c r="F22" s="609"/>
      <c r="G22" s="610"/>
      <c r="H22" s="611"/>
      <c r="I22" s="646">
        <v>25</v>
      </c>
      <c r="J22" s="647" t="s">
        <v>55</v>
      </c>
      <c r="K22" s="648"/>
      <c r="L22" s="623"/>
    </row>
    <row r="23" ht="20.55" customHeight="1" spans="2:12">
      <c r="B23" s="591"/>
      <c r="C23" s="592">
        <v>3.4</v>
      </c>
      <c r="D23" s="601" t="s">
        <v>87</v>
      </c>
      <c r="E23" s="596" t="s">
        <v>88</v>
      </c>
      <c r="F23" s="595"/>
      <c r="G23" s="596"/>
      <c r="H23" s="597"/>
      <c r="I23" s="637"/>
      <c r="J23" s="636" t="s">
        <v>72</v>
      </c>
      <c r="K23" s="649" t="s">
        <v>89</v>
      </c>
      <c r="L23" s="623"/>
    </row>
    <row r="24" ht="20.55" customHeight="1" spans="2:12">
      <c r="B24" s="591"/>
      <c r="C24" s="592">
        <v>4</v>
      </c>
      <c r="D24" s="601" t="s">
        <v>90</v>
      </c>
      <c r="E24" s="596" t="s">
        <v>91</v>
      </c>
      <c r="F24" s="595"/>
      <c r="G24" s="596"/>
      <c r="H24" s="597"/>
      <c r="I24" s="637"/>
      <c r="J24" s="636"/>
      <c r="K24" s="623" t="s">
        <v>92</v>
      </c>
      <c r="L24" s="623"/>
    </row>
    <row r="25" ht="20.55" customHeight="1" spans="2:12">
      <c r="B25" s="591"/>
      <c r="C25" s="612"/>
      <c r="D25" s="613" t="s">
        <v>93</v>
      </c>
      <c r="E25" s="596" t="s">
        <v>91</v>
      </c>
      <c r="F25" s="595"/>
      <c r="G25" s="596"/>
      <c r="H25" s="597"/>
      <c r="I25" s="637"/>
      <c r="J25" s="636"/>
      <c r="K25" s="623"/>
      <c r="L25" s="623"/>
    </row>
    <row r="26" ht="20.55" customHeight="1" spans="2:12">
      <c r="B26" s="591"/>
      <c r="C26" s="612"/>
      <c r="D26" s="613" t="s">
        <v>94</v>
      </c>
      <c r="E26" s="596" t="s">
        <v>91</v>
      </c>
      <c r="F26" s="595"/>
      <c r="G26" s="596"/>
      <c r="H26" s="597"/>
      <c r="I26" s="637"/>
      <c r="J26" s="636"/>
      <c r="K26" s="623"/>
      <c r="L26" s="623"/>
    </row>
    <row r="27" ht="20.55" customHeight="1" spans="2:12">
      <c r="B27" s="591"/>
      <c r="C27" s="612">
        <v>5</v>
      </c>
      <c r="D27" s="614" t="s">
        <v>95</v>
      </c>
      <c r="E27" s="596" t="s">
        <v>86</v>
      </c>
      <c r="F27" s="595"/>
      <c r="G27" s="596"/>
      <c r="H27" s="597"/>
      <c r="I27" s="637">
        <v>26000</v>
      </c>
      <c r="J27" s="636" t="s">
        <v>96</v>
      </c>
      <c r="K27" s="623"/>
      <c r="L27" s="623"/>
    </row>
    <row r="28" ht="20.55" customHeight="1" spans="2:12">
      <c r="B28" s="591"/>
      <c r="C28" s="612">
        <v>6</v>
      </c>
      <c r="D28" s="614" t="s">
        <v>97</v>
      </c>
      <c r="E28" s="596" t="s">
        <v>86</v>
      </c>
      <c r="F28" s="595"/>
      <c r="G28" s="596"/>
      <c r="H28" s="597"/>
      <c r="I28" s="637">
        <v>3500</v>
      </c>
      <c r="J28" s="636" t="s">
        <v>96</v>
      </c>
      <c r="K28" s="623"/>
      <c r="L28" s="623"/>
    </row>
    <row r="29" ht="20.55" customHeight="1" spans="2:12">
      <c r="B29" s="591"/>
      <c r="C29" s="612">
        <v>7</v>
      </c>
      <c r="D29" s="615" t="s">
        <v>98</v>
      </c>
      <c r="E29" s="604" t="s">
        <v>77</v>
      </c>
      <c r="F29" s="595"/>
      <c r="G29" s="596"/>
      <c r="H29" s="597"/>
      <c r="I29" s="635">
        <f>I4+365*20</f>
        <v>51221</v>
      </c>
      <c r="J29" s="636"/>
      <c r="K29" s="623"/>
      <c r="L29" s="623"/>
    </row>
    <row r="30" ht="20.55" customHeight="1" spans="2:12">
      <c r="B30" s="616" t="s">
        <v>99</v>
      </c>
      <c r="C30" s="617">
        <v>8</v>
      </c>
      <c r="D30" s="618" t="s">
        <v>100</v>
      </c>
      <c r="E30" s="619" t="s">
        <v>77</v>
      </c>
      <c r="F30" s="595"/>
      <c r="G30" s="596"/>
      <c r="H30" s="597"/>
      <c r="I30" s="650">
        <f>I31+I32</f>
        <v>320</v>
      </c>
      <c r="J30" s="636" t="s">
        <v>101</v>
      </c>
      <c r="K30" s="623" t="s">
        <v>102</v>
      </c>
      <c r="L30" s="623"/>
    </row>
    <row r="31" ht="20.55" customHeight="1" spans="2:12">
      <c r="B31" s="616"/>
      <c r="C31" s="617">
        <v>8.1</v>
      </c>
      <c r="D31" s="620" t="s">
        <v>103</v>
      </c>
      <c r="E31" s="621" t="s">
        <v>86</v>
      </c>
      <c r="F31" s="595"/>
      <c r="G31" s="596"/>
      <c r="H31" s="597"/>
      <c r="I31" s="650">
        <v>10</v>
      </c>
      <c r="J31" s="651" t="s">
        <v>101</v>
      </c>
      <c r="K31" s="623"/>
      <c r="L31" s="623"/>
    </row>
    <row r="32" ht="20.55" customHeight="1" spans="2:12">
      <c r="B32" s="616"/>
      <c r="C32" s="617">
        <v>8.2</v>
      </c>
      <c r="D32" s="620" t="s">
        <v>104</v>
      </c>
      <c r="E32" s="621" t="s">
        <v>86</v>
      </c>
      <c r="F32" s="595"/>
      <c r="G32" s="596"/>
      <c r="H32" s="597"/>
      <c r="I32" s="650">
        <v>310</v>
      </c>
      <c r="J32" s="651" t="s">
        <v>101</v>
      </c>
      <c r="K32" s="623"/>
      <c r="L32" s="623"/>
    </row>
    <row r="33" ht="20.55" customHeight="1" spans="2:12">
      <c r="B33" s="591"/>
      <c r="C33" s="612">
        <v>9</v>
      </c>
      <c r="D33" s="622" t="s">
        <v>105</v>
      </c>
      <c r="E33" s="596" t="s">
        <v>54</v>
      </c>
      <c r="F33" s="595"/>
      <c r="G33" s="596"/>
      <c r="H33" s="623"/>
      <c r="I33" s="652">
        <v>1551</v>
      </c>
      <c r="J33" s="636" t="s">
        <v>96</v>
      </c>
      <c r="K33" s="623"/>
      <c r="L33" s="623"/>
    </row>
    <row r="34" ht="20.55" customHeight="1" spans="2:12">
      <c r="B34" s="591"/>
      <c r="C34" s="612">
        <v>10</v>
      </c>
      <c r="D34" s="624" t="s">
        <v>106</v>
      </c>
      <c r="E34" s="596"/>
      <c r="F34" s="595"/>
      <c r="G34" s="596"/>
      <c r="H34" s="623"/>
      <c r="I34" s="637"/>
      <c r="J34" s="636"/>
      <c r="K34" s="623"/>
      <c r="L34" s="623"/>
    </row>
    <row r="35" ht="15.5" spans="2:12">
      <c r="B35" s="591"/>
      <c r="C35" s="612"/>
      <c r="D35" s="625" t="s">
        <v>107</v>
      </c>
      <c r="E35" s="626" t="s">
        <v>108</v>
      </c>
      <c r="F35" s="627"/>
      <c r="G35" s="626"/>
      <c r="H35" s="623"/>
      <c r="I35" s="653">
        <v>0.15</v>
      </c>
      <c r="J35" s="636" t="s">
        <v>78</v>
      </c>
      <c r="K35" s="623"/>
      <c r="L35" s="623"/>
    </row>
    <row r="36" ht="15.5" spans="2:12">
      <c r="B36" s="591"/>
      <c r="C36" s="612"/>
      <c r="D36" s="628" t="s">
        <v>109</v>
      </c>
      <c r="E36" s="626" t="s">
        <v>108</v>
      </c>
      <c r="F36" s="629"/>
      <c r="G36" s="626"/>
      <c r="H36" s="623"/>
      <c r="I36" s="653">
        <v>0.75</v>
      </c>
      <c r="J36" s="636" t="s">
        <v>78</v>
      </c>
      <c r="K36" s="623"/>
      <c r="L36" s="623"/>
    </row>
    <row r="37" ht="15.5" spans="2:12">
      <c r="B37" s="591"/>
      <c r="C37" s="612"/>
      <c r="D37" s="630" t="s">
        <v>110</v>
      </c>
      <c r="E37" s="631" t="s">
        <v>108</v>
      </c>
      <c r="F37" s="629"/>
      <c r="G37" s="626"/>
      <c r="H37" s="623"/>
      <c r="I37" s="653">
        <v>0.1</v>
      </c>
      <c r="J37" s="636" t="s">
        <v>78</v>
      </c>
      <c r="K37" s="623"/>
      <c r="L37" s="623"/>
    </row>
    <row r="38" ht="15.5" spans="2:12">
      <c r="B38" s="591"/>
      <c r="C38" s="612"/>
      <c r="D38" s="618" t="s">
        <v>111</v>
      </c>
      <c r="E38" s="626"/>
      <c r="F38" s="629"/>
      <c r="G38" s="626"/>
      <c r="H38" s="623"/>
      <c r="I38" s="654"/>
      <c r="J38" s="636"/>
      <c r="K38" s="623"/>
      <c r="L38" s="623"/>
    </row>
    <row r="39" ht="15.5" spans="2:12">
      <c r="B39" s="591"/>
      <c r="C39" s="612"/>
      <c r="D39" s="628" t="s">
        <v>112</v>
      </c>
      <c r="E39" s="632" t="s">
        <v>108</v>
      </c>
      <c r="F39" s="629"/>
      <c r="G39" s="626"/>
      <c r="H39" s="623"/>
      <c r="I39" s="655">
        <v>0</v>
      </c>
      <c r="J39" s="636" t="s">
        <v>78</v>
      </c>
      <c r="K39" s="623"/>
      <c r="L39" s="623"/>
    </row>
    <row r="40" ht="15.5" spans="2:12">
      <c r="B40" s="591"/>
      <c r="C40" s="612"/>
      <c r="D40" s="628" t="s">
        <v>113</v>
      </c>
      <c r="E40" s="632" t="s">
        <v>108</v>
      </c>
      <c r="F40" s="629"/>
      <c r="G40" s="626"/>
      <c r="H40" s="623"/>
      <c r="I40" s="655">
        <f>I31/I30</f>
        <v>0.03125</v>
      </c>
      <c r="J40" s="636" t="s">
        <v>78</v>
      </c>
      <c r="K40" s="623"/>
      <c r="L40" s="623"/>
    </row>
    <row r="41" ht="15.5" spans="2:12">
      <c r="B41" s="591"/>
      <c r="C41" s="612"/>
      <c r="D41" s="628" t="s">
        <v>114</v>
      </c>
      <c r="E41" s="626" t="s">
        <v>108</v>
      </c>
      <c r="F41" s="629"/>
      <c r="G41" s="626"/>
      <c r="H41" s="623"/>
      <c r="I41" s="655">
        <f>I40</f>
        <v>0.03125</v>
      </c>
      <c r="J41" s="636" t="s">
        <v>78</v>
      </c>
      <c r="K41" s="623"/>
      <c r="L41" s="623"/>
    </row>
    <row r="42" ht="15.5" spans="2:12">
      <c r="B42" s="591"/>
      <c r="C42" s="612"/>
      <c r="D42" s="628" t="s">
        <v>115</v>
      </c>
      <c r="E42" s="626" t="s">
        <v>108</v>
      </c>
      <c r="F42" s="629"/>
      <c r="G42" s="626"/>
      <c r="H42" s="623"/>
      <c r="I42" s="655">
        <f>I41</f>
        <v>0.03125</v>
      </c>
      <c r="J42" s="636" t="s">
        <v>78</v>
      </c>
      <c r="K42" s="623"/>
      <c r="L42" s="623"/>
    </row>
    <row r="43" ht="15.5" spans="2:12">
      <c r="B43" s="591"/>
      <c r="C43" s="612"/>
      <c r="D43" s="628" t="s">
        <v>116</v>
      </c>
      <c r="E43" s="626" t="s">
        <v>108</v>
      </c>
      <c r="F43" s="629"/>
      <c r="G43" s="626"/>
      <c r="H43" s="623"/>
      <c r="I43" s="655">
        <f>($I$31+$I$32*I35)/$I$30</f>
        <v>0.1765625</v>
      </c>
      <c r="J43" s="636" t="s">
        <v>78</v>
      </c>
      <c r="K43" s="623"/>
      <c r="L43" s="623"/>
    </row>
    <row r="44" ht="15.5" spans="2:12">
      <c r="B44" s="591"/>
      <c r="C44" s="612"/>
      <c r="D44" s="628" t="s">
        <v>117</v>
      </c>
      <c r="E44" s="626" t="s">
        <v>108</v>
      </c>
      <c r="F44" s="629"/>
      <c r="G44" s="626"/>
      <c r="H44" s="623"/>
      <c r="I44" s="655">
        <f>($I$31+$I$32*I36)/$I$30</f>
        <v>0.7578125</v>
      </c>
      <c r="J44" s="636" t="s">
        <v>78</v>
      </c>
      <c r="K44" s="623"/>
      <c r="L44" s="623"/>
    </row>
    <row r="45" ht="15.5" spans="2:12">
      <c r="B45" s="591"/>
      <c r="C45" s="612"/>
      <c r="D45" s="628" t="s">
        <v>118</v>
      </c>
      <c r="E45" s="626" t="s">
        <v>108</v>
      </c>
      <c r="F45" s="629"/>
      <c r="G45" s="626"/>
      <c r="H45" s="623"/>
      <c r="I45" s="654">
        <v>1</v>
      </c>
      <c r="J45" s="636" t="s">
        <v>78</v>
      </c>
      <c r="K45" s="623"/>
      <c r="L45" s="623"/>
    </row>
    <row r="46" ht="15.5" spans="2:12">
      <c r="B46" s="591"/>
      <c r="C46" s="612"/>
      <c r="D46" s="628" t="s">
        <v>119</v>
      </c>
      <c r="E46" s="626" t="s">
        <v>108</v>
      </c>
      <c r="F46" s="629"/>
      <c r="G46" s="626"/>
      <c r="H46" s="623"/>
      <c r="I46" s="654">
        <v>1</v>
      </c>
      <c r="J46" s="636" t="s">
        <v>78</v>
      </c>
      <c r="K46" s="623"/>
      <c r="L46" s="623"/>
    </row>
    <row r="47" ht="15.5" spans="2:12">
      <c r="B47" s="591"/>
      <c r="C47" s="612"/>
      <c r="D47" s="628" t="s">
        <v>120</v>
      </c>
      <c r="E47" s="626" t="s">
        <v>108</v>
      </c>
      <c r="F47" s="629"/>
      <c r="G47" s="626"/>
      <c r="H47" s="623"/>
      <c r="I47" s="654">
        <v>1</v>
      </c>
      <c r="J47" s="636" t="s">
        <v>78</v>
      </c>
      <c r="K47" s="623"/>
      <c r="L47" s="623"/>
    </row>
    <row r="48" ht="15.5" spans="2:12">
      <c r="B48" s="591"/>
      <c r="C48" s="612"/>
      <c r="D48" s="628" t="s">
        <v>121</v>
      </c>
      <c r="E48" s="626" t="s">
        <v>108</v>
      </c>
      <c r="F48" s="629"/>
      <c r="G48" s="626"/>
      <c r="H48" s="623"/>
      <c r="I48" s="654">
        <v>1</v>
      </c>
      <c r="J48" s="636" t="s">
        <v>78</v>
      </c>
      <c r="K48" s="623"/>
      <c r="L48" s="623"/>
    </row>
    <row r="49" ht="15.5" spans="2:12">
      <c r="B49" s="591"/>
      <c r="C49" s="612"/>
      <c r="D49" s="628" t="s">
        <v>122</v>
      </c>
      <c r="E49" s="626" t="s">
        <v>108</v>
      </c>
      <c r="F49" s="629"/>
      <c r="G49" s="626"/>
      <c r="H49" s="623"/>
      <c r="I49" s="654">
        <v>1</v>
      </c>
      <c r="J49" s="636" t="s">
        <v>78</v>
      </c>
      <c r="K49" s="623"/>
      <c r="L49" s="623"/>
    </row>
    <row r="50" ht="15.5" spans="2:12">
      <c r="B50" s="591"/>
      <c r="C50" s="612"/>
      <c r="D50" s="628" t="s">
        <v>123</v>
      </c>
      <c r="E50" s="626" t="s">
        <v>108</v>
      </c>
      <c r="F50" s="629"/>
      <c r="G50" s="626"/>
      <c r="H50" s="623"/>
      <c r="I50" s="654">
        <v>1</v>
      </c>
      <c r="J50" s="636" t="s">
        <v>78</v>
      </c>
      <c r="K50" s="623"/>
      <c r="L50" s="623"/>
    </row>
    <row r="51" ht="15.5" spans="2:12">
      <c r="B51" s="591"/>
      <c r="C51" s="612"/>
      <c r="D51" s="628" t="s">
        <v>124</v>
      </c>
      <c r="E51" s="626" t="s">
        <v>108</v>
      </c>
      <c r="F51" s="629"/>
      <c r="G51" s="626"/>
      <c r="H51" s="623"/>
      <c r="I51" s="654">
        <v>1</v>
      </c>
      <c r="J51" s="636" t="s">
        <v>78</v>
      </c>
      <c r="K51" s="623"/>
      <c r="L51" s="623"/>
    </row>
    <row r="52" ht="15.5" spans="2:12">
      <c r="B52" s="591"/>
      <c r="C52" s="612"/>
      <c r="D52" s="628" t="s">
        <v>125</v>
      </c>
      <c r="E52" s="626" t="s">
        <v>108</v>
      </c>
      <c r="F52" s="629"/>
      <c r="G52" s="626"/>
      <c r="H52" s="623"/>
      <c r="I52" s="654">
        <v>1</v>
      </c>
      <c r="J52" s="636" t="s">
        <v>78</v>
      </c>
      <c r="K52" s="623"/>
      <c r="L52" s="623"/>
    </row>
    <row r="53" ht="15.5" spans="2:12">
      <c r="B53" s="591"/>
      <c r="C53" s="612"/>
      <c r="D53" s="628" t="s">
        <v>126</v>
      </c>
      <c r="E53" s="626" t="s">
        <v>108</v>
      </c>
      <c r="F53" s="629"/>
      <c r="G53" s="626"/>
      <c r="H53" s="623"/>
      <c r="I53" s="654">
        <v>1</v>
      </c>
      <c r="J53" s="636" t="s">
        <v>78</v>
      </c>
      <c r="K53" s="623"/>
      <c r="L53" s="623"/>
    </row>
    <row r="54" ht="15.5" spans="2:12">
      <c r="B54" s="591"/>
      <c r="C54" s="612"/>
      <c r="D54" s="628" t="s">
        <v>127</v>
      </c>
      <c r="E54" s="626" t="s">
        <v>108</v>
      </c>
      <c r="F54" s="629"/>
      <c r="G54" s="626"/>
      <c r="H54" s="623"/>
      <c r="I54" s="654">
        <v>1</v>
      </c>
      <c r="J54" s="636" t="s">
        <v>78</v>
      </c>
      <c r="K54" s="623"/>
      <c r="L54" s="623"/>
    </row>
    <row r="55" ht="15.5" spans="2:12">
      <c r="B55" s="591"/>
      <c r="C55" s="612"/>
      <c r="D55" s="628" t="s">
        <v>128</v>
      </c>
      <c r="E55" s="626" t="s">
        <v>108</v>
      </c>
      <c r="F55" s="629"/>
      <c r="G55" s="626"/>
      <c r="H55" s="623"/>
      <c r="I55" s="654">
        <v>1</v>
      </c>
      <c r="J55" s="636" t="s">
        <v>78</v>
      </c>
      <c r="K55" s="623"/>
      <c r="L55" s="623"/>
    </row>
    <row r="56" ht="15.5" spans="2:12">
      <c r="B56" s="591"/>
      <c r="C56" s="612"/>
      <c r="D56" s="628" t="s">
        <v>129</v>
      </c>
      <c r="E56" s="626" t="s">
        <v>108</v>
      </c>
      <c r="F56" s="629"/>
      <c r="G56" s="626"/>
      <c r="H56" s="623"/>
      <c r="I56" s="654">
        <v>1</v>
      </c>
      <c r="J56" s="636" t="s">
        <v>78</v>
      </c>
      <c r="K56" s="623"/>
      <c r="L56" s="623"/>
    </row>
    <row r="57" ht="15.5" spans="2:12">
      <c r="B57" s="591"/>
      <c r="C57" s="612"/>
      <c r="D57" s="628" t="s">
        <v>130</v>
      </c>
      <c r="E57" s="626" t="s">
        <v>108</v>
      </c>
      <c r="F57" s="629"/>
      <c r="G57" s="626"/>
      <c r="H57" s="623"/>
      <c r="I57" s="654">
        <v>1</v>
      </c>
      <c r="J57" s="636" t="s">
        <v>78</v>
      </c>
      <c r="K57" s="623"/>
      <c r="L57" s="623"/>
    </row>
    <row r="58" ht="15.5" spans="2:12">
      <c r="B58" s="591"/>
      <c r="C58" s="612"/>
      <c r="D58" s="628" t="s">
        <v>131</v>
      </c>
      <c r="E58" s="626" t="s">
        <v>108</v>
      </c>
      <c r="F58" s="629"/>
      <c r="G58" s="626"/>
      <c r="H58" s="623"/>
      <c r="I58" s="654">
        <v>1</v>
      </c>
      <c r="J58" s="636" t="s">
        <v>78</v>
      </c>
      <c r="K58" s="623"/>
      <c r="L58" s="623"/>
    </row>
    <row r="59" ht="15.5" spans="2:12">
      <c r="B59" s="591"/>
      <c r="C59" s="612"/>
      <c r="D59" s="628" t="s">
        <v>132</v>
      </c>
      <c r="E59" s="626" t="s">
        <v>108</v>
      </c>
      <c r="F59" s="629"/>
      <c r="G59" s="626"/>
      <c r="H59" s="623"/>
      <c r="I59" s="654">
        <v>1</v>
      </c>
      <c r="J59" s="636" t="s">
        <v>78</v>
      </c>
      <c r="K59" s="623"/>
      <c r="L59" s="623"/>
    </row>
    <row r="60" ht="15.5" spans="2:12">
      <c r="B60" s="591"/>
      <c r="C60" s="612"/>
      <c r="D60" s="628" t="s">
        <v>133</v>
      </c>
      <c r="E60" s="626" t="s">
        <v>108</v>
      </c>
      <c r="F60" s="629"/>
      <c r="G60" s="626"/>
      <c r="H60" s="623"/>
      <c r="I60" s="654">
        <v>1</v>
      </c>
      <c r="J60" s="636" t="s">
        <v>78</v>
      </c>
      <c r="K60" s="623"/>
      <c r="L60" s="623"/>
    </row>
    <row r="61" ht="15.5" spans="2:12">
      <c r="B61" s="591"/>
      <c r="C61" s="612"/>
      <c r="D61" s="628" t="s">
        <v>134</v>
      </c>
      <c r="E61" s="626" t="s">
        <v>108</v>
      </c>
      <c r="F61" s="629"/>
      <c r="G61" s="626"/>
      <c r="H61" s="623"/>
      <c r="I61" s="654">
        <v>1</v>
      </c>
      <c r="J61" s="636" t="s">
        <v>78</v>
      </c>
      <c r="K61" s="623"/>
      <c r="L61" s="623"/>
    </row>
    <row r="62" ht="15.5" spans="2:12">
      <c r="B62" s="591"/>
      <c r="C62" s="612"/>
      <c r="D62" s="628" t="s">
        <v>135</v>
      </c>
      <c r="E62" s="626" t="s">
        <v>108</v>
      </c>
      <c r="F62" s="629"/>
      <c r="G62" s="626"/>
      <c r="H62" s="623"/>
      <c r="I62" s="654">
        <v>1</v>
      </c>
      <c r="J62" s="636" t="s">
        <v>78</v>
      </c>
      <c r="K62" s="623"/>
      <c r="L62" s="623"/>
    </row>
    <row r="63" ht="15.5" spans="2:12">
      <c r="B63" s="591"/>
      <c r="C63" s="612"/>
      <c r="D63" s="628" t="s">
        <v>136</v>
      </c>
      <c r="E63" s="626" t="s">
        <v>108</v>
      </c>
      <c r="F63" s="629"/>
      <c r="G63" s="626"/>
      <c r="H63" s="623"/>
      <c r="I63" s="654">
        <v>1</v>
      </c>
      <c r="J63" s="636" t="s">
        <v>78</v>
      </c>
      <c r="K63" s="623"/>
      <c r="L63" s="623"/>
    </row>
    <row r="64" ht="15.5" spans="2:12">
      <c r="B64" s="591"/>
      <c r="C64" s="612"/>
      <c r="D64" s="628" t="s">
        <v>137</v>
      </c>
      <c r="E64" s="626" t="s">
        <v>108</v>
      </c>
      <c r="F64" s="629"/>
      <c r="G64" s="626"/>
      <c r="H64" s="623"/>
      <c r="I64" s="654">
        <v>1</v>
      </c>
      <c r="J64" s="636" t="s">
        <v>78</v>
      </c>
      <c r="K64" s="623"/>
      <c r="L64" s="623"/>
    </row>
    <row r="65" ht="15.5" spans="2:12">
      <c r="B65" s="591"/>
      <c r="C65" s="612"/>
      <c r="D65" s="628" t="s">
        <v>138</v>
      </c>
      <c r="E65" s="626" t="s">
        <v>108</v>
      </c>
      <c r="F65" s="629"/>
      <c r="G65" s="626"/>
      <c r="H65" s="623"/>
      <c r="I65" s="654">
        <v>1</v>
      </c>
      <c r="J65" s="636" t="s">
        <v>78</v>
      </c>
      <c r="K65" s="623"/>
      <c r="L65" s="623"/>
    </row>
    <row r="66" ht="30.5" spans="2:12">
      <c r="B66" s="591"/>
      <c r="C66" s="612"/>
      <c r="D66" s="656" t="s">
        <v>139</v>
      </c>
      <c r="E66" s="657"/>
      <c r="F66" s="658"/>
      <c r="G66" s="604"/>
      <c r="H66" s="659" t="s">
        <v>140</v>
      </c>
      <c r="I66" s="637"/>
      <c r="J66" s="636" t="s">
        <v>141</v>
      </c>
      <c r="K66" s="623" t="s">
        <v>142</v>
      </c>
      <c r="L66" s="623"/>
    </row>
    <row r="67" customFormat="1" ht="15.5" spans="2:12">
      <c r="B67" s="660"/>
      <c r="C67" s="612"/>
      <c r="D67" s="661" t="s">
        <v>100</v>
      </c>
      <c r="E67" s="657" t="s">
        <v>143</v>
      </c>
      <c r="F67" s="658"/>
      <c r="G67" s="604"/>
      <c r="H67" s="659"/>
      <c r="I67" s="666">
        <f>I30</f>
        <v>320</v>
      </c>
      <c r="J67" s="636" t="s">
        <v>101</v>
      </c>
      <c r="K67" s="623"/>
      <c r="L67" s="623"/>
    </row>
    <row r="68" customFormat="1" ht="15.5" spans="2:12">
      <c r="B68" s="660"/>
      <c r="C68" s="612"/>
      <c r="D68" s="662" t="s">
        <v>105</v>
      </c>
      <c r="E68" s="657" t="s">
        <v>143</v>
      </c>
      <c r="F68" s="658"/>
      <c r="G68" s="604"/>
      <c r="H68" s="659"/>
      <c r="I68" s="666">
        <f>I33</f>
        <v>1551</v>
      </c>
      <c r="J68" s="636" t="s">
        <v>96</v>
      </c>
      <c r="K68" s="623"/>
      <c r="L68" s="623"/>
    </row>
    <row r="69" customFormat="1" ht="15.5" spans="2:12">
      <c r="B69" s="660"/>
      <c r="C69" s="612"/>
      <c r="D69" s="662" t="s">
        <v>144</v>
      </c>
      <c r="E69" s="596"/>
      <c r="F69" s="658"/>
      <c r="G69" s="604"/>
      <c r="H69" s="659"/>
      <c r="I69" s="654"/>
      <c r="J69" s="636"/>
      <c r="K69" s="623"/>
      <c r="L69" s="623"/>
    </row>
    <row r="70" customFormat="1" ht="15.5" spans="2:12">
      <c r="B70" s="660"/>
      <c r="C70" s="612"/>
      <c r="D70" s="663" t="s">
        <v>112</v>
      </c>
      <c r="E70" s="596" t="s">
        <v>54</v>
      </c>
      <c r="F70" s="658"/>
      <c r="G70" s="604"/>
      <c r="H70" s="659"/>
      <c r="I70" s="654">
        <v>0</v>
      </c>
      <c r="J70" s="636" t="s">
        <v>78</v>
      </c>
      <c r="K70" s="623"/>
      <c r="L70" s="623"/>
    </row>
    <row r="71" customFormat="1" ht="15.5" spans="2:12">
      <c r="B71" s="660"/>
      <c r="C71" s="612"/>
      <c r="D71" s="663" t="s">
        <v>113</v>
      </c>
      <c r="E71" s="596" t="s">
        <v>54</v>
      </c>
      <c r="F71" s="658"/>
      <c r="G71" s="604"/>
      <c r="H71" s="659"/>
      <c r="I71" s="654">
        <v>0</v>
      </c>
      <c r="J71" s="636" t="s">
        <v>78</v>
      </c>
      <c r="K71" s="623"/>
      <c r="L71" s="623"/>
    </row>
    <row r="72" customFormat="1" ht="15.5" spans="2:12">
      <c r="B72" s="660"/>
      <c r="C72" s="612"/>
      <c r="D72" s="663" t="s">
        <v>114</v>
      </c>
      <c r="E72" s="596" t="s">
        <v>54</v>
      </c>
      <c r="F72" s="658"/>
      <c r="G72" s="604"/>
      <c r="H72" s="659"/>
      <c r="I72" s="654">
        <v>0</v>
      </c>
      <c r="J72" s="636" t="s">
        <v>78</v>
      </c>
      <c r="K72" s="623"/>
      <c r="L72" s="623"/>
    </row>
    <row r="73" customFormat="1" ht="15.5" spans="2:12">
      <c r="B73" s="660"/>
      <c r="C73" s="612"/>
      <c r="D73" s="663" t="s">
        <v>115</v>
      </c>
      <c r="E73" s="596" t="s">
        <v>54</v>
      </c>
      <c r="F73" s="658"/>
      <c r="G73" s="604"/>
      <c r="H73" s="659"/>
      <c r="I73" s="667">
        <v>0.0045</v>
      </c>
      <c r="J73" s="636" t="s">
        <v>78</v>
      </c>
      <c r="K73" s="623"/>
      <c r="L73" s="623"/>
    </row>
    <row r="74" customFormat="1" ht="15.5" spans="2:12">
      <c r="B74" s="660"/>
      <c r="C74" s="612"/>
      <c r="D74" s="663" t="s">
        <v>116</v>
      </c>
      <c r="E74" s="596" t="s">
        <v>54</v>
      </c>
      <c r="F74" s="658"/>
      <c r="G74" s="604"/>
      <c r="H74" s="659"/>
      <c r="I74" s="667">
        <f>I73+0.45%</f>
        <v>0.009</v>
      </c>
      <c r="J74" s="636" t="s">
        <v>78</v>
      </c>
      <c r="K74" s="623"/>
      <c r="L74" s="623"/>
    </row>
    <row r="75" customFormat="1" ht="15.5" spans="2:12">
      <c r="B75" s="660"/>
      <c r="C75" s="612"/>
      <c r="D75" s="663" t="s">
        <v>117</v>
      </c>
      <c r="E75" s="596" t="s">
        <v>54</v>
      </c>
      <c r="F75" s="658"/>
      <c r="G75" s="604"/>
      <c r="H75" s="659"/>
      <c r="I75" s="667">
        <f t="shared" ref="I75:I96" si="0">I74+0.45%</f>
        <v>0.0135</v>
      </c>
      <c r="J75" s="636" t="s">
        <v>78</v>
      </c>
      <c r="K75" s="623"/>
      <c r="L75" s="623"/>
    </row>
    <row r="76" customFormat="1" ht="15.5" spans="2:12">
      <c r="B76" s="660"/>
      <c r="C76" s="612"/>
      <c r="D76" s="663" t="s">
        <v>118</v>
      </c>
      <c r="E76" s="596" t="s">
        <v>54</v>
      </c>
      <c r="F76" s="658"/>
      <c r="G76" s="604"/>
      <c r="H76" s="659"/>
      <c r="I76" s="667">
        <f t="shared" si="0"/>
        <v>0.018</v>
      </c>
      <c r="J76" s="636" t="s">
        <v>78</v>
      </c>
      <c r="K76" s="623"/>
      <c r="L76" s="623"/>
    </row>
    <row r="77" customFormat="1" ht="15.5" spans="2:12">
      <c r="B77" s="660"/>
      <c r="C77" s="612"/>
      <c r="D77" s="663" t="s">
        <v>119</v>
      </c>
      <c r="E77" s="596" t="s">
        <v>54</v>
      </c>
      <c r="F77" s="658"/>
      <c r="G77" s="604"/>
      <c r="H77" s="659"/>
      <c r="I77" s="667">
        <f t="shared" si="0"/>
        <v>0.0225</v>
      </c>
      <c r="J77" s="636" t="s">
        <v>78</v>
      </c>
      <c r="K77" s="623"/>
      <c r="L77" s="623"/>
    </row>
    <row r="78" customFormat="1" ht="15.5" spans="2:12">
      <c r="B78" s="660"/>
      <c r="C78" s="612"/>
      <c r="D78" s="663" t="s">
        <v>120</v>
      </c>
      <c r="E78" s="596" t="s">
        <v>54</v>
      </c>
      <c r="F78" s="658"/>
      <c r="G78" s="604"/>
      <c r="H78" s="659"/>
      <c r="I78" s="667">
        <f t="shared" si="0"/>
        <v>0.027</v>
      </c>
      <c r="J78" s="636" t="s">
        <v>78</v>
      </c>
      <c r="K78" s="623"/>
      <c r="L78" s="623"/>
    </row>
    <row r="79" customFormat="1" ht="15.5" spans="2:12">
      <c r="B79" s="660"/>
      <c r="C79" s="612"/>
      <c r="D79" s="663" t="s">
        <v>121</v>
      </c>
      <c r="E79" s="596" t="s">
        <v>54</v>
      </c>
      <c r="F79" s="658"/>
      <c r="G79" s="604"/>
      <c r="H79" s="659"/>
      <c r="I79" s="667">
        <f t="shared" si="0"/>
        <v>0.0315</v>
      </c>
      <c r="J79" s="636" t="s">
        <v>78</v>
      </c>
      <c r="K79" s="623"/>
      <c r="L79" s="623"/>
    </row>
    <row r="80" customFormat="1" ht="15.5" spans="2:12">
      <c r="B80" s="660"/>
      <c r="C80" s="612"/>
      <c r="D80" s="663" t="s">
        <v>122</v>
      </c>
      <c r="E80" s="596" t="s">
        <v>54</v>
      </c>
      <c r="F80" s="658"/>
      <c r="G80" s="604"/>
      <c r="H80" s="659"/>
      <c r="I80" s="667">
        <f t="shared" si="0"/>
        <v>0.036</v>
      </c>
      <c r="J80" s="636" t="s">
        <v>78</v>
      </c>
      <c r="K80" s="623"/>
      <c r="L80" s="623"/>
    </row>
    <row r="81" customFormat="1" ht="15.5" spans="2:12">
      <c r="B81" s="660"/>
      <c r="C81" s="612"/>
      <c r="D81" s="663" t="s">
        <v>123</v>
      </c>
      <c r="E81" s="596" t="s">
        <v>54</v>
      </c>
      <c r="F81" s="658"/>
      <c r="G81" s="604"/>
      <c r="H81" s="659"/>
      <c r="I81" s="667">
        <f t="shared" si="0"/>
        <v>0.0405</v>
      </c>
      <c r="J81" s="636" t="s">
        <v>78</v>
      </c>
      <c r="K81" s="623"/>
      <c r="L81" s="623"/>
    </row>
    <row r="82" customFormat="1" ht="15.5" spans="2:12">
      <c r="B82" s="660"/>
      <c r="C82" s="612"/>
      <c r="D82" s="663" t="s">
        <v>124</v>
      </c>
      <c r="E82" s="596" t="s">
        <v>54</v>
      </c>
      <c r="F82" s="658"/>
      <c r="G82" s="604"/>
      <c r="H82" s="659"/>
      <c r="I82" s="667">
        <f t="shared" si="0"/>
        <v>0.045</v>
      </c>
      <c r="J82" s="636" t="s">
        <v>78</v>
      </c>
      <c r="K82" s="623"/>
      <c r="L82" s="623"/>
    </row>
    <row r="83" customFormat="1" ht="15.5" spans="2:12">
      <c r="B83" s="660"/>
      <c r="C83" s="612"/>
      <c r="D83" s="663" t="s">
        <v>125</v>
      </c>
      <c r="E83" s="596" t="s">
        <v>54</v>
      </c>
      <c r="F83" s="658"/>
      <c r="G83" s="604"/>
      <c r="H83" s="659"/>
      <c r="I83" s="667">
        <f t="shared" si="0"/>
        <v>0.0495</v>
      </c>
      <c r="J83" s="636" t="s">
        <v>78</v>
      </c>
      <c r="K83" s="623"/>
      <c r="L83" s="623"/>
    </row>
    <row r="84" customFormat="1" ht="15.5" spans="2:12">
      <c r="B84" s="660"/>
      <c r="C84" s="612"/>
      <c r="D84" s="663" t="s">
        <v>126</v>
      </c>
      <c r="E84" s="596" t="s">
        <v>54</v>
      </c>
      <c r="F84" s="658"/>
      <c r="G84" s="604"/>
      <c r="H84" s="659"/>
      <c r="I84" s="667">
        <f t="shared" si="0"/>
        <v>0.054</v>
      </c>
      <c r="J84" s="636" t="s">
        <v>78</v>
      </c>
      <c r="K84" s="623"/>
      <c r="L84" s="623"/>
    </row>
    <row r="85" customFormat="1" ht="15.5" spans="2:12">
      <c r="B85" s="660"/>
      <c r="C85" s="612"/>
      <c r="D85" s="663" t="s">
        <v>127</v>
      </c>
      <c r="E85" s="596" t="s">
        <v>54</v>
      </c>
      <c r="F85" s="658"/>
      <c r="G85" s="604"/>
      <c r="H85" s="659"/>
      <c r="I85" s="667">
        <f t="shared" si="0"/>
        <v>0.0585</v>
      </c>
      <c r="J85" s="636" t="s">
        <v>78</v>
      </c>
      <c r="K85" s="623"/>
      <c r="L85" s="623"/>
    </row>
    <row r="86" customFormat="1" ht="15.5" spans="2:12">
      <c r="B86" s="660"/>
      <c r="C86" s="612"/>
      <c r="D86" s="663" t="s">
        <v>128</v>
      </c>
      <c r="E86" s="596" t="s">
        <v>54</v>
      </c>
      <c r="F86" s="658"/>
      <c r="G86" s="604"/>
      <c r="H86" s="659"/>
      <c r="I86" s="667">
        <f t="shared" si="0"/>
        <v>0.063</v>
      </c>
      <c r="J86" s="636" t="s">
        <v>78</v>
      </c>
      <c r="K86" s="623"/>
      <c r="L86" s="623"/>
    </row>
    <row r="87" customFormat="1" ht="15.5" spans="2:12">
      <c r="B87" s="660"/>
      <c r="C87" s="612"/>
      <c r="D87" s="663" t="s">
        <v>129</v>
      </c>
      <c r="E87" s="596" t="s">
        <v>54</v>
      </c>
      <c r="F87" s="658"/>
      <c r="G87" s="604"/>
      <c r="H87" s="659"/>
      <c r="I87" s="667">
        <f t="shared" si="0"/>
        <v>0.0675</v>
      </c>
      <c r="J87" s="636" t="s">
        <v>78</v>
      </c>
      <c r="K87" s="623"/>
      <c r="L87" s="623"/>
    </row>
    <row r="88" customFormat="1" ht="15.5" spans="2:12">
      <c r="B88" s="660"/>
      <c r="C88" s="612"/>
      <c r="D88" s="663" t="s">
        <v>130</v>
      </c>
      <c r="E88" s="596" t="s">
        <v>54</v>
      </c>
      <c r="F88" s="658"/>
      <c r="G88" s="604"/>
      <c r="H88" s="659"/>
      <c r="I88" s="667">
        <f t="shared" si="0"/>
        <v>0.072</v>
      </c>
      <c r="J88" s="636" t="s">
        <v>78</v>
      </c>
      <c r="K88" s="623"/>
      <c r="L88" s="623"/>
    </row>
    <row r="89" customFormat="1" ht="15.5" spans="2:12">
      <c r="B89" s="660"/>
      <c r="C89" s="612"/>
      <c r="D89" s="663" t="s">
        <v>131</v>
      </c>
      <c r="E89" s="596" t="s">
        <v>54</v>
      </c>
      <c r="F89" s="658"/>
      <c r="G89" s="604"/>
      <c r="H89" s="659"/>
      <c r="I89" s="667">
        <f t="shared" si="0"/>
        <v>0.0765</v>
      </c>
      <c r="J89" s="636" t="s">
        <v>78</v>
      </c>
      <c r="K89" s="623"/>
      <c r="L89" s="623"/>
    </row>
    <row r="90" customFormat="1" ht="15.5" spans="2:12">
      <c r="B90" s="660"/>
      <c r="C90" s="612"/>
      <c r="D90" s="663" t="s">
        <v>132</v>
      </c>
      <c r="E90" s="596" t="s">
        <v>54</v>
      </c>
      <c r="F90" s="658"/>
      <c r="G90" s="604"/>
      <c r="H90" s="659"/>
      <c r="I90" s="667">
        <f t="shared" si="0"/>
        <v>0.081</v>
      </c>
      <c r="J90" s="636" t="s">
        <v>78</v>
      </c>
      <c r="K90" s="623"/>
      <c r="L90" s="623"/>
    </row>
    <row r="91" customFormat="1" ht="15.5" spans="2:12">
      <c r="B91" s="660"/>
      <c r="C91" s="612"/>
      <c r="D91" s="663" t="s">
        <v>133</v>
      </c>
      <c r="E91" s="596" t="s">
        <v>54</v>
      </c>
      <c r="F91" s="658"/>
      <c r="G91" s="604"/>
      <c r="H91" s="659"/>
      <c r="I91" s="667">
        <f t="shared" si="0"/>
        <v>0.0855</v>
      </c>
      <c r="J91" s="636" t="s">
        <v>78</v>
      </c>
      <c r="K91" s="623"/>
      <c r="L91" s="623"/>
    </row>
    <row r="92" customFormat="1" ht="15.5" spans="2:12">
      <c r="B92" s="660"/>
      <c r="C92" s="612"/>
      <c r="D92" s="663" t="s">
        <v>134</v>
      </c>
      <c r="E92" s="596" t="s">
        <v>54</v>
      </c>
      <c r="F92" s="658"/>
      <c r="G92" s="604"/>
      <c r="H92" s="659"/>
      <c r="I92" s="667">
        <f t="shared" si="0"/>
        <v>0.0900000000000001</v>
      </c>
      <c r="J92" s="636" t="s">
        <v>78</v>
      </c>
      <c r="K92" s="623"/>
      <c r="L92" s="623"/>
    </row>
    <row r="93" customFormat="1" ht="15.5" spans="2:12">
      <c r="B93" s="660"/>
      <c r="C93" s="612"/>
      <c r="D93" s="663" t="s">
        <v>135</v>
      </c>
      <c r="E93" s="596" t="s">
        <v>54</v>
      </c>
      <c r="F93" s="658"/>
      <c r="G93" s="604"/>
      <c r="H93" s="659"/>
      <c r="I93" s="667">
        <f t="shared" si="0"/>
        <v>0.0945000000000001</v>
      </c>
      <c r="J93" s="636" t="s">
        <v>78</v>
      </c>
      <c r="K93" s="623"/>
      <c r="L93" s="623"/>
    </row>
    <row r="94" customFormat="1" ht="15.5" spans="2:12">
      <c r="B94" s="660"/>
      <c r="C94" s="612"/>
      <c r="D94" s="663" t="s">
        <v>136</v>
      </c>
      <c r="E94" s="596" t="s">
        <v>54</v>
      </c>
      <c r="F94" s="658"/>
      <c r="G94" s="604"/>
      <c r="H94" s="659"/>
      <c r="I94" s="667">
        <f t="shared" si="0"/>
        <v>0.0990000000000001</v>
      </c>
      <c r="J94" s="636" t="s">
        <v>78</v>
      </c>
      <c r="K94" s="623"/>
      <c r="L94" s="623"/>
    </row>
    <row r="95" customFormat="1" ht="15.5" spans="2:12">
      <c r="B95" s="660"/>
      <c r="C95" s="612"/>
      <c r="D95" s="663" t="s">
        <v>137</v>
      </c>
      <c r="E95" s="596" t="s">
        <v>54</v>
      </c>
      <c r="F95" s="658"/>
      <c r="G95" s="604"/>
      <c r="H95" s="659"/>
      <c r="I95" s="667">
        <f t="shared" si="0"/>
        <v>0.1035</v>
      </c>
      <c r="J95" s="636" t="s">
        <v>78</v>
      </c>
      <c r="K95" s="623"/>
      <c r="L95" s="623"/>
    </row>
    <row r="96" customFormat="1" ht="15.5" spans="2:12">
      <c r="B96" s="660"/>
      <c r="C96" s="612"/>
      <c r="D96" s="663" t="s">
        <v>138</v>
      </c>
      <c r="E96" s="596" t="s">
        <v>54</v>
      </c>
      <c r="F96" s="658"/>
      <c r="G96" s="604"/>
      <c r="H96" s="659"/>
      <c r="I96" s="667">
        <f t="shared" si="0"/>
        <v>0.108</v>
      </c>
      <c r="J96" s="636" t="s">
        <v>78</v>
      </c>
      <c r="K96" s="623"/>
      <c r="L96" s="623"/>
    </row>
    <row r="97" customFormat="1" ht="15.5" spans="2:12">
      <c r="B97" s="660"/>
      <c r="C97" s="612"/>
      <c r="D97" s="662" t="s">
        <v>145</v>
      </c>
      <c r="E97" s="596"/>
      <c r="F97" s="658"/>
      <c r="G97" s="604"/>
      <c r="H97" s="659"/>
      <c r="I97" s="654"/>
      <c r="J97" s="636"/>
      <c r="K97" s="623"/>
      <c r="L97" s="623"/>
    </row>
    <row r="98" customFormat="1" ht="15.5" spans="2:12">
      <c r="B98" s="660"/>
      <c r="C98" s="612"/>
      <c r="D98" s="663" t="s">
        <v>112</v>
      </c>
      <c r="E98" s="596" t="s">
        <v>54</v>
      </c>
      <c r="F98" s="658"/>
      <c r="G98" s="604"/>
      <c r="H98" s="659"/>
      <c r="I98" s="654">
        <v>0</v>
      </c>
      <c r="J98" s="636" t="s">
        <v>78</v>
      </c>
      <c r="K98" s="623"/>
      <c r="L98" s="623"/>
    </row>
    <row r="99" customFormat="1" ht="15.5" spans="2:12">
      <c r="B99" s="660"/>
      <c r="C99" s="612"/>
      <c r="D99" s="663" t="s">
        <v>113</v>
      </c>
      <c r="E99" s="596" t="s">
        <v>54</v>
      </c>
      <c r="F99" s="658"/>
      <c r="G99" s="604"/>
      <c r="H99" s="659"/>
      <c r="I99" s="654">
        <v>0</v>
      </c>
      <c r="J99" s="636" t="s">
        <v>78</v>
      </c>
      <c r="K99" s="623"/>
      <c r="L99" s="623"/>
    </row>
    <row r="100" customFormat="1" ht="15.5" spans="2:12">
      <c r="B100" s="660"/>
      <c r="C100" s="612"/>
      <c r="D100" s="663" t="s">
        <v>114</v>
      </c>
      <c r="E100" s="596" t="s">
        <v>54</v>
      </c>
      <c r="F100" s="658"/>
      <c r="G100" s="604"/>
      <c r="H100" s="659"/>
      <c r="I100" s="654">
        <v>0</v>
      </c>
      <c r="J100" s="636" t="s">
        <v>78</v>
      </c>
      <c r="K100" s="623"/>
      <c r="L100" s="623"/>
    </row>
    <row r="101" customFormat="1" ht="15.5" spans="2:12">
      <c r="B101" s="660"/>
      <c r="C101" s="612"/>
      <c r="D101" s="663" t="s">
        <v>115</v>
      </c>
      <c r="E101" s="596" t="s">
        <v>54</v>
      </c>
      <c r="F101" s="658"/>
      <c r="G101" s="604"/>
      <c r="H101" s="659"/>
      <c r="I101" s="654">
        <v>0</v>
      </c>
      <c r="J101" s="636" t="s">
        <v>78</v>
      </c>
      <c r="K101" s="623"/>
      <c r="L101" s="623"/>
    </row>
    <row r="102" customFormat="1" ht="15.5" spans="2:12">
      <c r="B102" s="660"/>
      <c r="C102" s="612"/>
      <c r="D102" s="663" t="s">
        <v>116</v>
      </c>
      <c r="E102" s="596" t="s">
        <v>54</v>
      </c>
      <c r="F102" s="658"/>
      <c r="G102" s="604"/>
      <c r="H102" s="659"/>
      <c r="I102" s="654">
        <v>0</v>
      </c>
      <c r="J102" s="636" t="s">
        <v>78</v>
      </c>
      <c r="K102" s="623"/>
      <c r="L102" s="623"/>
    </row>
    <row r="103" customFormat="1" ht="15.5" spans="2:12">
      <c r="B103" s="660"/>
      <c r="C103" s="612"/>
      <c r="D103" s="663" t="s">
        <v>117</v>
      </c>
      <c r="E103" s="596" t="s">
        <v>54</v>
      </c>
      <c r="F103" s="658"/>
      <c r="G103" s="604"/>
      <c r="H103" s="659"/>
      <c r="I103" s="654">
        <v>0</v>
      </c>
      <c r="J103" s="636" t="s">
        <v>78</v>
      </c>
      <c r="K103" s="623"/>
      <c r="L103" s="623"/>
    </row>
    <row r="104" customFormat="1" ht="15.5" spans="2:12">
      <c r="B104" s="660"/>
      <c r="C104" s="612"/>
      <c r="D104" s="663" t="s">
        <v>118</v>
      </c>
      <c r="E104" s="596" t="s">
        <v>54</v>
      </c>
      <c r="F104" s="658"/>
      <c r="G104" s="604"/>
      <c r="H104" s="659"/>
      <c r="I104" s="654">
        <v>0</v>
      </c>
      <c r="J104" s="636" t="s">
        <v>78</v>
      </c>
      <c r="K104" s="623"/>
      <c r="L104" s="623"/>
    </row>
    <row r="105" customFormat="1" ht="15.5" spans="2:12">
      <c r="B105" s="660"/>
      <c r="C105" s="612"/>
      <c r="D105" s="663" t="s">
        <v>119</v>
      </c>
      <c r="E105" s="596" t="s">
        <v>54</v>
      </c>
      <c r="F105" s="658"/>
      <c r="G105" s="604"/>
      <c r="H105" s="659"/>
      <c r="I105" s="654">
        <v>0</v>
      </c>
      <c r="J105" s="636" t="s">
        <v>78</v>
      </c>
      <c r="K105" s="623"/>
      <c r="L105" s="623"/>
    </row>
    <row r="106" customFormat="1" ht="15.5" spans="2:12">
      <c r="B106" s="660"/>
      <c r="C106" s="612"/>
      <c r="D106" s="663" t="s">
        <v>120</v>
      </c>
      <c r="E106" s="596" t="s">
        <v>54</v>
      </c>
      <c r="F106" s="658"/>
      <c r="G106" s="604"/>
      <c r="H106" s="659"/>
      <c r="I106" s="654">
        <v>0</v>
      </c>
      <c r="J106" s="636" t="s">
        <v>78</v>
      </c>
      <c r="K106" s="623"/>
      <c r="L106" s="623"/>
    </row>
    <row r="107" customFormat="1" ht="15.5" spans="2:12">
      <c r="B107" s="660"/>
      <c r="C107" s="612"/>
      <c r="D107" s="663" t="s">
        <v>121</v>
      </c>
      <c r="E107" s="596" t="s">
        <v>54</v>
      </c>
      <c r="F107" s="658"/>
      <c r="G107" s="604"/>
      <c r="H107" s="659"/>
      <c r="I107" s="654">
        <v>0</v>
      </c>
      <c r="J107" s="636" t="s">
        <v>78</v>
      </c>
      <c r="K107" s="623"/>
      <c r="L107" s="623"/>
    </row>
    <row r="108" customFormat="1" ht="15.5" spans="2:12">
      <c r="B108" s="660"/>
      <c r="C108" s="612"/>
      <c r="D108" s="663" t="s">
        <v>122</v>
      </c>
      <c r="E108" s="596" t="s">
        <v>54</v>
      </c>
      <c r="F108" s="658"/>
      <c r="G108" s="604"/>
      <c r="H108" s="659"/>
      <c r="I108" s="654">
        <v>0</v>
      </c>
      <c r="J108" s="636" t="s">
        <v>78</v>
      </c>
      <c r="K108" s="623"/>
      <c r="L108" s="623"/>
    </row>
    <row r="109" customFormat="1" ht="15.5" spans="2:12">
      <c r="B109" s="660"/>
      <c r="C109" s="612"/>
      <c r="D109" s="663" t="s">
        <v>123</v>
      </c>
      <c r="E109" s="596" t="s">
        <v>54</v>
      </c>
      <c r="F109" s="658"/>
      <c r="G109" s="604"/>
      <c r="H109" s="659"/>
      <c r="I109" s="654">
        <v>0</v>
      </c>
      <c r="J109" s="636" t="s">
        <v>78</v>
      </c>
      <c r="K109" s="623"/>
      <c r="L109" s="623"/>
    </row>
    <row r="110" customFormat="1" ht="15.5" spans="2:12">
      <c r="B110" s="660"/>
      <c r="C110" s="612"/>
      <c r="D110" s="663" t="s">
        <v>124</v>
      </c>
      <c r="E110" s="596" t="s">
        <v>54</v>
      </c>
      <c r="F110" s="658"/>
      <c r="G110" s="604"/>
      <c r="H110" s="659"/>
      <c r="I110" s="654">
        <v>0</v>
      </c>
      <c r="J110" s="636" t="s">
        <v>78</v>
      </c>
      <c r="K110" s="623"/>
      <c r="L110" s="623"/>
    </row>
    <row r="111" customFormat="1" ht="15.5" spans="2:12">
      <c r="B111" s="660"/>
      <c r="C111" s="612"/>
      <c r="D111" s="663" t="s">
        <v>125</v>
      </c>
      <c r="E111" s="596" t="s">
        <v>54</v>
      </c>
      <c r="F111" s="658"/>
      <c r="G111" s="604"/>
      <c r="H111" s="659"/>
      <c r="I111" s="654">
        <v>0</v>
      </c>
      <c r="J111" s="636" t="s">
        <v>78</v>
      </c>
      <c r="K111" s="623"/>
      <c r="L111" s="623"/>
    </row>
    <row r="112" customFormat="1" ht="15.5" spans="2:12">
      <c r="B112" s="660"/>
      <c r="C112" s="612"/>
      <c r="D112" s="663" t="s">
        <v>126</v>
      </c>
      <c r="E112" s="596" t="s">
        <v>54</v>
      </c>
      <c r="F112" s="658"/>
      <c r="G112" s="604"/>
      <c r="H112" s="659"/>
      <c r="I112" s="654">
        <v>0</v>
      </c>
      <c r="J112" s="636" t="s">
        <v>78</v>
      </c>
      <c r="K112" s="623"/>
      <c r="L112" s="623"/>
    </row>
    <row r="113" customFormat="1" ht="15.5" spans="2:12">
      <c r="B113" s="660"/>
      <c r="C113" s="612"/>
      <c r="D113" s="663" t="s">
        <v>127</v>
      </c>
      <c r="E113" s="596" t="s">
        <v>54</v>
      </c>
      <c r="F113" s="658"/>
      <c r="G113" s="604"/>
      <c r="H113" s="659"/>
      <c r="I113" s="654">
        <v>0</v>
      </c>
      <c r="J113" s="636" t="s">
        <v>78</v>
      </c>
      <c r="K113" s="623"/>
      <c r="L113" s="623"/>
    </row>
    <row r="114" customFormat="1" ht="15.5" spans="2:12">
      <c r="B114" s="660"/>
      <c r="C114" s="612"/>
      <c r="D114" s="663" t="s">
        <v>128</v>
      </c>
      <c r="E114" s="596" t="s">
        <v>54</v>
      </c>
      <c r="F114" s="658"/>
      <c r="G114" s="604"/>
      <c r="H114" s="659"/>
      <c r="I114" s="654">
        <v>0</v>
      </c>
      <c r="J114" s="636" t="s">
        <v>78</v>
      </c>
      <c r="K114" s="623"/>
      <c r="L114" s="623"/>
    </row>
    <row r="115" customFormat="1" ht="15.5" spans="2:12">
      <c r="B115" s="660"/>
      <c r="C115" s="612"/>
      <c r="D115" s="663" t="s">
        <v>129</v>
      </c>
      <c r="E115" s="596" t="s">
        <v>54</v>
      </c>
      <c r="F115" s="658"/>
      <c r="G115" s="604"/>
      <c r="H115" s="659"/>
      <c r="I115" s="654">
        <v>0</v>
      </c>
      <c r="J115" s="636" t="s">
        <v>78</v>
      </c>
      <c r="K115" s="623"/>
      <c r="L115" s="623"/>
    </row>
    <row r="116" customFormat="1" ht="15.5" spans="2:12">
      <c r="B116" s="660"/>
      <c r="C116" s="612"/>
      <c r="D116" s="663" t="s">
        <v>130</v>
      </c>
      <c r="E116" s="596" t="s">
        <v>54</v>
      </c>
      <c r="F116" s="658"/>
      <c r="G116" s="604"/>
      <c r="H116" s="659"/>
      <c r="I116" s="654">
        <v>0</v>
      </c>
      <c r="J116" s="636" t="s">
        <v>78</v>
      </c>
      <c r="K116" s="623"/>
      <c r="L116" s="623"/>
    </row>
    <row r="117" customFormat="1" ht="15.5" spans="2:12">
      <c r="B117" s="660"/>
      <c r="C117" s="612"/>
      <c r="D117" s="663" t="s">
        <v>131</v>
      </c>
      <c r="E117" s="596" t="s">
        <v>54</v>
      </c>
      <c r="F117" s="658"/>
      <c r="G117" s="604"/>
      <c r="H117" s="659"/>
      <c r="I117" s="654">
        <v>0</v>
      </c>
      <c r="J117" s="636" t="s">
        <v>78</v>
      </c>
      <c r="K117" s="623"/>
      <c r="L117" s="623"/>
    </row>
    <row r="118" customFormat="1" ht="15.5" spans="2:12">
      <c r="B118" s="660"/>
      <c r="C118" s="612"/>
      <c r="D118" s="663" t="s">
        <v>132</v>
      </c>
      <c r="E118" s="596" t="s">
        <v>54</v>
      </c>
      <c r="F118" s="658"/>
      <c r="G118" s="604"/>
      <c r="H118" s="659"/>
      <c r="I118" s="654">
        <v>0</v>
      </c>
      <c r="J118" s="636" t="s">
        <v>78</v>
      </c>
      <c r="K118" s="623"/>
      <c r="L118" s="623"/>
    </row>
    <row r="119" customFormat="1" ht="15.5" spans="2:12">
      <c r="B119" s="660"/>
      <c r="C119" s="612"/>
      <c r="D119" s="663" t="s">
        <v>133</v>
      </c>
      <c r="E119" s="596" t="s">
        <v>54</v>
      </c>
      <c r="F119" s="658"/>
      <c r="G119" s="604"/>
      <c r="H119" s="659"/>
      <c r="I119" s="654">
        <v>0</v>
      </c>
      <c r="J119" s="636" t="s">
        <v>78</v>
      </c>
      <c r="K119" s="623"/>
      <c r="L119" s="623"/>
    </row>
    <row r="120" customFormat="1" ht="15.5" spans="2:12">
      <c r="B120" s="660"/>
      <c r="C120" s="612"/>
      <c r="D120" s="663" t="s">
        <v>134</v>
      </c>
      <c r="E120" s="596" t="s">
        <v>54</v>
      </c>
      <c r="F120" s="658"/>
      <c r="G120" s="604"/>
      <c r="H120" s="659"/>
      <c r="I120" s="654">
        <v>0</v>
      </c>
      <c r="J120" s="636" t="s">
        <v>78</v>
      </c>
      <c r="K120" s="623"/>
      <c r="L120" s="623"/>
    </row>
    <row r="121" customFormat="1" ht="15.5" spans="2:12">
      <c r="B121" s="660"/>
      <c r="C121" s="612"/>
      <c r="D121" s="663" t="s">
        <v>135</v>
      </c>
      <c r="E121" s="596" t="s">
        <v>54</v>
      </c>
      <c r="F121" s="658"/>
      <c r="G121" s="604"/>
      <c r="H121" s="659"/>
      <c r="I121" s="654">
        <v>0</v>
      </c>
      <c r="J121" s="636" t="s">
        <v>78</v>
      </c>
      <c r="K121" s="623"/>
      <c r="L121" s="623"/>
    </row>
    <row r="122" customFormat="1" ht="15.5" spans="2:12">
      <c r="B122" s="660"/>
      <c r="C122" s="612"/>
      <c r="D122" s="663" t="s">
        <v>136</v>
      </c>
      <c r="E122" s="596" t="s">
        <v>54</v>
      </c>
      <c r="F122" s="658"/>
      <c r="G122" s="604"/>
      <c r="H122" s="659"/>
      <c r="I122" s="654">
        <v>0</v>
      </c>
      <c r="J122" s="636" t="s">
        <v>78</v>
      </c>
      <c r="K122" s="623"/>
      <c r="L122" s="623"/>
    </row>
    <row r="123" customFormat="1" ht="15.5" spans="2:12">
      <c r="B123" s="660"/>
      <c r="C123" s="612"/>
      <c r="D123" s="663" t="s">
        <v>137</v>
      </c>
      <c r="E123" s="596" t="s">
        <v>54</v>
      </c>
      <c r="F123" s="658"/>
      <c r="G123" s="604"/>
      <c r="H123" s="659"/>
      <c r="I123" s="654">
        <v>0</v>
      </c>
      <c r="J123" s="636" t="s">
        <v>78</v>
      </c>
      <c r="K123" s="623"/>
      <c r="L123" s="623"/>
    </row>
    <row r="124" customFormat="1" ht="15.5" spans="2:12">
      <c r="B124" s="660"/>
      <c r="C124" s="612"/>
      <c r="D124" s="663" t="s">
        <v>138</v>
      </c>
      <c r="E124" s="596" t="s">
        <v>54</v>
      </c>
      <c r="F124" s="658"/>
      <c r="G124" s="604"/>
      <c r="H124" s="659"/>
      <c r="I124" s="654">
        <v>0</v>
      </c>
      <c r="J124" s="636" t="s">
        <v>78</v>
      </c>
      <c r="K124" s="623"/>
      <c r="L124" s="623"/>
    </row>
    <row r="125" customFormat="1" ht="15.5" spans="2:12">
      <c r="B125" s="660"/>
      <c r="C125" s="612"/>
      <c r="D125" s="662" t="s">
        <v>146</v>
      </c>
      <c r="E125" s="596" t="s">
        <v>54</v>
      </c>
      <c r="F125" s="658"/>
      <c r="G125" s="604"/>
      <c r="H125" s="659"/>
      <c r="I125" s="654">
        <v>0.7</v>
      </c>
      <c r="J125" s="636" t="s">
        <v>78</v>
      </c>
      <c r="K125" s="623"/>
      <c r="L125" s="623"/>
    </row>
    <row r="126" customFormat="1" ht="15.5" spans="2:12">
      <c r="B126" s="660"/>
      <c r="C126" s="612"/>
      <c r="D126" s="662" t="s">
        <v>147</v>
      </c>
      <c r="E126" s="596" t="s">
        <v>54</v>
      </c>
      <c r="F126" s="658"/>
      <c r="G126" s="604"/>
      <c r="H126" s="659"/>
      <c r="I126" s="654">
        <v>0.2</v>
      </c>
      <c r="J126" s="636" t="s">
        <v>78</v>
      </c>
      <c r="K126" s="623"/>
      <c r="L126" s="623"/>
    </row>
    <row r="127" customFormat="1" ht="15.5" spans="2:12">
      <c r="B127" s="660"/>
      <c r="C127" s="612"/>
      <c r="D127" s="662" t="s">
        <v>148</v>
      </c>
      <c r="E127" s="596" t="s">
        <v>54</v>
      </c>
      <c r="F127" s="658"/>
      <c r="G127" s="604"/>
      <c r="H127" s="659"/>
      <c r="I127" s="654">
        <v>0.1</v>
      </c>
      <c r="J127" s="636" t="s">
        <v>78</v>
      </c>
      <c r="K127" s="623"/>
      <c r="L127" s="623"/>
    </row>
    <row r="128" ht="39" customHeight="1" spans="2:12">
      <c r="B128" s="591"/>
      <c r="C128" s="612"/>
      <c r="D128" s="593" t="s">
        <v>149</v>
      </c>
      <c r="E128" s="599"/>
      <c r="F128" s="664"/>
      <c r="G128" s="596"/>
      <c r="H128" s="665"/>
      <c r="I128" s="637"/>
      <c r="J128" s="636"/>
      <c r="K128" s="623"/>
      <c r="L128" s="623"/>
    </row>
    <row r="129" ht="15.5" spans="2:12">
      <c r="B129" s="660"/>
      <c r="C129" s="612"/>
      <c r="D129" s="662" t="s">
        <v>150</v>
      </c>
      <c r="E129" s="596" t="s">
        <v>54</v>
      </c>
      <c r="F129" s="664"/>
      <c r="G129" s="596"/>
      <c r="H129" s="665"/>
      <c r="I129" s="666">
        <v>0.35</v>
      </c>
      <c r="J129" s="636" t="s">
        <v>151</v>
      </c>
      <c r="K129" s="623"/>
      <c r="L129" s="623"/>
    </row>
    <row r="130" ht="15.5" spans="2:12">
      <c r="B130" s="660"/>
      <c r="C130" s="612"/>
      <c r="D130" s="662" t="s">
        <v>152</v>
      </c>
      <c r="E130" s="596" t="s">
        <v>54</v>
      </c>
      <c r="F130" s="664"/>
      <c r="G130" s="596"/>
      <c r="H130" s="665"/>
      <c r="I130" s="666">
        <v>0.25</v>
      </c>
      <c r="J130" s="636" t="s">
        <v>151</v>
      </c>
      <c r="K130" s="623"/>
      <c r="L130" s="623"/>
    </row>
    <row r="131" ht="15.5" spans="2:12">
      <c r="B131" s="660"/>
      <c r="C131" s="612"/>
      <c r="D131" s="662" t="s">
        <v>153</v>
      </c>
      <c r="E131" s="596" t="s">
        <v>54</v>
      </c>
      <c r="F131" s="664"/>
      <c r="G131" s="596"/>
      <c r="H131" s="665"/>
      <c r="I131" s="666">
        <v>0.21</v>
      </c>
      <c r="J131" s="636" t="s">
        <v>151</v>
      </c>
      <c r="K131" s="623"/>
      <c r="L131" s="623"/>
    </row>
    <row r="132" ht="15.5" spans="2:12">
      <c r="B132" s="660"/>
      <c r="C132" s="612"/>
      <c r="D132" s="662" t="s">
        <v>154</v>
      </c>
      <c r="E132" s="599" t="s">
        <v>57</v>
      </c>
      <c r="F132" s="664"/>
      <c r="G132" s="596"/>
      <c r="H132" s="665"/>
      <c r="I132" s="680">
        <f>I129*I125+I130*I126+I131*I127</f>
        <v>0.316</v>
      </c>
      <c r="J132" s="636" t="s">
        <v>151</v>
      </c>
      <c r="K132" s="623"/>
      <c r="L132" s="623"/>
    </row>
    <row r="133" ht="46.05" customHeight="1" spans="2:12">
      <c r="B133" s="660"/>
      <c r="C133" s="612"/>
      <c r="D133" s="593" t="s">
        <v>155</v>
      </c>
      <c r="E133" s="599" t="s">
        <v>86</v>
      </c>
      <c r="F133" s="664"/>
      <c r="G133" s="596"/>
      <c r="H133" s="665"/>
      <c r="I133" s="681">
        <v>0.1</v>
      </c>
      <c r="J133" s="636" t="s">
        <v>151</v>
      </c>
      <c r="K133" s="623"/>
      <c r="L133" s="623"/>
    </row>
    <row r="134" ht="28" spans="2:12">
      <c r="B134" s="668" t="s">
        <v>156</v>
      </c>
      <c r="C134" s="612">
        <v>1</v>
      </c>
      <c r="D134" s="622" t="s">
        <v>23</v>
      </c>
      <c r="E134" s="596" t="s">
        <v>157</v>
      </c>
      <c r="F134" s="595"/>
      <c r="G134" s="669">
        <v>0.13</v>
      </c>
      <c r="H134" s="597" t="s">
        <v>158</v>
      </c>
      <c r="I134" s="682">
        <f>'新建及改扩建项目投资概算明细 (光伏)'!D4</f>
        <v>100000</v>
      </c>
      <c r="J134" s="636" t="s">
        <v>159</v>
      </c>
      <c r="K134" s="623"/>
      <c r="L134" s="623"/>
    </row>
    <row r="135" ht="28" spans="2:12">
      <c r="B135" s="591"/>
      <c r="C135" s="612">
        <v>2</v>
      </c>
      <c r="D135" s="622" t="s">
        <v>160</v>
      </c>
      <c r="E135" s="596" t="s">
        <v>157</v>
      </c>
      <c r="F135" s="595"/>
      <c r="G135" s="669">
        <v>0.09</v>
      </c>
      <c r="H135" s="597" t="s">
        <v>158</v>
      </c>
      <c r="I135" s="682">
        <f>'新建及改扩建项目投资概算明细 (光伏)'!D5</f>
        <v>20000</v>
      </c>
      <c r="J135" s="636" t="s">
        <v>159</v>
      </c>
      <c r="K135" s="623"/>
      <c r="L135" s="623"/>
    </row>
    <row r="136" ht="28" spans="2:12">
      <c r="B136" s="591"/>
      <c r="C136" s="612">
        <v>3</v>
      </c>
      <c r="D136" s="622" t="s">
        <v>26</v>
      </c>
      <c r="E136" s="596" t="s">
        <v>157</v>
      </c>
      <c r="F136" s="595"/>
      <c r="G136" s="669">
        <v>0.06</v>
      </c>
      <c r="H136" s="597" t="s">
        <v>158</v>
      </c>
      <c r="I136" s="682">
        <f>'新建及改扩建项目投资概算明细 (光伏)'!D6</f>
        <v>12000</v>
      </c>
      <c r="J136" s="636" t="s">
        <v>159</v>
      </c>
      <c r="K136" s="623"/>
      <c r="L136" s="623"/>
    </row>
    <row r="137" ht="28" spans="2:12">
      <c r="B137" s="591"/>
      <c r="C137" s="612">
        <v>4</v>
      </c>
      <c r="D137" s="622" t="s">
        <v>27</v>
      </c>
      <c r="E137" s="596" t="s">
        <v>157</v>
      </c>
      <c r="F137" s="595"/>
      <c r="G137" s="669">
        <v>0</v>
      </c>
      <c r="H137" s="597" t="s">
        <v>158</v>
      </c>
      <c r="I137" s="682">
        <f>'新建及改扩建项目投资概算明细 (光伏)'!D7</f>
        <v>2500</v>
      </c>
      <c r="J137" s="636" t="s">
        <v>159</v>
      </c>
      <c r="K137" s="623"/>
      <c r="L137" s="623"/>
    </row>
    <row r="138" ht="28" spans="2:12">
      <c r="B138" s="591"/>
      <c r="C138" s="612">
        <v>5</v>
      </c>
      <c r="D138" s="622" t="s">
        <v>28</v>
      </c>
      <c r="E138" s="596" t="s">
        <v>157</v>
      </c>
      <c r="F138" s="595"/>
      <c r="G138" s="669">
        <v>0.13</v>
      </c>
      <c r="H138" s="597" t="s">
        <v>158</v>
      </c>
      <c r="I138" s="682">
        <f>'新建及改扩建项目投资概算明细 (光伏)'!D8</f>
        <v>500</v>
      </c>
      <c r="J138" s="636" t="s">
        <v>159</v>
      </c>
      <c r="K138" s="623"/>
      <c r="L138" s="623"/>
    </row>
    <row r="139" ht="28" spans="2:12">
      <c r="B139" s="591"/>
      <c r="C139" s="612">
        <v>6</v>
      </c>
      <c r="D139" s="670" t="s">
        <v>161</v>
      </c>
      <c r="E139" s="596" t="s">
        <v>157</v>
      </c>
      <c r="F139" s="595"/>
      <c r="G139" s="669">
        <v>0.09</v>
      </c>
      <c r="H139" s="597" t="s">
        <v>158</v>
      </c>
      <c r="I139" s="682">
        <f>'新建及改扩建项目投资概算明细 (光伏)'!D9</f>
        <v>4000</v>
      </c>
      <c r="J139" s="636" t="s">
        <v>159</v>
      </c>
      <c r="K139" s="623"/>
      <c r="L139" s="623"/>
    </row>
    <row r="140" ht="28" spans="2:12">
      <c r="B140" s="591"/>
      <c r="C140" s="612">
        <v>7</v>
      </c>
      <c r="D140" s="670" t="s">
        <v>162</v>
      </c>
      <c r="E140" s="596" t="s">
        <v>157</v>
      </c>
      <c r="F140" s="595"/>
      <c r="G140" s="669">
        <v>0</v>
      </c>
      <c r="H140" s="597" t="s">
        <v>158</v>
      </c>
      <c r="I140" s="682">
        <f>'新建及改扩建项目投资概算明细 (光伏)'!D10</f>
        <v>0</v>
      </c>
      <c r="J140" s="636" t="s">
        <v>159</v>
      </c>
      <c r="K140" s="623"/>
      <c r="L140" s="623"/>
    </row>
    <row r="141" spans="2:12">
      <c r="B141" s="591"/>
      <c r="C141" s="612">
        <v>7.1</v>
      </c>
      <c r="D141" s="622" t="s">
        <v>163</v>
      </c>
      <c r="E141" s="604" t="s">
        <v>77</v>
      </c>
      <c r="F141" s="595"/>
      <c r="G141" s="604"/>
      <c r="H141" s="597" t="s">
        <v>164</v>
      </c>
      <c r="I141" s="682">
        <f>I134+I135+I136+I137+I138+I139+I140</f>
        <v>139000</v>
      </c>
      <c r="J141" s="636" t="s">
        <v>159</v>
      </c>
      <c r="K141" s="597"/>
      <c r="L141" s="623"/>
    </row>
    <row r="142" ht="28" spans="2:12">
      <c r="B142" s="591"/>
      <c r="C142" s="612">
        <v>7.2</v>
      </c>
      <c r="D142" s="622" t="s">
        <v>165</v>
      </c>
      <c r="E142" s="604" t="s">
        <v>77</v>
      </c>
      <c r="F142" s="595"/>
      <c r="G142" s="604"/>
      <c r="H142" s="597" t="s">
        <v>166</v>
      </c>
      <c r="I142" s="682">
        <f>I141-I153</f>
        <v>139000</v>
      </c>
      <c r="J142" s="636" t="s">
        <v>159</v>
      </c>
      <c r="K142" s="597"/>
      <c r="L142" s="623"/>
    </row>
    <row r="143" ht="28" spans="2:12">
      <c r="B143" s="591"/>
      <c r="C143" s="612">
        <v>8</v>
      </c>
      <c r="D143" s="622" t="s">
        <v>32</v>
      </c>
      <c r="E143" s="596" t="s">
        <v>157</v>
      </c>
      <c r="F143" s="595"/>
      <c r="G143" s="669">
        <v>0</v>
      </c>
      <c r="H143" s="597" t="s">
        <v>166</v>
      </c>
      <c r="I143" s="682">
        <f>'新建及改扩建项目投资概算明细 (光伏)'!D12</f>
        <v>0</v>
      </c>
      <c r="J143" s="636" t="s">
        <v>159</v>
      </c>
      <c r="K143" s="597"/>
      <c r="L143" s="623"/>
    </row>
    <row r="144" spans="2:12">
      <c r="B144" s="591"/>
      <c r="C144" s="612">
        <v>9.1</v>
      </c>
      <c r="D144" s="622" t="s">
        <v>167</v>
      </c>
      <c r="E144" s="604" t="s">
        <v>77</v>
      </c>
      <c r="F144" s="595"/>
      <c r="G144" s="604"/>
      <c r="H144" s="597"/>
      <c r="I144" s="682">
        <f>I141+I143</f>
        <v>139000</v>
      </c>
      <c r="J144" s="636" t="s">
        <v>159</v>
      </c>
      <c r="K144" s="597"/>
      <c r="L144" s="623"/>
    </row>
    <row r="145" ht="20" spans="2:12">
      <c r="B145" s="591"/>
      <c r="C145" s="612">
        <v>9.2</v>
      </c>
      <c r="D145" s="622" t="s">
        <v>168</v>
      </c>
      <c r="E145" s="604" t="s">
        <v>77</v>
      </c>
      <c r="F145" s="595"/>
      <c r="G145" s="604"/>
      <c r="H145" s="597"/>
      <c r="I145" s="683">
        <f>I142+I143</f>
        <v>139000</v>
      </c>
      <c r="J145" s="636" t="s">
        <v>159</v>
      </c>
      <c r="K145" s="597"/>
      <c r="L145" s="623"/>
    </row>
    <row r="146" ht="28" spans="2:12">
      <c r="B146" s="591"/>
      <c r="C146" s="612">
        <v>10</v>
      </c>
      <c r="D146" s="670" t="s">
        <v>169</v>
      </c>
      <c r="E146" s="604" t="s">
        <v>77</v>
      </c>
      <c r="F146" s="595"/>
      <c r="G146" s="604"/>
      <c r="H146" s="597" t="s">
        <v>170</v>
      </c>
      <c r="I146" s="682">
        <f ca="1">'表1-资金筹措及还本付息表'!D17</f>
        <v>577.265231324652</v>
      </c>
      <c r="J146" s="636" t="s">
        <v>159</v>
      </c>
      <c r="K146" s="597"/>
      <c r="L146" s="623"/>
    </row>
    <row r="147" ht="28" spans="2:12">
      <c r="B147" s="591"/>
      <c r="C147" s="612">
        <v>11.1</v>
      </c>
      <c r="D147" s="670" t="s">
        <v>171</v>
      </c>
      <c r="E147" s="604" t="s">
        <v>77</v>
      </c>
      <c r="F147" s="595"/>
      <c r="G147" s="604"/>
      <c r="H147" s="597" t="s">
        <v>172</v>
      </c>
      <c r="I147" s="682">
        <f ca="1">I144+I146</f>
        <v>139577.265231325</v>
      </c>
      <c r="J147" s="636" t="s">
        <v>159</v>
      </c>
      <c r="K147" s="597"/>
      <c r="L147" s="623"/>
    </row>
    <row r="148" ht="28" spans="2:12">
      <c r="B148" s="591"/>
      <c r="C148" s="612">
        <v>11.2</v>
      </c>
      <c r="D148" s="670" t="s">
        <v>173</v>
      </c>
      <c r="E148" s="604" t="s">
        <v>77</v>
      </c>
      <c r="F148" s="595"/>
      <c r="G148" s="604"/>
      <c r="H148" s="597" t="s">
        <v>174</v>
      </c>
      <c r="I148" s="683">
        <f ca="1">I145+I146</f>
        <v>139577.265231325</v>
      </c>
      <c r="J148" s="636" t="s">
        <v>159</v>
      </c>
      <c r="K148" s="597"/>
      <c r="L148" s="623"/>
    </row>
    <row r="149" ht="17.5" spans="2:12">
      <c r="B149" s="591"/>
      <c r="C149" s="612">
        <v>12</v>
      </c>
      <c r="D149" s="618" t="s">
        <v>175</v>
      </c>
      <c r="E149" s="621" t="s">
        <v>91</v>
      </c>
      <c r="F149" s="671" t="s">
        <v>176</v>
      </c>
      <c r="G149" s="619"/>
      <c r="H149" s="672" t="s">
        <v>177</v>
      </c>
      <c r="I149" s="684" t="s">
        <v>86</v>
      </c>
      <c r="J149" s="651"/>
      <c r="K149" s="597"/>
      <c r="L149" s="623"/>
    </row>
    <row r="150" spans="2:12">
      <c r="B150" s="591"/>
      <c r="C150" s="617">
        <v>12.1</v>
      </c>
      <c r="D150" s="673" t="s">
        <v>178</v>
      </c>
      <c r="E150" s="621"/>
      <c r="F150" s="674"/>
      <c r="G150" s="621"/>
      <c r="H150" s="675"/>
      <c r="I150" s="685">
        <v>30</v>
      </c>
      <c r="J150" s="686" t="s">
        <v>179</v>
      </c>
      <c r="K150" s="597"/>
      <c r="L150" s="623"/>
    </row>
    <row r="151" spans="2:12">
      <c r="B151" s="591"/>
      <c r="C151" s="617">
        <v>12.2</v>
      </c>
      <c r="D151" s="673" t="s">
        <v>180</v>
      </c>
      <c r="E151" s="621" t="s">
        <v>86</v>
      </c>
      <c r="F151" s="674"/>
      <c r="G151" s="621"/>
      <c r="H151" s="675"/>
      <c r="I151" s="685">
        <v>800</v>
      </c>
      <c r="J151" s="651" t="s">
        <v>159</v>
      </c>
      <c r="K151" s="597"/>
      <c r="L151" s="623"/>
    </row>
    <row r="152" ht="28" spans="2:12">
      <c r="B152" s="591"/>
      <c r="C152" s="612">
        <v>13</v>
      </c>
      <c r="D152" s="670" t="s">
        <v>181</v>
      </c>
      <c r="E152" s="604" t="s">
        <v>77</v>
      </c>
      <c r="F152" s="595"/>
      <c r="G152" s="604"/>
      <c r="H152" s="597"/>
      <c r="I152" s="683">
        <f>'新建及改扩建项目投资概算明细 (光伏)'!D26</f>
        <v>14222.8435618205</v>
      </c>
      <c r="J152" s="636" t="s">
        <v>159</v>
      </c>
      <c r="K152" s="597" t="s">
        <v>182</v>
      </c>
      <c r="L152" s="623"/>
    </row>
    <row r="153" spans="2:12">
      <c r="B153" s="676"/>
      <c r="C153" s="612">
        <v>14</v>
      </c>
      <c r="D153" s="670" t="s">
        <v>183</v>
      </c>
      <c r="E153" s="596" t="s">
        <v>54</v>
      </c>
      <c r="F153" s="595"/>
      <c r="G153" s="596"/>
      <c r="H153" s="597"/>
      <c r="I153" s="682">
        <v>0</v>
      </c>
      <c r="J153" s="636" t="s">
        <v>159</v>
      </c>
      <c r="K153" s="597"/>
      <c r="L153" s="623"/>
    </row>
    <row r="154" spans="2:12">
      <c r="B154" s="677"/>
      <c r="C154" s="612">
        <v>1</v>
      </c>
      <c r="D154" s="593" t="s">
        <v>184</v>
      </c>
      <c r="E154" s="596"/>
      <c r="F154" s="595"/>
      <c r="G154" s="596"/>
      <c r="H154" s="597"/>
      <c r="I154" s="682"/>
      <c r="J154" s="636"/>
      <c r="K154" s="597"/>
      <c r="L154" s="623"/>
    </row>
    <row r="155" spans="2:12">
      <c r="B155" s="677"/>
      <c r="C155" s="612">
        <v>1.1</v>
      </c>
      <c r="D155" s="593" t="s">
        <v>185</v>
      </c>
      <c r="E155" s="599" t="s">
        <v>186</v>
      </c>
      <c r="F155" s="595"/>
      <c r="G155" s="596"/>
      <c r="H155" s="597"/>
      <c r="I155" s="682">
        <f>'表10-资产负债表(标准格式)'!H84+'表10-资产负债表(标准格式)'!H88</f>
        <v>27335.07125</v>
      </c>
      <c r="J155" s="636" t="s">
        <v>159</v>
      </c>
      <c r="K155" s="597"/>
      <c r="L155" s="623"/>
    </row>
    <row r="156" spans="2:12">
      <c r="B156" s="677"/>
      <c r="C156" s="612">
        <v>1.2</v>
      </c>
      <c r="D156" s="593" t="s">
        <v>187</v>
      </c>
      <c r="E156" s="596" t="s">
        <v>54</v>
      </c>
      <c r="F156" s="595"/>
      <c r="G156" s="596"/>
      <c r="H156" s="597"/>
      <c r="I156" s="687">
        <v>0.03</v>
      </c>
      <c r="J156" s="636"/>
      <c r="K156" s="597"/>
      <c r="L156" s="623"/>
    </row>
    <row r="157" spans="2:12">
      <c r="B157" s="677"/>
      <c r="C157" s="612">
        <v>1.3</v>
      </c>
      <c r="D157" s="593" t="s">
        <v>188</v>
      </c>
      <c r="E157" s="596" t="s">
        <v>91</v>
      </c>
      <c r="F157" s="664" t="s">
        <v>176</v>
      </c>
      <c r="G157" s="596"/>
      <c r="H157" s="678" t="s">
        <v>189</v>
      </c>
      <c r="I157" s="687"/>
      <c r="J157" s="636"/>
      <c r="K157" s="597"/>
      <c r="L157" s="623"/>
    </row>
    <row r="158" spans="2:12">
      <c r="B158" s="677"/>
      <c r="C158" s="612">
        <v>1.4</v>
      </c>
      <c r="D158" s="593" t="s">
        <v>190</v>
      </c>
      <c r="E158" s="596"/>
      <c r="F158" s="595"/>
      <c r="G158" s="596"/>
      <c r="H158" s="597"/>
      <c r="I158" s="682"/>
      <c r="J158" s="636"/>
      <c r="K158" s="597"/>
      <c r="L158" s="623"/>
    </row>
    <row r="159" spans="2:12">
      <c r="B159" s="677"/>
      <c r="C159" s="612"/>
      <c r="D159" s="679" t="s">
        <v>112</v>
      </c>
      <c r="E159" s="596" t="s">
        <v>54</v>
      </c>
      <c r="F159" s="595"/>
      <c r="G159" s="596"/>
      <c r="H159" s="597"/>
      <c r="I159" s="682"/>
      <c r="J159" s="638" t="s">
        <v>24</v>
      </c>
      <c r="K159" s="597"/>
      <c r="L159" s="623"/>
    </row>
    <row r="160" spans="2:12">
      <c r="B160" s="677"/>
      <c r="C160" s="612"/>
      <c r="D160" s="679" t="s">
        <v>113</v>
      </c>
      <c r="E160" s="596" t="s">
        <v>54</v>
      </c>
      <c r="F160" s="595"/>
      <c r="G160" s="596"/>
      <c r="H160" s="597"/>
      <c r="I160" s="682"/>
      <c r="J160" s="638" t="s">
        <v>24</v>
      </c>
      <c r="K160" s="597"/>
      <c r="L160" s="623"/>
    </row>
    <row r="161" spans="2:12">
      <c r="B161" s="677"/>
      <c r="C161" s="612"/>
      <c r="D161" s="679" t="s">
        <v>114</v>
      </c>
      <c r="E161" s="596" t="s">
        <v>54</v>
      </c>
      <c r="F161" s="595"/>
      <c r="G161" s="596"/>
      <c r="H161" s="597"/>
      <c r="I161" s="682"/>
      <c r="J161" s="638" t="s">
        <v>24</v>
      </c>
      <c r="K161" s="597"/>
      <c r="L161" s="623"/>
    </row>
    <row r="162" spans="2:12">
      <c r="B162" s="677"/>
      <c r="C162" s="612"/>
      <c r="D162" s="679" t="s">
        <v>115</v>
      </c>
      <c r="E162" s="596" t="s">
        <v>54</v>
      </c>
      <c r="F162" s="595"/>
      <c r="G162" s="596"/>
      <c r="H162" s="597"/>
      <c r="I162" s="682"/>
      <c r="J162" s="638" t="s">
        <v>24</v>
      </c>
      <c r="K162" s="597"/>
      <c r="L162" s="623"/>
    </row>
    <row r="163" spans="2:12">
      <c r="B163" s="677"/>
      <c r="C163" s="612"/>
      <c r="D163" s="679" t="s">
        <v>116</v>
      </c>
      <c r="E163" s="596" t="s">
        <v>54</v>
      </c>
      <c r="F163" s="595"/>
      <c r="G163" s="596"/>
      <c r="H163" s="597"/>
      <c r="I163" s="682"/>
      <c r="J163" s="638" t="s">
        <v>24</v>
      </c>
      <c r="K163" s="597"/>
      <c r="L163" s="623"/>
    </row>
    <row r="164" spans="2:12">
      <c r="B164" s="677"/>
      <c r="C164" s="612"/>
      <c r="D164" s="679" t="s">
        <v>117</v>
      </c>
      <c r="E164" s="596" t="s">
        <v>54</v>
      </c>
      <c r="F164" s="595"/>
      <c r="G164" s="596"/>
      <c r="H164" s="597"/>
      <c r="I164" s="682"/>
      <c r="J164" s="638" t="s">
        <v>24</v>
      </c>
      <c r="K164" s="597"/>
      <c r="L164" s="623"/>
    </row>
    <row r="165" spans="2:12">
      <c r="B165" s="677"/>
      <c r="C165" s="612"/>
      <c r="D165" s="679" t="s">
        <v>118</v>
      </c>
      <c r="E165" s="596" t="s">
        <v>54</v>
      </c>
      <c r="F165" s="595"/>
      <c r="G165" s="596"/>
      <c r="H165" s="597"/>
      <c r="I165" s="682"/>
      <c r="J165" s="638" t="s">
        <v>24</v>
      </c>
      <c r="K165" s="597"/>
      <c r="L165" s="623"/>
    </row>
    <row r="166" spans="2:12">
      <c r="B166" s="677"/>
      <c r="C166" s="612"/>
      <c r="D166" s="679" t="s">
        <v>119</v>
      </c>
      <c r="E166" s="596" t="s">
        <v>54</v>
      </c>
      <c r="F166" s="595"/>
      <c r="G166" s="596"/>
      <c r="H166" s="597"/>
      <c r="I166" s="682"/>
      <c r="J166" s="638" t="s">
        <v>24</v>
      </c>
      <c r="K166" s="597"/>
      <c r="L166" s="623"/>
    </row>
    <row r="167" spans="2:12">
      <c r="B167" s="677"/>
      <c r="C167" s="612"/>
      <c r="D167" s="679" t="s">
        <v>120</v>
      </c>
      <c r="E167" s="596" t="s">
        <v>54</v>
      </c>
      <c r="F167" s="595"/>
      <c r="G167" s="596"/>
      <c r="H167" s="597"/>
      <c r="I167" s="682"/>
      <c r="J167" s="638" t="s">
        <v>24</v>
      </c>
      <c r="K167" s="597"/>
      <c r="L167" s="623"/>
    </row>
    <row r="168" spans="2:12">
      <c r="B168" s="677"/>
      <c r="C168" s="612"/>
      <c r="D168" s="679" t="s">
        <v>121</v>
      </c>
      <c r="E168" s="596" t="s">
        <v>54</v>
      </c>
      <c r="F168" s="595"/>
      <c r="G168" s="596"/>
      <c r="H168" s="597"/>
      <c r="I168" s="682"/>
      <c r="J168" s="638" t="s">
        <v>24</v>
      </c>
      <c r="K168" s="597"/>
      <c r="L168" s="623"/>
    </row>
    <row r="169" spans="2:12">
      <c r="B169" s="677"/>
      <c r="C169" s="612"/>
      <c r="D169" s="679" t="s">
        <v>122</v>
      </c>
      <c r="E169" s="596" t="s">
        <v>54</v>
      </c>
      <c r="F169" s="595"/>
      <c r="G169" s="596"/>
      <c r="H169" s="597"/>
      <c r="I169" s="682"/>
      <c r="J169" s="638" t="s">
        <v>24</v>
      </c>
      <c r="K169" s="597"/>
      <c r="L169" s="623"/>
    </row>
    <row r="170" spans="2:12">
      <c r="B170" s="677"/>
      <c r="C170" s="612"/>
      <c r="D170" s="679" t="s">
        <v>123</v>
      </c>
      <c r="E170" s="596" t="s">
        <v>54</v>
      </c>
      <c r="F170" s="595"/>
      <c r="G170" s="596"/>
      <c r="H170" s="597"/>
      <c r="I170" s="682"/>
      <c r="J170" s="638" t="s">
        <v>24</v>
      </c>
      <c r="K170" s="597"/>
      <c r="L170" s="623"/>
    </row>
    <row r="171" spans="2:12">
      <c r="B171" s="677"/>
      <c r="C171" s="612"/>
      <c r="D171" s="679" t="s">
        <v>124</v>
      </c>
      <c r="E171" s="596" t="s">
        <v>54</v>
      </c>
      <c r="F171" s="595"/>
      <c r="G171" s="596"/>
      <c r="H171" s="597"/>
      <c r="I171" s="682"/>
      <c r="J171" s="638" t="s">
        <v>24</v>
      </c>
      <c r="K171" s="597"/>
      <c r="L171" s="623"/>
    </row>
    <row r="172" spans="2:12">
      <c r="B172" s="677"/>
      <c r="C172" s="612"/>
      <c r="D172" s="679" t="s">
        <v>125</v>
      </c>
      <c r="E172" s="596" t="s">
        <v>54</v>
      </c>
      <c r="F172" s="595"/>
      <c r="G172" s="596"/>
      <c r="H172" s="597"/>
      <c r="I172" s="682"/>
      <c r="J172" s="638" t="s">
        <v>24</v>
      </c>
      <c r="K172" s="597"/>
      <c r="L172" s="623"/>
    </row>
    <row r="173" spans="2:12">
      <c r="B173" s="677"/>
      <c r="C173" s="612"/>
      <c r="D173" s="679" t="s">
        <v>126</v>
      </c>
      <c r="E173" s="596" t="s">
        <v>54</v>
      </c>
      <c r="F173" s="595"/>
      <c r="G173" s="596"/>
      <c r="H173" s="597"/>
      <c r="I173" s="682"/>
      <c r="J173" s="638" t="s">
        <v>24</v>
      </c>
      <c r="K173" s="597"/>
      <c r="L173" s="623"/>
    </row>
    <row r="174" spans="2:12">
      <c r="B174" s="677"/>
      <c r="C174" s="612"/>
      <c r="D174" s="679" t="s">
        <v>127</v>
      </c>
      <c r="E174" s="596" t="s">
        <v>54</v>
      </c>
      <c r="F174" s="595"/>
      <c r="G174" s="596"/>
      <c r="H174" s="597"/>
      <c r="I174" s="682"/>
      <c r="J174" s="638" t="s">
        <v>24</v>
      </c>
      <c r="K174" s="597"/>
      <c r="L174" s="623"/>
    </row>
    <row r="175" spans="2:12">
      <c r="B175" s="677"/>
      <c r="C175" s="612"/>
      <c r="D175" s="679" t="s">
        <v>128</v>
      </c>
      <c r="E175" s="596" t="s">
        <v>54</v>
      </c>
      <c r="F175" s="595"/>
      <c r="G175" s="596"/>
      <c r="H175" s="597"/>
      <c r="I175" s="682"/>
      <c r="J175" s="638" t="s">
        <v>24</v>
      </c>
      <c r="K175" s="597"/>
      <c r="L175" s="623"/>
    </row>
    <row r="176" spans="2:12">
      <c r="B176" s="677"/>
      <c r="C176" s="612"/>
      <c r="D176" s="679" t="s">
        <v>129</v>
      </c>
      <c r="E176" s="596" t="s">
        <v>54</v>
      </c>
      <c r="F176" s="595"/>
      <c r="G176" s="596"/>
      <c r="H176" s="597"/>
      <c r="I176" s="682"/>
      <c r="J176" s="638" t="s">
        <v>24</v>
      </c>
      <c r="K176" s="597"/>
      <c r="L176" s="623"/>
    </row>
    <row r="177" spans="2:12">
      <c r="B177" s="677"/>
      <c r="C177" s="612"/>
      <c r="D177" s="679" t="s">
        <v>130</v>
      </c>
      <c r="E177" s="596" t="s">
        <v>54</v>
      </c>
      <c r="F177" s="595"/>
      <c r="G177" s="596"/>
      <c r="H177" s="597"/>
      <c r="I177" s="682"/>
      <c r="J177" s="638" t="s">
        <v>24</v>
      </c>
      <c r="K177" s="597"/>
      <c r="L177" s="623"/>
    </row>
    <row r="178" spans="2:12">
      <c r="B178" s="677"/>
      <c r="C178" s="612"/>
      <c r="D178" s="679" t="s">
        <v>131</v>
      </c>
      <c r="E178" s="596" t="s">
        <v>54</v>
      </c>
      <c r="F178" s="595"/>
      <c r="G178" s="596"/>
      <c r="H178" s="597"/>
      <c r="I178" s="682"/>
      <c r="J178" s="638" t="s">
        <v>24</v>
      </c>
      <c r="K178" s="597"/>
      <c r="L178" s="623"/>
    </row>
    <row r="179" spans="2:12">
      <c r="B179" s="677"/>
      <c r="C179" s="612"/>
      <c r="D179" s="679" t="s">
        <v>132</v>
      </c>
      <c r="E179" s="596" t="s">
        <v>54</v>
      </c>
      <c r="F179" s="595"/>
      <c r="G179" s="596"/>
      <c r="H179" s="597"/>
      <c r="I179" s="682"/>
      <c r="J179" s="638" t="s">
        <v>24</v>
      </c>
      <c r="K179" s="597"/>
      <c r="L179" s="623"/>
    </row>
    <row r="180" spans="2:12">
      <c r="B180" s="677"/>
      <c r="C180" s="612"/>
      <c r="D180" s="679" t="s">
        <v>133</v>
      </c>
      <c r="E180" s="596" t="s">
        <v>54</v>
      </c>
      <c r="F180" s="595"/>
      <c r="G180" s="596"/>
      <c r="H180" s="597"/>
      <c r="I180" s="682"/>
      <c r="J180" s="638" t="s">
        <v>24</v>
      </c>
      <c r="K180" s="597"/>
      <c r="L180" s="623"/>
    </row>
    <row r="181" spans="2:12">
      <c r="B181" s="677"/>
      <c r="C181" s="612"/>
      <c r="D181" s="679" t="s">
        <v>134</v>
      </c>
      <c r="E181" s="596" t="s">
        <v>54</v>
      </c>
      <c r="F181" s="595"/>
      <c r="G181" s="596"/>
      <c r="H181" s="597"/>
      <c r="I181" s="682"/>
      <c r="J181" s="638" t="s">
        <v>24</v>
      </c>
      <c r="K181" s="597"/>
      <c r="L181" s="623"/>
    </row>
    <row r="182" spans="2:12">
      <c r="B182" s="677"/>
      <c r="C182" s="612"/>
      <c r="D182" s="679" t="s">
        <v>135</v>
      </c>
      <c r="E182" s="596" t="s">
        <v>54</v>
      </c>
      <c r="F182" s="595"/>
      <c r="G182" s="596"/>
      <c r="H182" s="597"/>
      <c r="I182" s="682"/>
      <c r="J182" s="638" t="s">
        <v>24</v>
      </c>
      <c r="K182" s="597"/>
      <c r="L182" s="623"/>
    </row>
    <row r="183" spans="2:12">
      <c r="B183" s="677"/>
      <c r="C183" s="612"/>
      <c r="D183" s="679" t="s">
        <v>136</v>
      </c>
      <c r="E183" s="596" t="s">
        <v>54</v>
      </c>
      <c r="F183" s="595"/>
      <c r="G183" s="596"/>
      <c r="H183" s="597"/>
      <c r="I183" s="682"/>
      <c r="J183" s="638" t="s">
        <v>24</v>
      </c>
      <c r="K183" s="597"/>
      <c r="L183" s="623"/>
    </row>
    <row r="184" spans="2:12">
      <c r="B184" s="677"/>
      <c r="C184" s="612"/>
      <c r="D184" s="679" t="s">
        <v>137</v>
      </c>
      <c r="E184" s="596" t="s">
        <v>54</v>
      </c>
      <c r="F184" s="595"/>
      <c r="G184" s="596"/>
      <c r="H184" s="597"/>
      <c r="I184" s="682"/>
      <c r="J184" s="638" t="s">
        <v>24</v>
      </c>
      <c r="K184" s="597"/>
      <c r="L184" s="623"/>
    </row>
    <row r="185" spans="2:12">
      <c r="B185" s="677"/>
      <c r="C185" s="612"/>
      <c r="D185" s="679" t="s">
        <v>138</v>
      </c>
      <c r="E185" s="596" t="s">
        <v>54</v>
      </c>
      <c r="F185" s="595"/>
      <c r="G185" s="596"/>
      <c r="H185" s="597"/>
      <c r="I185" s="682"/>
      <c r="J185" s="638" t="s">
        <v>24</v>
      </c>
      <c r="K185" s="597"/>
      <c r="L185" s="623"/>
    </row>
    <row r="186" spans="2:12">
      <c r="B186" s="677"/>
      <c r="C186" s="612">
        <v>1.5</v>
      </c>
      <c r="D186" s="593" t="s">
        <v>191</v>
      </c>
      <c r="E186" s="596"/>
      <c r="F186" s="595"/>
      <c r="G186" s="596"/>
      <c r="H186" s="597"/>
      <c r="I186" s="682"/>
      <c r="J186" s="636"/>
      <c r="K186" s="639" t="s">
        <v>192</v>
      </c>
      <c r="L186" s="623"/>
    </row>
    <row r="187" spans="2:12">
      <c r="B187" s="677"/>
      <c r="C187" s="612"/>
      <c r="D187" s="679" t="s">
        <v>112</v>
      </c>
      <c r="E187" s="596" t="s">
        <v>54</v>
      </c>
      <c r="F187" s="595"/>
      <c r="G187" s="596"/>
      <c r="H187" s="597"/>
      <c r="I187" s="682"/>
      <c r="J187" s="636" t="s">
        <v>159</v>
      </c>
      <c r="K187" s="597"/>
      <c r="L187" s="623"/>
    </row>
    <row r="188" spans="2:12">
      <c r="B188" s="677"/>
      <c r="C188" s="612"/>
      <c r="D188" s="679" t="s">
        <v>113</v>
      </c>
      <c r="E188" s="596" t="s">
        <v>54</v>
      </c>
      <c r="F188" s="595"/>
      <c r="G188" s="596"/>
      <c r="H188" s="597"/>
      <c r="I188" s="682"/>
      <c r="J188" s="636" t="s">
        <v>159</v>
      </c>
      <c r="K188" s="597"/>
      <c r="L188" s="623"/>
    </row>
    <row r="189" spans="2:12">
      <c r="B189" s="677"/>
      <c r="C189" s="612"/>
      <c r="D189" s="679" t="s">
        <v>114</v>
      </c>
      <c r="E189" s="596" t="s">
        <v>54</v>
      </c>
      <c r="F189" s="595"/>
      <c r="G189" s="596"/>
      <c r="H189" s="597"/>
      <c r="I189" s="682"/>
      <c r="J189" s="636" t="s">
        <v>159</v>
      </c>
      <c r="K189" s="597"/>
      <c r="L189" s="623"/>
    </row>
    <row r="190" spans="2:12">
      <c r="B190" s="677"/>
      <c r="C190" s="612"/>
      <c r="D190" s="679" t="s">
        <v>115</v>
      </c>
      <c r="E190" s="596" t="s">
        <v>54</v>
      </c>
      <c r="F190" s="595"/>
      <c r="G190" s="596"/>
      <c r="H190" s="597"/>
      <c r="I190" s="682"/>
      <c r="J190" s="636" t="s">
        <v>159</v>
      </c>
      <c r="K190" s="597"/>
      <c r="L190" s="623"/>
    </row>
    <row r="191" spans="2:12">
      <c r="B191" s="677"/>
      <c r="C191" s="612"/>
      <c r="D191" s="679" t="s">
        <v>116</v>
      </c>
      <c r="E191" s="596" t="s">
        <v>54</v>
      </c>
      <c r="F191" s="595"/>
      <c r="G191" s="596"/>
      <c r="H191" s="597"/>
      <c r="I191" s="688">
        <f>'表10-资产负债表(标准格式)'!H84</f>
        <v>1335.07125</v>
      </c>
      <c r="J191" s="636" t="s">
        <v>159</v>
      </c>
      <c r="K191" s="597"/>
      <c r="L191" s="623"/>
    </row>
    <row r="192" spans="2:12">
      <c r="B192" s="677"/>
      <c r="C192" s="612"/>
      <c r="D192" s="679" t="s">
        <v>117</v>
      </c>
      <c r="E192" s="596" t="s">
        <v>54</v>
      </c>
      <c r="F192" s="595"/>
      <c r="G192" s="596"/>
      <c r="H192" s="597"/>
      <c r="I192" s="688">
        <f>'表10-资产负债表(标准格式)'!$H$88/10</f>
        <v>2600</v>
      </c>
      <c r="J192" s="636" t="s">
        <v>159</v>
      </c>
      <c r="K192" s="597"/>
      <c r="L192" s="623"/>
    </row>
    <row r="193" spans="2:12">
      <c r="B193" s="677"/>
      <c r="C193" s="612"/>
      <c r="D193" s="679" t="s">
        <v>118</v>
      </c>
      <c r="E193" s="596" t="s">
        <v>54</v>
      </c>
      <c r="F193" s="595"/>
      <c r="G193" s="596"/>
      <c r="H193" s="597"/>
      <c r="I193" s="688">
        <f>'表10-资产负债表(标准格式)'!$H$88/10</f>
        <v>2600</v>
      </c>
      <c r="J193" s="636" t="s">
        <v>159</v>
      </c>
      <c r="K193" s="597"/>
      <c r="L193" s="623"/>
    </row>
    <row r="194" spans="2:12">
      <c r="B194" s="677"/>
      <c r="C194" s="612"/>
      <c r="D194" s="679" t="s">
        <v>119</v>
      </c>
      <c r="E194" s="596" t="s">
        <v>54</v>
      </c>
      <c r="F194" s="595"/>
      <c r="G194" s="596"/>
      <c r="H194" s="597"/>
      <c r="I194" s="688">
        <f>'表10-资产负债表(标准格式)'!$H$88/10</f>
        <v>2600</v>
      </c>
      <c r="J194" s="636" t="s">
        <v>159</v>
      </c>
      <c r="K194" s="597"/>
      <c r="L194" s="623"/>
    </row>
    <row r="195" spans="2:12">
      <c r="B195" s="677"/>
      <c r="C195" s="612"/>
      <c r="D195" s="679" t="s">
        <v>120</v>
      </c>
      <c r="E195" s="596" t="s">
        <v>54</v>
      </c>
      <c r="F195" s="595"/>
      <c r="G195" s="596"/>
      <c r="H195" s="597"/>
      <c r="I195" s="688">
        <f>'表10-资产负债表(标准格式)'!$H$88/10</f>
        <v>2600</v>
      </c>
      <c r="J195" s="636" t="s">
        <v>159</v>
      </c>
      <c r="K195" s="597"/>
      <c r="L195" s="623"/>
    </row>
    <row r="196" spans="2:12">
      <c r="B196" s="677"/>
      <c r="C196" s="612"/>
      <c r="D196" s="679" t="s">
        <v>121</v>
      </c>
      <c r="E196" s="596" t="s">
        <v>54</v>
      </c>
      <c r="F196" s="595"/>
      <c r="G196" s="596"/>
      <c r="H196" s="597"/>
      <c r="I196" s="688">
        <f>'表10-资产负债表(标准格式)'!$H$88/10</f>
        <v>2600</v>
      </c>
      <c r="J196" s="636" t="s">
        <v>159</v>
      </c>
      <c r="K196" s="597"/>
      <c r="L196" s="623"/>
    </row>
    <row r="197" spans="2:12">
      <c r="B197" s="677"/>
      <c r="C197" s="612"/>
      <c r="D197" s="679" t="s">
        <v>122</v>
      </c>
      <c r="E197" s="596" t="s">
        <v>54</v>
      </c>
      <c r="F197" s="595"/>
      <c r="G197" s="596"/>
      <c r="H197" s="597"/>
      <c r="I197" s="688">
        <f>'表10-资产负债表(标准格式)'!$H$88/10</f>
        <v>2600</v>
      </c>
      <c r="J197" s="636" t="s">
        <v>159</v>
      </c>
      <c r="K197" s="597"/>
      <c r="L197" s="623"/>
    </row>
    <row r="198" spans="2:12">
      <c r="B198" s="677"/>
      <c r="C198" s="612"/>
      <c r="D198" s="679" t="s">
        <v>123</v>
      </c>
      <c r="E198" s="596" t="s">
        <v>54</v>
      </c>
      <c r="F198" s="595"/>
      <c r="G198" s="596"/>
      <c r="H198" s="597"/>
      <c r="I198" s="688">
        <f>'表10-资产负债表(标准格式)'!$H$88/10</f>
        <v>2600</v>
      </c>
      <c r="J198" s="636" t="s">
        <v>159</v>
      </c>
      <c r="K198" s="597"/>
      <c r="L198" s="623"/>
    </row>
    <row r="199" spans="2:12">
      <c r="B199" s="677"/>
      <c r="C199" s="612"/>
      <c r="D199" s="679" t="s">
        <v>124</v>
      </c>
      <c r="E199" s="596" t="s">
        <v>54</v>
      </c>
      <c r="F199" s="595"/>
      <c r="G199" s="596"/>
      <c r="H199" s="597"/>
      <c r="I199" s="688">
        <f>'表10-资产负债表(标准格式)'!$H$88/10</f>
        <v>2600</v>
      </c>
      <c r="J199" s="636" t="s">
        <v>159</v>
      </c>
      <c r="K199" s="597"/>
      <c r="L199" s="623"/>
    </row>
    <row r="200" spans="2:12">
      <c r="B200" s="677"/>
      <c r="C200" s="612"/>
      <c r="D200" s="679" t="s">
        <v>125</v>
      </c>
      <c r="E200" s="596" t="s">
        <v>54</v>
      </c>
      <c r="F200" s="595"/>
      <c r="G200" s="596"/>
      <c r="H200" s="597"/>
      <c r="I200" s="688">
        <f>'表10-资产负债表(标准格式)'!$H$88/10</f>
        <v>2600</v>
      </c>
      <c r="J200" s="636" t="s">
        <v>159</v>
      </c>
      <c r="K200" s="597"/>
      <c r="L200" s="623"/>
    </row>
    <row r="201" spans="2:12">
      <c r="B201" s="677"/>
      <c r="C201" s="612"/>
      <c r="D201" s="679" t="s">
        <v>126</v>
      </c>
      <c r="E201" s="596" t="s">
        <v>54</v>
      </c>
      <c r="F201" s="595"/>
      <c r="G201" s="596"/>
      <c r="H201" s="597"/>
      <c r="I201" s="688">
        <f>'表10-资产负债表(标准格式)'!$H$88/10</f>
        <v>2600</v>
      </c>
      <c r="J201" s="636" t="s">
        <v>159</v>
      </c>
      <c r="K201" s="597"/>
      <c r="L201" s="623"/>
    </row>
    <row r="202" spans="2:12">
      <c r="B202" s="677"/>
      <c r="C202" s="612"/>
      <c r="D202" s="679" t="s">
        <v>127</v>
      </c>
      <c r="E202" s="596" t="s">
        <v>54</v>
      </c>
      <c r="F202" s="595"/>
      <c r="G202" s="596"/>
      <c r="H202" s="597"/>
      <c r="I202" s="682"/>
      <c r="J202" s="636" t="s">
        <v>159</v>
      </c>
      <c r="K202" s="597"/>
      <c r="L202" s="623"/>
    </row>
    <row r="203" spans="2:12">
      <c r="B203" s="677"/>
      <c r="C203" s="612"/>
      <c r="D203" s="679" t="s">
        <v>128</v>
      </c>
      <c r="E203" s="596" t="s">
        <v>54</v>
      </c>
      <c r="F203" s="595"/>
      <c r="G203" s="596"/>
      <c r="H203" s="597"/>
      <c r="I203" s="682"/>
      <c r="J203" s="636" t="s">
        <v>159</v>
      </c>
      <c r="K203" s="597"/>
      <c r="L203" s="623"/>
    </row>
    <row r="204" spans="2:12">
      <c r="B204" s="677"/>
      <c r="C204" s="612"/>
      <c r="D204" s="679" t="s">
        <v>129</v>
      </c>
      <c r="E204" s="596" t="s">
        <v>54</v>
      </c>
      <c r="F204" s="595"/>
      <c r="G204" s="596"/>
      <c r="H204" s="597"/>
      <c r="I204" s="682"/>
      <c r="J204" s="636" t="s">
        <v>159</v>
      </c>
      <c r="K204" s="597"/>
      <c r="L204" s="623"/>
    </row>
    <row r="205" spans="2:12">
      <c r="B205" s="677"/>
      <c r="C205" s="612"/>
      <c r="D205" s="679" t="s">
        <v>130</v>
      </c>
      <c r="E205" s="596" t="s">
        <v>54</v>
      </c>
      <c r="F205" s="595"/>
      <c r="G205" s="596"/>
      <c r="H205" s="597"/>
      <c r="I205" s="682"/>
      <c r="J205" s="636" t="s">
        <v>159</v>
      </c>
      <c r="K205" s="597"/>
      <c r="L205" s="623"/>
    </row>
    <row r="206" spans="2:12">
      <c r="B206" s="677"/>
      <c r="C206" s="612"/>
      <c r="D206" s="679" t="s">
        <v>131</v>
      </c>
      <c r="E206" s="596" t="s">
        <v>54</v>
      </c>
      <c r="F206" s="595"/>
      <c r="G206" s="596"/>
      <c r="H206" s="597"/>
      <c r="I206" s="682"/>
      <c r="J206" s="636" t="s">
        <v>159</v>
      </c>
      <c r="K206" s="597"/>
      <c r="L206" s="623"/>
    </row>
    <row r="207" spans="2:12">
      <c r="B207" s="677"/>
      <c r="C207" s="612"/>
      <c r="D207" s="679" t="s">
        <v>132</v>
      </c>
      <c r="E207" s="596" t="s">
        <v>54</v>
      </c>
      <c r="F207" s="595"/>
      <c r="G207" s="596"/>
      <c r="H207" s="597"/>
      <c r="I207" s="682"/>
      <c r="J207" s="636" t="s">
        <v>159</v>
      </c>
      <c r="K207" s="597"/>
      <c r="L207" s="623"/>
    </row>
    <row r="208" spans="2:12">
      <c r="B208" s="677"/>
      <c r="C208" s="612"/>
      <c r="D208" s="679" t="s">
        <v>133</v>
      </c>
      <c r="E208" s="596" t="s">
        <v>54</v>
      </c>
      <c r="F208" s="595"/>
      <c r="G208" s="596"/>
      <c r="H208" s="597"/>
      <c r="I208" s="682"/>
      <c r="J208" s="636" t="s">
        <v>159</v>
      </c>
      <c r="K208" s="597"/>
      <c r="L208" s="623"/>
    </row>
    <row r="209" spans="2:12">
      <c r="B209" s="677"/>
      <c r="C209" s="612"/>
      <c r="D209" s="679" t="s">
        <v>134</v>
      </c>
      <c r="E209" s="596" t="s">
        <v>54</v>
      </c>
      <c r="F209" s="595"/>
      <c r="G209" s="596"/>
      <c r="H209" s="597"/>
      <c r="I209" s="682"/>
      <c r="J209" s="636" t="s">
        <v>159</v>
      </c>
      <c r="K209" s="597"/>
      <c r="L209" s="623"/>
    </row>
    <row r="210" spans="2:12">
      <c r="B210" s="677"/>
      <c r="C210" s="612"/>
      <c r="D210" s="679" t="s">
        <v>135</v>
      </c>
      <c r="E210" s="596" t="s">
        <v>54</v>
      </c>
      <c r="F210" s="595"/>
      <c r="G210" s="596"/>
      <c r="H210" s="597"/>
      <c r="I210" s="682"/>
      <c r="J210" s="636" t="s">
        <v>159</v>
      </c>
      <c r="K210" s="597"/>
      <c r="L210" s="623"/>
    </row>
    <row r="211" spans="2:12">
      <c r="B211" s="677"/>
      <c r="C211" s="612"/>
      <c r="D211" s="679" t="s">
        <v>136</v>
      </c>
      <c r="E211" s="596" t="s">
        <v>54</v>
      </c>
      <c r="F211" s="595"/>
      <c r="G211" s="596"/>
      <c r="H211" s="597"/>
      <c r="I211" s="682"/>
      <c r="J211" s="636" t="s">
        <v>159</v>
      </c>
      <c r="K211" s="597"/>
      <c r="L211" s="623"/>
    </row>
    <row r="212" spans="2:12">
      <c r="B212" s="677"/>
      <c r="C212" s="612"/>
      <c r="D212" s="679" t="s">
        <v>137</v>
      </c>
      <c r="E212" s="596" t="s">
        <v>54</v>
      </c>
      <c r="F212" s="595"/>
      <c r="G212" s="596"/>
      <c r="H212" s="597"/>
      <c r="I212" s="682"/>
      <c r="J212" s="636" t="s">
        <v>159</v>
      </c>
      <c r="K212" s="597"/>
      <c r="L212" s="623"/>
    </row>
    <row r="213" spans="2:12">
      <c r="B213" s="677"/>
      <c r="C213" s="612"/>
      <c r="D213" s="679" t="s">
        <v>138</v>
      </c>
      <c r="E213" s="596" t="s">
        <v>54</v>
      </c>
      <c r="F213" s="595"/>
      <c r="G213" s="596"/>
      <c r="H213" s="597"/>
      <c r="I213" s="682"/>
      <c r="J213" s="636" t="s">
        <v>159</v>
      </c>
      <c r="K213" s="597"/>
      <c r="L213" s="623"/>
    </row>
    <row r="214" spans="2:12">
      <c r="B214" s="677"/>
      <c r="C214" s="612">
        <v>2</v>
      </c>
      <c r="D214" s="593" t="s">
        <v>193</v>
      </c>
      <c r="E214" s="596"/>
      <c r="F214" s="595"/>
      <c r="G214" s="596"/>
      <c r="H214" s="597"/>
      <c r="I214" s="682"/>
      <c r="J214" s="636"/>
      <c r="K214" s="597"/>
      <c r="L214" s="623"/>
    </row>
    <row r="215" spans="2:12">
      <c r="B215" s="689" t="s">
        <v>194</v>
      </c>
      <c r="C215" s="592">
        <v>2.1</v>
      </c>
      <c r="D215" s="601" t="s">
        <v>195</v>
      </c>
      <c r="E215" s="596" t="s">
        <v>54</v>
      </c>
      <c r="F215" s="595"/>
      <c r="G215" s="596"/>
      <c r="H215" s="597"/>
      <c r="I215" s="644">
        <v>0.25</v>
      </c>
      <c r="J215" s="636" t="s">
        <v>78</v>
      </c>
      <c r="K215" s="597" t="s">
        <v>196</v>
      </c>
      <c r="L215" s="623"/>
    </row>
    <row r="216" spans="2:12">
      <c r="B216" s="689"/>
      <c r="C216" s="592"/>
      <c r="D216" s="690" t="s">
        <v>197</v>
      </c>
      <c r="E216" s="604" t="s">
        <v>77</v>
      </c>
      <c r="F216" s="595"/>
      <c r="G216" s="596"/>
      <c r="H216" s="597"/>
      <c r="I216" s="682">
        <f ca="1">'表1-资金筹措及还本付息表'!D12</f>
        <v>35134.3163078312</v>
      </c>
      <c r="J216" s="636" t="s">
        <v>159</v>
      </c>
      <c r="K216" s="597"/>
      <c r="L216" s="623"/>
    </row>
    <row r="217" spans="2:12">
      <c r="B217" s="689"/>
      <c r="C217" s="691">
        <v>2.2</v>
      </c>
      <c r="D217" s="601" t="s">
        <v>198</v>
      </c>
      <c r="E217" s="596" t="s">
        <v>54</v>
      </c>
      <c r="F217" s="595"/>
      <c r="G217" s="596"/>
      <c r="H217" s="597"/>
      <c r="I217" s="637">
        <v>2</v>
      </c>
      <c r="J217" s="636" t="s">
        <v>72</v>
      </c>
      <c r="K217" s="639" t="s">
        <v>199</v>
      </c>
      <c r="L217" s="623"/>
    </row>
    <row r="218" ht="27" customHeight="1" spans="2:12">
      <c r="B218" s="689"/>
      <c r="C218" s="691">
        <v>2.3</v>
      </c>
      <c r="D218" s="601" t="s">
        <v>200</v>
      </c>
      <c r="E218" s="596" t="s">
        <v>54</v>
      </c>
      <c r="F218" s="595"/>
      <c r="G218" s="596"/>
      <c r="H218" s="597"/>
      <c r="I218" s="645">
        <v>0.043</v>
      </c>
      <c r="J218" s="636" t="s">
        <v>78</v>
      </c>
      <c r="K218" s="597" t="s">
        <v>201</v>
      </c>
      <c r="L218" s="623"/>
    </row>
    <row r="219" spans="2:12">
      <c r="B219" s="689"/>
      <c r="C219" s="691">
        <v>2.4</v>
      </c>
      <c r="D219" s="601" t="s">
        <v>202</v>
      </c>
      <c r="E219" s="596" t="s">
        <v>54</v>
      </c>
      <c r="F219" s="595"/>
      <c r="G219" s="596"/>
      <c r="H219" s="597"/>
      <c r="I219" s="645">
        <v>0.043</v>
      </c>
      <c r="J219" s="636" t="s">
        <v>78</v>
      </c>
      <c r="K219" s="597" t="s">
        <v>203</v>
      </c>
      <c r="L219" s="623"/>
    </row>
    <row r="220" spans="2:12">
      <c r="B220" s="689"/>
      <c r="C220" s="691">
        <v>2.5</v>
      </c>
      <c r="D220" s="601" t="s">
        <v>204</v>
      </c>
      <c r="E220" s="596" t="s">
        <v>54</v>
      </c>
      <c r="F220" s="595"/>
      <c r="G220" s="596"/>
      <c r="H220" s="597"/>
      <c r="I220" s="645">
        <v>0.0365</v>
      </c>
      <c r="J220" s="636" t="s">
        <v>78</v>
      </c>
      <c r="K220" s="597" t="s">
        <v>203</v>
      </c>
      <c r="L220" s="623"/>
    </row>
    <row r="221" spans="2:12">
      <c r="B221" s="689"/>
      <c r="C221" s="691">
        <v>2.6</v>
      </c>
      <c r="D221" s="601" t="s">
        <v>205</v>
      </c>
      <c r="E221" s="596" t="s">
        <v>91</v>
      </c>
      <c r="F221" s="595"/>
      <c r="G221" s="596"/>
      <c r="H221" s="597" t="s">
        <v>206</v>
      </c>
      <c r="I221" s="637"/>
      <c r="J221" s="636"/>
      <c r="K221" s="597"/>
      <c r="L221" s="623"/>
    </row>
    <row r="222" spans="2:12">
      <c r="B222" s="689"/>
      <c r="C222" s="691">
        <v>2.7</v>
      </c>
      <c r="D222" s="601" t="s">
        <v>207</v>
      </c>
      <c r="E222" s="596" t="s">
        <v>54</v>
      </c>
      <c r="F222" s="595"/>
      <c r="G222" s="596"/>
      <c r="H222" s="597"/>
      <c r="I222" s="637">
        <v>15</v>
      </c>
      <c r="J222" s="636" t="s">
        <v>208</v>
      </c>
      <c r="K222" s="597" t="s">
        <v>209</v>
      </c>
      <c r="L222" s="623"/>
    </row>
    <row r="223" spans="2:12">
      <c r="B223" s="689"/>
      <c r="C223" s="691">
        <v>2.8</v>
      </c>
      <c r="D223" s="601" t="s">
        <v>210</v>
      </c>
      <c r="E223" s="596" t="s">
        <v>54</v>
      </c>
      <c r="F223" s="595"/>
      <c r="G223" s="596"/>
      <c r="H223" s="597"/>
      <c r="I223" s="644">
        <v>0.3</v>
      </c>
      <c r="J223" s="636" t="s">
        <v>78</v>
      </c>
      <c r="K223" s="597"/>
      <c r="L223" s="623"/>
    </row>
    <row r="224" spans="2:12">
      <c r="B224" s="689"/>
      <c r="C224" s="691">
        <v>3</v>
      </c>
      <c r="D224" s="692" t="s">
        <v>211</v>
      </c>
      <c r="E224" s="596" t="s">
        <v>54</v>
      </c>
      <c r="F224" s="595"/>
      <c r="G224" s="596"/>
      <c r="H224" s="597"/>
      <c r="I224" s="637">
        <v>10000</v>
      </c>
      <c r="J224" s="596" t="s">
        <v>212</v>
      </c>
      <c r="K224" s="597"/>
      <c r="L224" s="623"/>
    </row>
    <row r="225" spans="2:12">
      <c r="B225" s="689"/>
      <c r="C225" s="691">
        <v>4</v>
      </c>
      <c r="D225" s="692" t="s">
        <v>213</v>
      </c>
      <c r="E225" s="604"/>
      <c r="F225" s="595"/>
      <c r="G225" s="604"/>
      <c r="H225" s="665"/>
      <c r="I225" s="637"/>
      <c r="J225" s="596"/>
      <c r="K225" s="597"/>
      <c r="L225" s="623"/>
    </row>
    <row r="226" spans="2:12">
      <c r="B226" s="689"/>
      <c r="C226" s="636"/>
      <c r="D226" s="693" t="s">
        <v>214</v>
      </c>
      <c r="E226" s="694" t="s">
        <v>77</v>
      </c>
      <c r="F226" s="695"/>
      <c r="G226" s="694"/>
      <c r="H226" s="696"/>
      <c r="I226" s="705">
        <f>I224*50%</f>
        <v>5000</v>
      </c>
      <c r="J226" s="706" t="s">
        <v>212</v>
      </c>
      <c r="K226" s="707" t="s">
        <v>215</v>
      </c>
      <c r="L226" s="623"/>
    </row>
    <row r="227" spans="2:12">
      <c r="B227" s="689"/>
      <c r="C227" s="636"/>
      <c r="D227" s="697" t="s">
        <v>216</v>
      </c>
      <c r="E227" s="596" t="s">
        <v>217</v>
      </c>
      <c r="F227" s="595"/>
      <c r="G227" s="596"/>
      <c r="H227" s="665"/>
      <c r="I227" s="644">
        <v>0.1</v>
      </c>
      <c r="J227" s="596" t="s">
        <v>78</v>
      </c>
      <c r="K227" s="597" t="s">
        <v>218</v>
      </c>
      <c r="L227" s="623"/>
    </row>
    <row r="228" spans="2:12">
      <c r="B228" s="689"/>
      <c r="C228" s="636"/>
      <c r="D228" s="697" t="s">
        <v>219</v>
      </c>
      <c r="E228" s="596" t="s">
        <v>54</v>
      </c>
      <c r="F228" s="595"/>
      <c r="G228" s="596"/>
      <c r="H228" s="665"/>
      <c r="I228" s="644">
        <v>0</v>
      </c>
      <c r="J228" s="596" t="s">
        <v>78</v>
      </c>
      <c r="K228" s="597"/>
      <c r="L228" s="623"/>
    </row>
    <row r="229" spans="2:12">
      <c r="B229" s="689"/>
      <c r="C229" s="691">
        <v>5</v>
      </c>
      <c r="D229" s="698" t="s">
        <v>220</v>
      </c>
      <c r="E229" s="596"/>
      <c r="F229" s="699"/>
      <c r="G229" s="700"/>
      <c r="H229" s="665"/>
      <c r="I229" s="644"/>
      <c r="J229" s="596"/>
      <c r="K229" s="597"/>
      <c r="L229" s="623"/>
    </row>
    <row r="230" spans="2:12">
      <c r="B230" s="689"/>
      <c r="C230" s="691">
        <v>5.1</v>
      </c>
      <c r="D230" s="698" t="s">
        <v>221</v>
      </c>
      <c r="E230" s="599" t="s">
        <v>186</v>
      </c>
      <c r="F230" s="699"/>
      <c r="G230" s="700"/>
      <c r="H230" s="665"/>
      <c r="I230" s="637">
        <f>'表10-资产负债表(标准格式)'!H59</f>
        <v>11109.157916</v>
      </c>
      <c r="J230" s="626" t="s">
        <v>222</v>
      </c>
      <c r="K230" s="597"/>
      <c r="L230" s="623"/>
    </row>
    <row r="231" spans="2:12">
      <c r="B231" s="689"/>
      <c r="C231" s="691">
        <v>5.2</v>
      </c>
      <c r="D231" s="698" t="s">
        <v>223</v>
      </c>
      <c r="E231" s="596"/>
      <c r="F231" s="699"/>
      <c r="G231" s="700"/>
      <c r="H231" s="665"/>
      <c r="I231" s="637"/>
      <c r="J231" s="596"/>
      <c r="K231" s="597"/>
      <c r="L231" s="623"/>
    </row>
    <row r="232" ht="15.5" spans="2:12">
      <c r="B232" s="689"/>
      <c r="C232" s="636"/>
      <c r="D232" s="701" t="s">
        <v>112</v>
      </c>
      <c r="E232" s="626" t="s">
        <v>224</v>
      </c>
      <c r="F232" s="702"/>
      <c r="G232" s="703"/>
      <c r="H232" s="704"/>
      <c r="I232" s="708">
        <v>0</v>
      </c>
      <c r="J232" s="626" t="s">
        <v>222</v>
      </c>
      <c r="K232" s="597"/>
      <c r="L232" s="623"/>
    </row>
    <row r="233" ht="15.5" spans="2:12">
      <c r="B233" s="689"/>
      <c r="C233" s="636"/>
      <c r="D233" s="701" t="s">
        <v>113</v>
      </c>
      <c r="E233" s="626" t="s">
        <v>224</v>
      </c>
      <c r="F233" s="702"/>
      <c r="G233" s="703"/>
      <c r="H233" s="704"/>
      <c r="I233" s="708">
        <v>0</v>
      </c>
      <c r="J233" s="626" t="s">
        <v>222</v>
      </c>
      <c r="K233" s="597"/>
      <c r="L233" s="623"/>
    </row>
    <row r="234" ht="15.5" spans="2:12">
      <c r="B234" s="689"/>
      <c r="C234" s="636"/>
      <c r="D234" s="701" t="s">
        <v>225</v>
      </c>
      <c r="E234" s="626" t="s">
        <v>224</v>
      </c>
      <c r="F234" s="702"/>
      <c r="G234" s="703"/>
      <c r="H234" s="704"/>
      <c r="I234" s="708">
        <v>0</v>
      </c>
      <c r="J234" s="626" t="s">
        <v>222</v>
      </c>
      <c r="K234" s="597"/>
      <c r="L234" s="623"/>
    </row>
    <row r="235" ht="15.5" spans="2:12">
      <c r="B235" s="689"/>
      <c r="C235" s="636"/>
      <c r="D235" s="701" t="s">
        <v>115</v>
      </c>
      <c r="E235" s="626" t="s">
        <v>224</v>
      </c>
      <c r="F235" s="702"/>
      <c r="G235" s="703"/>
      <c r="H235" s="704"/>
      <c r="I235" s="708">
        <v>0</v>
      </c>
      <c r="J235" s="626" t="s">
        <v>222</v>
      </c>
      <c r="K235" s="597"/>
      <c r="L235" s="623"/>
    </row>
    <row r="236" ht="15.5" spans="2:12">
      <c r="B236" s="689"/>
      <c r="C236" s="636"/>
      <c r="D236" s="701" t="s">
        <v>226</v>
      </c>
      <c r="E236" s="626" t="s">
        <v>224</v>
      </c>
      <c r="F236" s="702"/>
      <c r="G236" s="703"/>
      <c r="H236" s="704"/>
      <c r="I236" s="708">
        <v>500</v>
      </c>
      <c r="J236" s="626" t="s">
        <v>222</v>
      </c>
      <c r="K236" s="597"/>
      <c r="L236" s="623"/>
    </row>
    <row r="237" ht="15.5" spans="2:12">
      <c r="B237" s="689"/>
      <c r="C237" s="636"/>
      <c r="D237" s="701" t="s">
        <v>117</v>
      </c>
      <c r="E237" s="626" t="s">
        <v>224</v>
      </c>
      <c r="F237" s="702"/>
      <c r="G237" s="703"/>
      <c r="H237" s="704"/>
      <c r="I237" s="708">
        <v>500</v>
      </c>
      <c r="J237" s="626" t="s">
        <v>222</v>
      </c>
      <c r="K237" s="597"/>
      <c r="L237" s="623"/>
    </row>
    <row r="238" ht="15.5" spans="2:12">
      <c r="B238" s="689"/>
      <c r="C238" s="636"/>
      <c r="D238" s="701" t="s">
        <v>227</v>
      </c>
      <c r="E238" s="626" t="s">
        <v>224</v>
      </c>
      <c r="F238" s="702"/>
      <c r="G238" s="703"/>
      <c r="H238" s="704"/>
      <c r="I238" s="708">
        <v>500</v>
      </c>
      <c r="J238" s="626" t="s">
        <v>222</v>
      </c>
      <c r="K238" s="597"/>
      <c r="L238" s="623"/>
    </row>
    <row r="239" ht="15.5" spans="2:12">
      <c r="B239" s="689"/>
      <c r="C239" s="636"/>
      <c r="D239" s="701" t="s">
        <v>119</v>
      </c>
      <c r="E239" s="626" t="s">
        <v>224</v>
      </c>
      <c r="F239" s="702"/>
      <c r="G239" s="703"/>
      <c r="H239" s="704"/>
      <c r="I239" s="708">
        <v>0</v>
      </c>
      <c r="J239" s="626" t="s">
        <v>222</v>
      </c>
      <c r="K239" s="597"/>
      <c r="L239" s="623"/>
    </row>
    <row r="240" ht="15.5" spans="2:12">
      <c r="B240" s="689"/>
      <c r="C240" s="636"/>
      <c r="D240" s="701" t="s">
        <v>228</v>
      </c>
      <c r="E240" s="626" t="s">
        <v>224</v>
      </c>
      <c r="F240" s="702"/>
      <c r="G240" s="703"/>
      <c r="H240" s="704"/>
      <c r="I240" s="708">
        <v>0</v>
      </c>
      <c r="J240" s="626" t="s">
        <v>222</v>
      </c>
      <c r="K240" s="597"/>
      <c r="L240" s="623"/>
    </row>
    <row r="241" ht="15.5" spans="2:12">
      <c r="B241" s="689"/>
      <c r="C241" s="636"/>
      <c r="D241" s="701" t="s">
        <v>121</v>
      </c>
      <c r="E241" s="626" t="s">
        <v>224</v>
      </c>
      <c r="F241" s="702"/>
      <c r="G241" s="703"/>
      <c r="H241" s="704"/>
      <c r="I241" s="708">
        <v>0</v>
      </c>
      <c r="J241" s="626" t="s">
        <v>222</v>
      </c>
      <c r="K241" s="597"/>
      <c r="L241" s="623"/>
    </row>
    <row r="242" ht="15.5" spans="2:12">
      <c r="B242" s="689"/>
      <c r="C242" s="636"/>
      <c r="D242" s="701" t="s">
        <v>229</v>
      </c>
      <c r="E242" s="626" t="s">
        <v>224</v>
      </c>
      <c r="F242" s="702"/>
      <c r="G242" s="703"/>
      <c r="H242" s="704"/>
      <c r="I242" s="708">
        <v>0</v>
      </c>
      <c r="J242" s="626" t="s">
        <v>222</v>
      </c>
      <c r="K242" s="597"/>
      <c r="L242" s="623"/>
    </row>
    <row r="243" ht="15.5" spans="2:12">
      <c r="B243" s="689"/>
      <c r="C243" s="636"/>
      <c r="D243" s="701" t="s">
        <v>123</v>
      </c>
      <c r="E243" s="626" t="s">
        <v>224</v>
      </c>
      <c r="F243" s="702"/>
      <c r="G243" s="703"/>
      <c r="H243" s="704"/>
      <c r="I243" s="708">
        <v>0</v>
      </c>
      <c r="J243" s="626" t="s">
        <v>222</v>
      </c>
      <c r="K243" s="597"/>
      <c r="L243" s="623"/>
    </row>
    <row r="244" ht="15.5" spans="2:12">
      <c r="B244" s="689"/>
      <c r="C244" s="636"/>
      <c r="D244" s="701" t="s">
        <v>230</v>
      </c>
      <c r="E244" s="626" t="s">
        <v>224</v>
      </c>
      <c r="F244" s="702"/>
      <c r="G244" s="703"/>
      <c r="H244" s="704"/>
      <c r="I244" s="708">
        <v>0</v>
      </c>
      <c r="J244" s="626" t="s">
        <v>222</v>
      </c>
      <c r="K244" s="597"/>
      <c r="L244" s="623"/>
    </row>
    <row r="245" ht="15.5" spans="2:12">
      <c r="B245" s="689"/>
      <c r="C245" s="636"/>
      <c r="D245" s="701" t="s">
        <v>125</v>
      </c>
      <c r="E245" s="626" t="s">
        <v>224</v>
      </c>
      <c r="F245" s="702"/>
      <c r="G245" s="703"/>
      <c r="H245" s="704"/>
      <c r="I245" s="708">
        <v>0</v>
      </c>
      <c r="J245" s="626" t="s">
        <v>222</v>
      </c>
      <c r="K245" s="597"/>
      <c r="L245" s="623"/>
    </row>
    <row r="246" ht="15.5" spans="2:12">
      <c r="B246" s="689"/>
      <c r="C246" s="636"/>
      <c r="D246" s="701" t="s">
        <v>231</v>
      </c>
      <c r="E246" s="626" t="s">
        <v>224</v>
      </c>
      <c r="F246" s="702"/>
      <c r="G246" s="703"/>
      <c r="H246" s="704"/>
      <c r="I246" s="708">
        <v>0</v>
      </c>
      <c r="J246" s="626" t="s">
        <v>222</v>
      </c>
      <c r="K246" s="597"/>
      <c r="L246" s="623"/>
    </row>
    <row r="247" ht="15.5" spans="2:12">
      <c r="B247" s="689"/>
      <c r="C247" s="636"/>
      <c r="D247" s="701" t="s">
        <v>127</v>
      </c>
      <c r="E247" s="626" t="s">
        <v>224</v>
      </c>
      <c r="F247" s="702"/>
      <c r="G247" s="703"/>
      <c r="H247" s="704"/>
      <c r="I247" s="708">
        <v>0</v>
      </c>
      <c r="J247" s="626" t="s">
        <v>222</v>
      </c>
      <c r="K247" s="597"/>
      <c r="L247" s="623"/>
    </row>
    <row r="248" ht="15.5" spans="2:12">
      <c r="B248" s="689"/>
      <c r="C248" s="636"/>
      <c r="D248" s="701" t="s">
        <v>232</v>
      </c>
      <c r="E248" s="626" t="s">
        <v>224</v>
      </c>
      <c r="F248" s="702"/>
      <c r="G248" s="703"/>
      <c r="H248" s="704"/>
      <c r="I248" s="708">
        <v>0</v>
      </c>
      <c r="J248" s="626" t="s">
        <v>222</v>
      </c>
      <c r="K248" s="597"/>
      <c r="L248" s="623"/>
    </row>
    <row r="249" ht="15.5" spans="2:12">
      <c r="B249" s="689"/>
      <c r="C249" s="636"/>
      <c r="D249" s="701" t="s">
        <v>129</v>
      </c>
      <c r="E249" s="626" t="s">
        <v>224</v>
      </c>
      <c r="F249" s="702"/>
      <c r="G249" s="703"/>
      <c r="H249" s="704"/>
      <c r="I249" s="708">
        <v>0</v>
      </c>
      <c r="J249" s="626" t="s">
        <v>222</v>
      </c>
      <c r="K249" s="597"/>
      <c r="L249" s="623"/>
    </row>
    <row r="250" ht="15.5" spans="2:12">
      <c r="B250" s="689"/>
      <c r="C250" s="636"/>
      <c r="D250" s="701" t="s">
        <v>233</v>
      </c>
      <c r="E250" s="626" t="s">
        <v>224</v>
      </c>
      <c r="F250" s="702"/>
      <c r="G250" s="703"/>
      <c r="H250" s="704"/>
      <c r="I250" s="708">
        <v>0</v>
      </c>
      <c r="J250" s="626" t="s">
        <v>222</v>
      </c>
      <c r="K250" s="597"/>
      <c r="L250" s="623"/>
    </row>
    <row r="251" ht="15.5" spans="2:12">
      <c r="B251" s="689"/>
      <c r="C251" s="636"/>
      <c r="D251" s="701" t="s">
        <v>131</v>
      </c>
      <c r="E251" s="626" t="s">
        <v>224</v>
      </c>
      <c r="F251" s="702"/>
      <c r="G251" s="703"/>
      <c r="H251" s="704"/>
      <c r="I251" s="708">
        <v>0</v>
      </c>
      <c r="J251" s="626" t="s">
        <v>222</v>
      </c>
      <c r="K251" s="597"/>
      <c r="L251" s="623"/>
    </row>
    <row r="252" ht="15.5" spans="2:12">
      <c r="B252" s="689"/>
      <c r="C252" s="636"/>
      <c r="D252" s="701" t="s">
        <v>234</v>
      </c>
      <c r="E252" s="626" t="s">
        <v>224</v>
      </c>
      <c r="F252" s="702"/>
      <c r="G252" s="703"/>
      <c r="H252" s="704"/>
      <c r="I252" s="708">
        <v>0</v>
      </c>
      <c r="J252" s="626" t="s">
        <v>222</v>
      </c>
      <c r="K252" s="597"/>
      <c r="L252" s="623"/>
    </row>
    <row r="253" ht="15.5" spans="2:12">
      <c r="B253" s="689"/>
      <c r="C253" s="636"/>
      <c r="D253" s="701" t="s">
        <v>133</v>
      </c>
      <c r="E253" s="626" t="s">
        <v>224</v>
      </c>
      <c r="F253" s="702"/>
      <c r="G253" s="703"/>
      <c r="H253" s="704"/>
      <c r="I253" s="708">
        <v>0</v>
      </c>
      <c r="J253" s="626" t="s">
        <v>222</v>
      </c>
      <c r="K253" s="597"/>
      <c r="L253" s="623"/>
    </row>
    <row r="254" ht="15.5" spans="2:12">
      <c r="B254" s="689"/>
      <c r="C254" s="636"/>
      <c r="D254" s="701" t="s">
        <v>235</v>
      </c>
      <c r="E254" s="626" t="s">
        <v>224</v>
      </c>
      <c r="F254" s="702"/>
      <c r="G254" s="703"/>
      <c r="H254" s="704"/>
      <c r="I254" s="708">
        <v>0</v>
      </c>
      <c r="J254" s="626" t="s">
        <v>222</v>
      </c>
      <c r="K254" s="597"/>
      <c r="L254" s="623"/>
    </row>
    <row r="255" ht="15.5" spans="2:12">
      <c r="B255" s="689"/>
      <c r="C255" s="636"/>
      <c r="D255" s="701" t="s">
        <v>135</v>
      </c>
      <c r="E255" s="626" t="s">
        <v>224</v>
      </c>
      <c r="F255" s="702"/>
      <c r="G255" s="703"/>
      <c r="H255" s="704"/>
      <c r="I255" s="708">
        <v>0</v>
      </c>
      <c r="J255" s="626" t="s">
        <v>222</v>
      </c>
      <c r="K255" s="597"/>
      <c r="L255" s="623"/>
    </row>
    <row r="256" ht="15.5" spans="2:12">
      <c r="B256" s="689"/>
      <c r="C256" s="636"/>
      <c r="D256" s="701" t="s">
        <v>236</v>
      </c>
      <c r="E256" s="626" t="s">
        <v>224</v>
      </c>
      <c r="F256" s="702"/>
      <c r="G256" s="703"/>
      <c r="H256" s="704"/>
      <c r="I256" s="708">
        <v>0</v>
      </c>
      <c r="J256" s="626" t="s">
        <v>222</v>
      </c>
      <c r="K256" s="597"/>
      <c r="L256" s="623"/>
    </row>
    <row r="257" ht="15.5" spans="2:12">
      <c r="B257" s="689"/>
      <c r="C257" s="636"/>
      <c r="D257" s="701" t="s">
        <v>137</v>
      </c>
      <c r="E257" s="626" t="s">
        <v>224</v>
      </c>
      <c r="F257" s="702"/>
      <c r="G257" s="703"/>
      <c r="H257" s="704"/>
      <c r="I257" s="708">
        <v>0</v>
      </c>
      <c r="J257" s="626" t="s">
        <v>222</v>
      </c>
      <c r="K257" s="597"/>
      <c r="L257" s="623"/>
    </row>
    <row r="258" ht="15.5" spans="2:12">
      <c r="B258" s="689"/>
      <c r="C258" s="636"/>
      <c r="D258" s="701" t="s">
        <v>237</v>
      </c>
      <c r="E258" s="626" t="s">
        <v>224</v>
      </c>
      <c r="F258" s="702"/>
      <c r="G258" s="703"/>
      <c r="H258" s="704"/>
      <c r="I258" s="708">
        <v>0</v>
      </c>
      <c r="J258" s="626" t="s">
        <v>222</v>
      </c>
      <c r="K258" s="597"/>
      <c r="L258" s="623"/>
    </row>
    <row r="259" spans="2:12">
      <c r="B259" s="689"/>
      <c r="C259" s="691">
        <v>5.3</v>
      </c>
      <c r="D259" s="593" t="s">
        <v>238</v>
      </c>
      <c r="E259" s="596"/>
      <c r="F259" s="699"/>
      <c r="G259" s="700"/>
      <c r="H259" s="665"/>
      <c r="I259" s="637"/>
      <c r="J259" s="596"/>
      <c r="K259" s="597"/>
      <c r="L259" s="623"/>
    </row>
    <row r="260" ht="15.5" spans="2:12">
      <c r="B260" s="689"/>
      <c r="C260" s="636"/>
      <c r="D260" s="701" t="s">
        <v>112</v>
      </c>
      <c r="E260" s="626" t="s">
        <v>224</v>
      </c>
      <c r="F260" s="702"/>
      <c r="G260" s="703"/>
      <c r="H260" s="704"/>
      <c r="I260" s="708">
        <v>0</v>
      </c>
      <c r="J260" s="626" t="s">
        <v>222</v>
      </c>
      <c r="K260" s="597"/>
      <c r="L260" s="623"/>
    </row>
    <row r="261" ht="15.5" spans="2:12">
      <c r="B261" s="689"/>
      <c r="C261" s="636"/>
      <c r="D261" s="701" t="s">
        <v>113</v>
      </c>
      <c r="E261" s="626" t="s">
        <v>224</v>
      </c>
      <c r="F261" s="702"/>
      <c r="G261" s="703"/>
      <c r="H261" s="704"/>
      <c r="I261" s="708">
        <v>0</v>
      </c>
      <c r="J261" s="626" t="s">
        <v>222</v>
      </c>
      <c r="K261" s="597"/>
      <c r="L261" s="623"/>
    </row>
    <row r="262" ht="15.5" spans="2:12">
      <c r="B262" s="689"/>
      <c r="C262" s="636"/>
      <c r="D262" s="701" t="s">
        <v>225</v>
      </c>
      <c r="E262" s="626" t="s">
        <v>224</v>
      </c>
      <c r="F262" s="702"/>
      <c r="G262" s="703"/>
      <c r="H262" s="704"/>
      <c r="I262" s="708">
        <v>0</v>
      </c>
      <c r="J262" s="626" t="s">
        <v>222</v>
      </c>
      <c r="K262" s="597"/>
      <c r="L262" s="623"/>
    </row>
    <row r="263" ht="15.5" spans="2:12">
      <c r="B263" s="689"/>
      <c r="C263" s="636"/>
      <c r="D263" s="701" t="s">
        <v>115</v>
      </c>
      <c r="E263" s="626" t="s">
        <v>224</v>
      </c>
      <c r="F263" s="702"/>
      <c r="G263" s="703"/>
      <c r="H263" s="704"/>
      <c r="I263" s="708">
        <v>0</v>
      </c>
      <c r="J263" s="626" t="s">
        <v>222</v>
      </c>
      <c r="K263" s="597"/>
      <c r="L263" s="623"/>
    </row>
    <row r="264" ht="15.5" spans="2:12">
      <c r="B264" s="689"/>
      <c r="C264" s="636"/>
      <c r="D264" s="701" t="s">
        <v>226</v>
      </c>
      <c r="E264" s="626" t="s">
        <v>224</v>
      </c>
      <c r="F264" s="702"/>
      <c r="G264" s="703"/>
      <c r="H264" s="704"/>
      <c r="I264" s="708">
        <v>0</v>
      </c>
      <c r="J264" s="626" t="s">
        <v>222</v>
      </c>
      <c r="K264" s="597"/>
      <c r="L264" s="623"/>
    </row>
    <row r="265" ht="15.5" spans="2:12">
      <c r="B265" s="689"/>
      <c r="C265" s="636"/>
      <c r="D265" s="701" t="s">
        <v>117</v>
      </c>
      <c r="E265" s="626" t="s">
        <v>224</v>
      </c>
      <c r="F265" s="702"/>
      <c r="G265" s="703"/>
      <c r="H265" s="704"/>
      <c r="I265" s="708">
        <v>500</v>
      </c>
      <c r="J265" s="626" t="s">
        <v>222</v>
      </c>
      <c r="K265" s="597"/>
      <c r="L265" s="623"/>
    </row>
    <row r="266" ht="15.5" spans="2:12">
      <c r="B266" s="689"/>
      <c r="C266" s="636"/>
      <c r="D266" s="701" t="s">
        <v>227</v>
      </c>
      <c r="E266" s="626" t="s">
        <v>224</v>
      </c>
      <c r="F266" s="702"/>
      <c r="G266" s="703"/>
      <c r="H266" s="704"/>
      <c r="I266" s="708">
        <v>500</v>
      </c>
      <c r="J266" s="626" t="s">
        <v>222</v>
      </c>
      <c r="K266" s="597"/>
      <c r="L266" s="623"/>
    </row>
    <row r="267" ht="15.5" spans="2:12">
      <c r="B267" s="689"/>
      <c r="C267" s="636"/>
      <c r="D267" s="701" t="s">
        <v>119</v>
      </c>
      <c r="E267" s="626" t="s">
        <v>224</v>
      </c>
      <c r="F267" s="702"/>
      <c r="G267" s="703"/>
      <c r="H267" s="704"/>
      <c r="I267" s="708">
        <v>500</v>
      </c>
      <c r="J267" s="626" t="s">
        <v>222</v>
      </c>
      <c r="K267" s="597"/>
      <c r="L267" s="623"/>
    </row>
    <row r="268" ht="15.5" spans="2:12">
      <c r="B268" s="689"/>
      <c r="C268" s="636"/>
      <c r="D268" s="701" t="s">
        <v>228</v>
      </c>
      <c r="E268" s="626" t="s">
        <v>224</v>
      </c>
      <c r="F268" s="702"/>
      <c r="G268" s="703"/>
      <c r="H268" s="704"/>
      <c r="I268" s="708">
        <v>0</v>
      </c>
      <c r="J268" s="626" t="s">
        <v>222</v>
      </c>
      <c r="K268" s="597"/>
      <c r="L268" s="623"/>
    </row>
    <row r="269" ht="15.5" spans="2:12">
      <c r="B269" s="689"/>
      <c r="C269" s="636"/>
      <c r="D269" s="701" t="s">
        <v>121</v>
      </c>
      <c r="E269" s="626" t="s">
        <v>224</v>
      </c>
      <c r="F269" s="702"/>
      <c r="G269" s="703"/>
      <c r="H269" s="704"/>
      <c r="I269" s="708">
        <v>0</v>
      </c>
      <c r="J269" s="626" t="s">
        <v>222</v>
      </c>
      <c r="K269" s="597"/>
      <c r="L269" s="623"/>
    </row>
    <row r="270" ht="15.5" spans="2:12">
      <c r="B270" s="689"/>
      <c r="C270" s="636"/>
      <c r="D270" s="701" t="s">
        <v>229</v>
      </c>
      <c r="E270" s="626" t="s">
        <v>224</v>
      </c>
      <c r="F270" s="702"/>
      <c r="G270" s="703"/>
      <c r="H270" s="704"/>
      <c r="I270" s="708">
        <v>0</v>
      </c>
      <c r="J270" s="626" t="s">
        <v>222</v>
      </c>
      <c r="K270" s="597"/>
      <c r="L270" s="623"/>
    </row>
    <row r="271" ht="15.5" spans="2:12">
      <c r="B271" s="689"/>
      <c r="C271" s="636"/>
      <c r="D271" s="701" t="s">
        <v>123</v>
      </c>
      <c r="E271" s="626" t="s">
        <v>224</v>
      </c>
      <c r="F271" s="702"/>
      <c r="G271" s="703"/>
      <c r="H271" s="704"/>
      <c r="I271" s="708">
        <v>0</v>
      </c>
      <c r="J271" s="626" t="s">
        <v>222</v>
      </c>
      <c r="K271" s="597"/>
      <c r="L271" s="623"/>
    </row>
    <row r="272" ht="15.5" spans="2:12">
      <c r="B272" s="689"/>
      <c r="C272" s="636"/>
      <c r="D272" s="701" t="s">
        <v>230</v>
      </c>
      <c r="E272" s="626" t="s">
        <v>224</v>
      </c>
      <c r="F272" s="702"/>
      <c r="G272" s="703"/>
      <c r="H272" s="704"/>
      <c r="I272" s="708">
        <v>0</v>
      </c>
      <c r="J272" s="626" t="s">
        <v>222</v>
      </c>
      <c r="K272" s="597"/>
      <c r="L272" s="623"/>
    </row>
    <row r="273" ht="15.5" spans="2:12">
      <c r="B273" s="689"/>
      <c r="C273" s="636"/>
      <c r="D273" s="701" t="s">
        <v>125</v>
      </c>
      <c r="E273" s="626" t="s">
        <v>224</v>
      </c>
      <c r="F273" s="702"/>
      <c r="G273" s="703"/>
      <c r="H273" s="704"/>
      <c r="I273" s="708">
        <v>0</v>
      </c>
      <c r="J273" s="626" t="s">
        <v>222</v>
      </c>
      <c r="K273" s="597"/>
      <c r="L273" s="623"/>
    </row>
    <row r="274" ht="15.5" spans="2:12">
      <c r="B274" s="689"/>
      <c r="C274" s="636"/>
      <c r="D274" s="701" t="s">
        <v>231</v>
      </c>
      <c r="E274" s="626" t="s">
        <v>224</v>
      </c>
      <c r="F274" s="702"/>
      <c r="G274" s="703"/>
      <c r="H274" s="704"/>
      <c r="I274" s="708">
        <v>0</v>
      </c>
      <c r="J274" s="626" t="s">
        <v>222</v>
      </c>
      <c r="K274" s="597"/>
      <c r="L274" s="623"/>
    </row>
    <row r="275" ht="15.5" spans="2:12">
      <c r="B275" s="689"/>
      <c r="C275" s="636"/>
      <c r="D275" s="701" t="s">
        <v>127</v>
      </c>
      <c r="E275" s="626" t="s">
        <v>224</v>
      </c>
      <c r="F275" s="702"/>
      <c r="G275" s="703"/>
      <c r="H275" s="704"/>
      <c r="I275" s="708">
        <v>0</v>
      </c>
      <c r="J275" s="626" t="s">
        <v>222</v>
      </c>
      <c r="K275" s="597"/>
      <c r="L275" s="623"/>
    </row>
    <row r="276" ht="15.5" spans="2:12">
      <c r="B276" s="689"/>
      <c r="C276" s="636"/>
      <c r="D276" s="701" t="s">
        <v>232</v>
      </c>
      <c r="E276" s="626" t="s">
        <v>224</v>
      </c>
      <c r="F276" s="702"/>
      <c r="G276" s="703"/>
      <c r="H276" s="704"/>
      <c r="I276" s="708">
        <v>0</v>
      </c>
      <c r="J276" s="626" t="s">
        <v>222</v>
      </c>
      <c r="K276" s="597"/>
      <c r="L276" s="623"/>
    </row>
    <row r="277" ht="15.5" spans="2:12">
      <c r="B277" s="689"/>
      <c r="C277" s="636"/>
      <c r="D277" s="701" t="s">
        <v>129</v>
      </c>
      <c r="E277" s="626" t="s">
        <v>224</v>
      </c>
      <c r="F277" s="702"/>
      <c r="G277" s="703"/>
      <c r="H277" s="704"/>
      <c r="I277" s="708">
        <v>0</v>
      </c>
      <c r="J277" s="626" t="s">
        <v>222</v>
      </c>
      <c r="K277" s="597"/>
      <c r="L277" s="623"/>
    </row>
    <row r="278" ht="15.5" spans="2:12">
      <c r="B278" s="689"/>
      <c r="C278" s="636"/>
      <c r="D278" s="701" t="s">
        <v>233</v>
      </c>
      <c r="E278" s="626" t="s">
        <v>224</v>
      </c>
      <c r="F278" s="702"/>
      <c r="G278" s="703"/>
      <c r="H278" s="704"/>
      <c r="I278" s="708">
        <v>0</v>
      </c>
      <c r="J278" s="626" t="s">
        <v>222</v>
      </c>
      <c r="K278" s="597"/>
      <c r="L278" s="623"/>
    </row>
    <row r="279" ht="15.5" spans="2:12">
      <c r="B279" s="689"/>
      <c r="C279" s="636"/>
      <c r="D279" s="701" t="s">
        <v>131</v>
      </c>
      <c r="E279" s="626" t="s">
        <v>224</v>
      </c>
      <c r="F279" s="702"/>
      <c r="G279" s="703"/>
      <c r="H279" s="704"/>
      <c r="I279" s="708">
        <v>0</v>
      </c>
      <c r="J279" s="626" t="s">
        <v>222</v>
      </c>
      <c r="K279" s="597"/>
      <c r="L279" s="623"/>
    </row>
    <row r="280" ht="15.5" spans="2:12">
      <c r="B280" s="689"/>
      <c r="C280" s="636"/>
      <c r="D280" s="701" t="s">
        <v>234</v>
      </c>
      <c r="E280" s="626" t="s">
        <v>224</v>
      </c>
      <c r="F280" s="702"/>
      <c r="G280" s="703"/>
      <c r="H280" s="704"/>
      <c r="I280" s="708">
        <v>0</v>
      </c>
      <c r="J280" s="626" t="s">
        <v>222</v>
      </c>
      <c r="K280" s="597"/>
      <c r="L280" s="623"/>
    </row>
    <row r="281" ht="15.5" spans="2:12">
      <c r="B281" s="689"/>
      <c r="C281" s="636"/>
      <c r="D281" s="701" t="s">
        <v>133</v>
      </c>
      <c r="E281" s="626" t="s">
        <v>224</v>
      </c>
      <c r="F281" s="702"/>
      <c r="G281" s="703"/>
      <c r="H281" s="704"/>
      <c r="I281" s="708">
        <v>0</v>
      </c>
      <c r="J281" s="626" t="s">
        <v>222</v>
      </c>
      <c r="K281" s="597"/>
      <c r="L281" s="623"/>
    </row>
    <row r="282" ht="15.5" spans="2:12">
      <c r="B282" s="689"/>
      <c r="C282" s="636"/>
      <c r="D282" s="701" t="s">
        <v>235</v>
      </c>
      <c r="E282" s="626" t="s">
        <v>224</v>
      </c>
      <c r="F282" s="702"/>
      <c r="G282" s="703"/>
      <c r="H282" s="704"/>
      <c r="I282" s="708">
        <f>I230</f>
        <v>11109.157916</v>
      </c>
      <c r="J282" s="626" t="s">
        <v>222</v>
      </c>
      <c r="K282" s="597"/>
      <c r="L282" s="623"/>
    </row>
    <row r="283" ht="15.5" spans="2:12">
      <c r="B283" s="689"/>
      <c r="C283" s="636"/>
      <c r="D283" s="701" t="s">
        <v>135</v>
      </c>
      <c r="E283" s="626" t="s">
        <v>224</v>
      </c>
      <c r="F283" s="702"/>
      <c r="G283" s="703"/>
      <c r="H283" s="704"/>
      <c r="I283" s="708">
        <v>0</v>
      </c>
      <c r="J283" s="626" t="s">
        <v>222</v>
      </c>
      <c r="K283" s="597"/>
      <c r="L283" s="623"/>
    </row>
    <row r="284" ht="15.5" spans="2:12">
      <c r="B284" s="689"/>
      <c r="C284" s="636"/>
      <c r="D284" s="701" t="s">
        <v>236</v>
      </c>
      <c r="E284" s="626" t="s">
        <v>224</v>
      </c>
      <c r="F284" s="702"/>
      <c r="G284" s="703"/>
      <c r="H284" s="704"/>
      <c r="I284" s="708">
        <v>0</v>
      </c>
      <c r="J284" s="626" t="s">
        <v>222</v>
      </c>
      <c r="K284" s="597"/>
      <c r="L284" s="623"/>
    </row>
    <row r="285" ht="15.5" spans="2:12">
      <c r="B285" s="689"/>
      <c r="C285" s="636"/>
      <c r="D285" s="701" t="s">
        <v>137</v>
      </c>
      <c r="E285" s="626" t="s">
        <v>224</v>
      </c>
      <c r="F285" s="702"/>
      <c r="G285" s="703"/>
      <c r="H285" s="704"/>
      <c r="I285" s="708">
        <v>0</v>
      </c>
      <c r="J285" s="626" t="s">
        <v>222</v>
      </c>
      <c r="K285" s="597"/>
      <c r="L285" s="623"/>
    </row>
    <row r="286" ht="15.5" spans="2:12">
      <c r="B286" s="689"/>
      <c r="C286" s="636"/>
      <c r="D286" s="701" t="s">
        <v>237</v>
      </c>
      <c r="E286" s="626" t="s">
        <v>224</v>
      </c>
      <c r="F286" s="702"/>
      <c r="G286" s="703"/>
      <c r="H286" s="704"/>
      <c r="I286" s="708">
        <v>0</v>
      </c>
      <c r="J286" s="626" t="s">
        <v>222</v>
      </c>
      <c r="K286" s="597"/>
      <c r="L286" s="623"/>
    </row>
    <row r="287" ht="37.95" customHeight="1" spans="2:12">
      <c r="B287" s="689"/>
      <c r="C287" s="691">
        <v>6</v>
      </c>
      <c r="D287" s="709" t="s">
        <v>239</v>
      </c>
      <c r="E287" s="626" t="s">
        <v>240</v>
      </c>
      <c r="F287" s="702"/>
      <c r="G287" s="703"/>
      <c r="H287" s="704"/>
      <c r="I287" s="716" t="s">
        <v>241</v>
      </c>
      <c r="J287" s="626"/>
      <c r="K287" s="597"/>
      <c r="L287" s="623"/>
    </row>
    <row r="288" ht="70.05" customHeight="1" spans="2:12">
      <c r="B288" s="710" t="s">
        <v>242</v>
      </c>
      <c r="C288" s="612">
        <v>1</v>
      </c>
      <c r="D288" s="670" t="s">
        <v>243</v>
      </c>
      <c r="E288" s="599" t="s">
        <v>244</v>
      </c>
      <c r="F288" s="699" t="s">
        <v>245</v>
      </c>
      <c r="G288" s="711" t="s">
        <v>246</v>
      </c>
      <c r="H288" s="597"/>
      <c r="I288" s="637"/>
      <c r="J288" s="596"/>
      <c r="K288" s="665" t="s">
        <v>247</v>
      </c>
      <c r="L288" s="623"/>
    </row>
    <row r="289" spans="2:12">
      <c r="B289" s="591"/>
      <c r="C289" s="712">
        <v>1.1</v>
      </c>
      <c r="D289" s="615" t="s">
        <v>248</v>
      </c>
      <c r="E289" s="599" t="s">
        <v>143</v>
      </c>
      <c r="F289" s="664" t="s">
        <v>249</v>
      </c>
      <c r="G289" s="596"/>
      <c r="H289" s="597"/>
      <c r="I289" s="652">
        <f>I30</f>
        <v>320</v>
      </c>
      <c r="J289" s="596"/>
      <c r="K289" s="665"/>
      <c r="L289" s="623"/>
    </row>
    <row r="290" spans="2:12">
      <c r="B290" s="591"/>
      <c r="C290" s="712">
        <v>1.2</v>
      </c>
      <c r="D290" s="615" t="s">
        <v>250</v>
      </c>
      <c r="E290" s="596"/>
      <c r="F290" s="595"/>
      <c r="G290" s="596"/>
      <c r="H290" s="597"/>
      <c r="I290" s="637"/>
      <c r="J290" s="596"/>
      <c r="K290" s="665"/>
      <c r="L290" s="623"/>
    </row>
    <row r="291" spans="2:12">
      <c r="B291" s="660"/>
      <c r="C291" s="712"/>
      <c r="D291" s="663" t="s">
        <v>112</v>
      </c>
      <c r="E291" s="596" t="s">
        <v>54</v>
      </c>
      <c r="F291" s="664" t="s">
        <v>251</v>
      </c>
      <c r="G291" s="596"/>
      <c r="H291" s="597"/>
      <c r="I291" s="637">
        <v>0</v>
      </c>
      <c r="J291" s="596" t="s">
        <v>252</v>
      </c>
      <c r="K291" s="665"/>
      <c r="L291" s="623"/>
    </row>
    <row r="292" spans="2:12">
      <c r="B292" s="660"/>
      <c r="C292" s="712"/>
      <c r="D292" s="663" t="s">
        <v>113</v>
      </c>
      <c r="E292" s="596" t="s">
        <v>54</v>
      </c>
      <c r="F292" s="664" t="s">
        <v>251</v>
      </c>
      <c r="G292" s="596"/>
      <c r="H292" s="597"/>
      <c r="I292" s="637">
        <v>0</v>
      </c>
      <c r="J292" s="596" t="s">
        <v>252</v>
      </c>
      <c r="K292" s="665"/>
      <c r="L292" s="623"/>
    </row>
    <row r="293" spans="2:12">
      <c r="B293" s="660"/>
      <c r="C293" s="712"/>
      <c r="D293" s="663" t="s">
        <v>114</v>
      </c>
      <c r="E293" s="596" t="s">
        <v>54</v>
      </c>
      <c r="F293" s="664" t="s">
        <v>251</v>
      </c>
      <c r="G293" s="596"/>
      <c r="H293" s="597"/>
      <c r="I293" s="637">
        <v>1</v>
      </c>
      <c r="J293" s="596" t="s">
        <v>252</v>
      </c>
      <c r="K293" s="665"/>
      <c r="L293" s="623"/>
    </row>
    <row r="294" spans="2:12">
      <c r="B294" s="660"/>
      <c r="C294" s="712"/>
      <c r="D294" s="663" t="s">
        <v>115</v>
      </c>
      <c r="E294" s="596" t="s">
        <v>54</v>
      </c>
      <c r="F294" s="664" t="s">
        <v>251</v>
      </c>
      <c r="G294" s="596"/>
      <c r="H294" s="597"/>
      <c r="I294" s="637">
        <v>1</v>
      </c>
      <c r="J294" s="596" t="s">
        <v>252</v>
      </c>
      <c r="K294" s="665"/>
      <c r="L294" s="623"/>
    </row>
    <row r="295" spans="2:12">
      <c r="B295" s="660"/>
      <c r="C295" s="712"/>
      <c r="D295" s="663" t="s">
        <v>116</v>
      </c>
      <c r="E295" s="596" t="s">
        <v>54</v>
      </c>
      <c r="F295" s="664" t="s">
        <v>251</v>
      </c>
      <c r="G295" s="596"/>
      <c r="H295" s="597"/>
      <c r="I295" s="637">
        <v>1</v>
      </c>
      <c r="J295" s="596" t="s">
        <v>252</v>
      </c>
      <c r="K295" s="665"/>
      <c r="L295" s="623"/>
    </row>
    <row r="296" spans="2:12">
      <c r="B296" s="660"/>
      <c r="C296" s="712"/>
      <c r="D296" s="663" t="s">
        <v>117</v>
      </c>
      <c r="E296" s="596" t="s">
        <v>54</v>
      </c>
      <c r="F296" s="664" t="s">
        <v>251</v>
      </c>
      <c r="G296" s="596"/>
      <c r="H296" s="597"/>
      <c r="I296" s="637">
        <v>1</v>
      </c>
      <c r="J296" s="596" t="s">
        <v>252</v>
      </c>
      <c r="K296" s="665"/>
      <c r="L296" s="623"/>
    </row>
    <row r="297" spans="2:12">
      <c r="B297" s="660"/>
      <c r="C297" s="712"/>
      <c r="D297" s="663" t="s">
        <v>118</v>
      </c>
      <c r="E297" s="596" t="s">
        <v>54</v>
      </c>
      <c r="F297" s="664" t="s">
        <v>251</v>
      </c>
      <c r="G297" s="596"/>
      <c r="H297" s="597"/>
      <c r="I297" s="637">
        <v>1</v>
      </c>
      <c r="J297" s="596" t="s">
        <v>252</v>
      </c>
      <c r="K297" s="665"/>
      <c r="L297" s="623"/>
    </row>
    <row r="298" spans="2:12">
      <c r="B298" s="660"/>
      <c r="C298" s="712"/>
      <c r="D298" s="663" t="s">
        <v>119</v>
      </c>
      <c r="E298" s="596" t="s">
        <v>54</v>
      </c>
      <c r="F298" s="664" t="s">
        <v>251</v>
      </c>
      <c r="G298" s="596"/>
      <c r="H298" s="597"/>
      <c r="I298" s="637">
        <v>0.1</v>
      </c>
      <c r="J298" s="596" t="s">
        <v>252</v>
      </c>
      <c r="K298" s="665"/>
      <c r="L298" s="623"/>
    </row>
    <row r="299" spans="2:12">
      <c r="B299" s="660"/>
      <c r="C299" s="712"/>
      <c r="D299" s="663" t="s">
        <v>120</v>
      </c>
      <c r="E299" s="596" t="s">
        <v>54</v>
      </c>
      <c r="F299" s="664" t="s">
        <v>251</v>
      </c>
      <c r="G299" s="596"/>
      <c r="H299" s="597"/>
      <c r="I299" s="637">
        <v>0.1</v>
      </c>
      <c r="J299" s="596" t="s">
        <v>252</v>
      </c>
      <c r="K299" s="665"/>
      <c r="L299" s="623"/>
    </row>
    <row r="300" spans="2:12">
      <c r="B300" s="660"/>
      <c r="C300" s="712"/>
      <c r="D300" s="663" t="s">
        <v>121</v>
      </c>
      <c r="E300" s="596" t="s">
        <v>54</v>
      </c>
      <c r="F300" s="664" t="s">
        <v>251</v>
      </c>
      <c r="G300" s="596"/>
      <c r="H300" s="597"/>
      <c r="I300" s="637">
        <v>0.1</v>
      </c>
      <c r="J300" s="596" t="s">
        <v>252</v>
      </c>
      <c r="K300" s="665"/>
      <c r="L300" s="623"/>
    </row>
    <row r="301" spans="2:12">
      <c r="B301" s="660"/>
      <c r="C301" s="712"/>
      <c r="D301" s="663" t="s">
        <v>122</v>
      </c>
      <c r="E301" s="596" t="s">
        <v>54</v>
      </c>
      <c r="F301" s="664" t="s">
        <v>251</v>
      </c>
      <c r="G301" s="596"/>
      <c r="H301" s="597"/>
      <c r="I301" s="637">
        <v>0.1</v>
      </c>
      <c r="J301" s="596" t="s">
        <v>252</v>
      </c>
      <c r="K301" s="665"/>
      <c r="L301" s="623"/>
    </row>
    <row r="302" spans="2:12">
      <c r="B302" s="660"/>
      <c r="C302" s="712"/>
      <c r="D302" s="663" t="s">
        <v>123</v>
      </c>
      <c r="E302" s="596" t="s">
        <v>54</v>
      </c>
      <c r="F302" s="664" t="s">
        <v>251</v>
      </c>
      <c r="G302" s="596"/>
      <c r="H302" s="597"/>
      <c r="I302" s="637">
        <v>0.1</v>
      </c>
      <c r="J302" s="596" t="s">
        <v>252</v>
      </c>
      <c r="K302" s="665"/>
      <c r="L302" s="623"/>
    </row>
    <row r="303" spans="2:12">
      <c r="B303" s="660"/>
      <c r="C303" s="712"/>
      <c r="D303" s="663" t="s">
        <v>124</v>
      </c>
      <c r="E303" s="596" t="s">
        <v>54</v>
      </c>
      <c r="F303" s="664" t="s">
        <v>251</v>
      </c>
      <c r="G303" s="596"/>
      <c r="H303" s="597"/>
      <c r="I303" s="637">
        <v>0.1</v>
      </c>
      <c r="J303" s="596" t="s">
        <v>252</v>
      </c>
      <c r="K303" s="665"/>
      <c r="L303" s="623"/>
    </row>
    <row r="304" spans="2:12">
      <c r="B304" s="660"/>
      <c r="C304" s="712"/>
      <c r="D304" s="663" t="s">
        <v>125</v>
      </c>
      <c r="E304" s="596" t="s">
        <v>54</v>
      </c>
      <c r="F304" s="664" t="s">
        <v>251</v>
      </c>
      <c r="G304" s="596"/>
      <c r="H304" s="597"/>
      <c r="I304" s="637">
        <v>0.1</v>
      </c>
      <c r="J304" s="596" t="s">
        <v>252</v>
      </c>
      <c r="K304" s="665"/>
      <c r="L304" s="623"/>
    </row>
    <row r="305" spans="2:12">
      <c r="B305" s="660"/>
      <c r="C305" s="712"/>
      <c r="D305" s="663" t="s">
        <v>126</v>
      </c>
      <c r="E305" s="596" t="s">
        <v>54</v>
      </c>
      <c r="F305" s="664" t="s">
        <v>251</v>
      </c>
      <c r="G305" s="596"/>
      <c r="H305" s="597"/>
      <c r="I305" s="637">
        <v>0.1</v>
      </c>
      <c r="J305" s="596" t="s">
        <v>252</v>
      </c>
      <c r="K305" s="665"/>
      <c r="L305" s="623"/>
    </row>
    <row r="306" spans="2:12">
      <c r="B306" s="660"/>
      <c r="C306" s="712"/>
      <c r="D306" s="663" t="s">
        <v>127</v>
      </c>
      <c r="E306" s="596" t="s">
        <v>54</v>
      </c>
      <c r="F306" s="664" t="s">
        <v>251</v>
      </c>
      <c r="G306" s="596"/>
      <c r="H306" s="597"/>
      <c r="I306" s="637">
        <v>0.1</v>
      </c>
      <c r="J306" s="596" t="s">
        <v>252</v>
      </c>
      <c r="K306" s="665"/>
      <c r="L306" s="623"/>
    </row>
    <row r="307" spans="2:12">
      <c r="B307" s="660"/>
      <c r="C307" s="712"/>
      <c r="D307" s="663" t="s">
        <v>128</v>
      </c>
      <c r="E307" s="596" t="s">
        <v>54</v>
      </c>
      <c r="F307" s="664" t="s">
        <v>251</v>
      </c>
      <c r="G307" s="596"/>
      <c r="H307" s="597"/>
      <c r="I307" s="637">
        <v>0.1</v>
      </c>
      <c r="J307" s="596" t="s">
        <v>252</v>
      </c>
      <c r="K307" s="665"/>
      <c r="L307" s="623"/>
    </row>
    <row r="308" spans="2:12">
      <c r="B308" s="660"/>
      <c r="C308" s="712"/>
      <c r="D308" s="663" t="s">
        <v>129</v>
      </c>
      <c r="E308" s="596" t="s">
        <v>54</v>
      </c>
      <c r="F308" s="664" t="s">
        <v>251</v>
      </c>
      <c r="G308" s="596"/>
      <c r="H308" s="597"/>
      <c r="I308" s="637">
        <v>0.1</v>
      </c>
      <c r="J308" s="596" t="s">
        <v>252</v>
      </c>
      <c r="K308" s="665"/>
      <c r="L308" s="623"/>
    </row>
    <row r="309" spans="2:12">
      <c r="B309" s="660"/>
      <c r="C309" s="712"/>
      <c r="D309" s="663" t="s">
        <v>130</v>
      </c>
      <c r="E309" s="596" t="s">
        <v>54</v>
      </c>
      <c r="F309" s="664" t="s">
        <v>251</v>
      </c>
      <c r="G309" s="596"/>
      <c r="H309" s="597"/>
      <c r="I309" s="637">
        <v>0.1</v>
      </c>
      <c r="J309" s="596" t="s">
        <v>252</v>
      </c>
      <c r="K309" s="665"/>
      <c r="L309" s="623"/>
    </row>
    <row r="310" spans="2:12">
      <c r="B310" s="660"/>
      <c r="C310" s="712"/>
      <c r="D310" s="663" t="s">
        <v>131</v>
      </c>
      <c r="E310" s="596" t="s">
        <v>54</v>
      </c>
      <c r="F310" s="664" t="s">
        <v>251</v>
      </c>
      <c r="G310" s="596"/>
      <c r="H310" s="597"/>
      <c r="I310" s="637">
        <v>0.1</v>
      </c>
      <c r="J310" s="596" t="s">
        <v>252</v>
      </c>
      <c r="K310" s="665"/>
      <c r="L310" s="623"/>
    </row>
    <row r="311" spans="2:12">
      <c r="B311" s="660"/>
      <c r="C311" s="712"/>
      <c r="D311" s="663" t="s">
        <v>132</v>
      </c>
      <c r="E311" s="596" t="s">
        <v>54</v>
      </c>
      <c r="F311" s="664" t="s">
        <v>251</v>
      </c>
      <c r="G311" s="596"/>
      <c r="H311" s="597"/>
      <c r="I311" s="637">
        <v>0.1</v>
      </c>
      <c r="J311" s="596" t="s">
        <v>252</v>
      </c>
      <c r="K311" s="665"/>
      <c r="L311" s="623"/>
    </row>
    <row r="312" spans="2:12">
      <c r="B312" s="660"/>
      <c r="C312" s="712"/>
      <c r="D312" s="663" t="s">
        <v>133</v>
      </c>
      <c r="E312" s="596" t="s">
        <v>54</v>
      </c>
      <c r="F312" s="664" t="s">
        <v>251</v>
      </c>
      <c r="G312" s="596"/>
      <c r="H312" s="597"/>
      <c r="I312" s="637">
        <v>0.1</v>
      </c>
      <c r="J312" s="596" t="s">
        <v>252</v>
      </c>
      <c r="K312" s="665"/>
      <c r="L312" s="623"/>
    </row>
    <row r="313" spans="2:12">
      <c r="B313" s="660"/>
      <c r="C313" s="712"/>
      <c r="D313" s="663" t="s">
        <v>134</v>
      </c>
      <c r="E313" s="596" t="s">
        <v>54</v>
      </c>
      <c r="F313" s="664" t="s">
        <v>251</v>
      </c>
      <c r="G313" s="596"/>
      <c r="H313" s="597"/>
      <c r="I313" s="637">
        <v>0.1</v>
      </c>
      <c r="J313" s="596" t="s">
        <v>252</v>
      </c>
      <c r="K313" s="665"/>
      <c r="L313" s="623"/>
    </row>
    <row r="314" spans="2:12">
      <c r="B314" s="660"/>
      <c r="C314" s="712"/>
      <c r="D314" s="663" t="s">
        <v>135</v>
      </c>
      <c r="E314" s="596" t="s">
        <v>54</v>
      </c>
      <c r="F314" s="664" t="s">
        <v>251</v>
      </c>
      <c r="G314" s="596"/>
      <c r="H314" s="597"/>
      <c r="I314" s="637">
        <v>0.1</v>
      </c>
      <c r="J314" s="596" t="s">
        <v>252</v>
      </c>
      <c r="K314" s="665"/>
      <c r="L314" s="623"/>
    </row>
    <row r="315" spans="2:12">
      <c r="B315" s="660"/>
      <c r="C315" s="712"/>
      <c r="D315" s="663" t="s">
        <v>136</v>
      </c>
      <c r="E315" s="596" t="s">
        <v>54</v>
      </c>
      <c r="F315" s="664" t="s">
        <v>251</v>
      </c>
      <c r="G315" s="596"/>
      <c r="H315" s="597"/>
      <c r="I315" s="637">
        <v>0.1</v>
      </c>
      <c r="J315" s="596" t="s">
        <v>252</v>
      </c>
      <c r="K315" s="665"/>
      <c r="L315" s="623"/>
    </row>
    <row r="316" spans="2:12">
      <c r="B316" s="660"/>
      <c r="C316" s="712"/>
      <c r="D316" s="663" t="s">
        <v>137</v>
      </c>
      <c r="E316" s="596" t="s">
        <v>54</v>
      </c>
      <c r="F316" s="664" t="s">
        <v>251</v>
      </c>
      <c r="G316" s="596"/>
      <c r="H316" s="597"/>
      <c r="I316" s="637">
        <v>0.1</v>
      </c>
      <c r="J316" s="596" t="s">
        <v>252</v>
      </c>
      <c r="K316" s="665"/>
      <c r="L316" s="623"/>
    </row>
    <row r="317" spans="2:12">
      <c r="B317" s="660"/>
      <c r="C317" s="712"/>
      <c r="D317" s="663" t="s">
        <v>138</v>
      </c>
      <c r="E317" s="596" t="s">
        <v>54</v>
      </c>
      <c r="F317" s="664" t="s">
        <v>251</v>
      </c>
      <c r="G317" s="596"/>
      <c r="H317" s="597"/>
      <c r="I317" s="637">
        <v>0.1</v>
      </c>
      <c r="J317" s="596" t="s">
        <v>252</v>
      </c>
      <c r="K317" s="665"/>
      <c r="L317" s="623"/>
    </row>
    <row r="318" spans="2:12">
      <c r="B318" s="591"/>
      <c r="C318" s="712">
        <v>1.3</v>
      </c>
      <c r="D318" s="615" t="s">
        <v>21</v>
      </c>
      <c r="E318" s="596" t="s">
        <v>91</v>
      </c>
      <c r="F318" s="595"/>
      <c r="G318" s="596"/>
      <c r="H318" s="597" t="s">
        <v>253</v>
      </c>
      <c r="I318" s="644">
        <v>0</v>
      </c>
      <c r="J318" s="596" t="s">
        <v>78</v>
      </c>
      <c r="K318" s="665"/>
      <c r="L318" s="623"/>
    </row>
    <row r="319" ht="79.05" customHeight="1" spans="2:12">
      <c r="B319" s="591"/>
      <c r="C319" s="612">
        <v>2</v>
      </c>
      <c r="D319" s="692" t="s">
        <v>254</v>
      </c>
      <c r="E319" s="599" t="s">
        <v>244</v>
      </c>
      <c r="F319" s="713" t="s">
        <v>255</v>
      </c>
      <c r="G319" s="711" t="s">
        <v>246</v>
      </c>
      <c r="H319" s="597"/>
      <c r="I319" s="637"/>
      <c r="J319" s="596"/>
      <c r="K319" s="597" t="s">
        <v>256</v>
      </c>
      <c r="L319" s="623"/>
    </row>
    <row r="320" ht="31.05" customHeight="1" spans="2:12">
      <c r="B320" s="591"/>
      <c r="C320" s="712">
        <v>2.1</v>
      </c>
      <c r="D320" s="614" t="s">
        <v>257</v>
      </c>
      <c r="E320" s="596" t="s">
        <v>91</v>
      </c>
      <c r="F320" s="713" t="s">
        <v>258</v>
      </c>
      <c r="G320" s="714"/>
      <c r="H320" s="715" t="s">
        <v>259</v>
      </c>
      <c r="I320" s="717">
        <f>I144-I152+'表10-资产负债表(标准格式)'!H43</f>
        <v>161032.352158179</v>
      </c>
      <c r="J320" s="596" t="s">
        <v>212</v>
      </c>
      <c r="K320" s="597"/>
      <c r="L320" s="623"/>
    </row>
    <row r="321" customFormat="1" ht="31.05" customHeight="1" spans="2:12">
      <c r="B321" s="591"/>
      <c r="C321" s="712">
        <v>2.2</v>
      </c>
      <c r="D321" s="718" t="s">
        <v>260</v>
      </c>
      <c r="E321" s="596"/>
      <c r="F321" s="699"/>
      <c r="G321" s="714"/>
      <c r="H321" s="657"/>
      <c r="I321" s="732"/>
      <c r="J321" s="596"/>
      <c r="K321" s="597"/>
      <c r="L321" s="623"/>
    </row>
    <row r="322" s="583" customFormat="1" ht="15" spans="2:12">
      <c r="B322" s="591"/>
      <c r="C322" s="719"/>
      <c r="D322" s="701" t="s">
        <v>112</v>
      </c>
      <c r="E322" s="720"/>
      <c r="F322" s="664" t="s">
        <v>261</v>
      </c>
      <c r="G322" s="721"/>
      <c r="H322" s="722"/>
      <c r="I322" s="733">
        <v>0</v>
      </c>
      <c r="J322" s="594" t="s">
        <v>78</v>
      </c>
      <c r="K322" s="722"/>
      <c r="L322" s="734"/>
    </row>
    <row r="323" s="583" customFormat="1" ht="15" spans="2:12">
      <c r="B323" s="591"/>
      <c r="C323" s="719"/>
      <c r="D323" s="701" t="s">
        <v>113</v>
      </c>
      <c r="E323" s="720"/>
      <c r="F323" s="664" t="s">
        <v>261</v>
      </c>
      <c r="G323" s="721"/>
      <c r="H323" s="722"/>
      <c r="I323" s="733">
        <v>0</v>
      </c>
      <c r="J323" s="594" t="s">
        <v>78</v>
      </c>
      <c r="K323" s="722"/>
      <c r="L323" s="734"/>
    </row>
    <row r="324" s="583" customFormat="1" ht="15" spans="2:12">
      <c r="B324" s="591"/>
      <c r="C324" s="719"/>
      <c r="D324" s="701" t="s">
        <v>114</v>
      </c>
      <c r="E324" s="720"/>
      <c r="F324" s="664" t="s">
        <v>261</v>
      </c>
      <c r="G324" s="721"/>
      <c r="H324" s="722"/>
      <c r="I324" s="733">
        <v>0</v>
      </c>
      <c r="J324" s="594" t="s">
        <v>78</v>
      </c>
      <c r="K324" s="722"/>
      <c r="L324" s="734"/>
    </row>
    <row r="325" s="583" customFormat="1" ht="15" spans="2:12">
      <c r="B325" s="591"/>
      <c r="C325" s="719"/>
      <c r="D325" s="701" t="s">
        <v>115</v>
      </c>
      <c r="E325" s="720"/>
      <c r="F325" s="664" t="s">
        <v>261</v>
      </c>
      <c r="G325" s="721"/>
      <c r="H325" s="722"/>
      <c r="I325" s="733">
        <v>0</v>
      </c>
      <c r="J325" s="594" t="s">
        <v>78</v>
      </c>
      <c r="K325" s="722"/>
      <c r="L325" s="734"/>
    </row>
    <row r="326" s="583" customFormat="1" ht="15" spans="2:12">
      <c r="B326" s="591"/>
      <c r="C326" s="719"/>
      <c r="D326" s="701" t="s">
        <v>116</v>
      </c>
      <c r="E326" s="720"/>
      <c r="F326" s="664" t="s">
        <v>261</v>
      </c>
      <c r="G326" s="721"/>
      <c r="H326" s="722"/>
      <c r="I326" s="733">
        <v>0</v>
      </c>
      <c r="J326" s="594" t="s">
        <v>78</v>
      </c>
      <c r="K326" s="722"/>
      <c r="L326" s="734"/>
    </row>
    <row r="327" s="583" customFormat="1" ht="15" spans="2:12">
      <c r="B327" s="591"/>
      <c r="C327" s="719"/>
      <c r="D327" s="701" t="s">
        <v>117</v>
      </c>
      <c r="E327" s="720"/>
      <c r="F327" s="664" t="s">
        <v>261</v>
      </c>
      <c r="G327" s="721"/>
      <c r="H327" s="722"/>
      <c r="I327" s="733">
        <v>0</v>
      </c>
      <c r="J327" s="594" t="s">
        <v>78</v>
      </c>
      <c r="K327" s="722"/>
      <c r="L327" s="734"/>
    </row>
    <row r="328" s="583" customFormat="1" ht="15" spans="2:12">
      <c r="B328" s="591"/>
      <c r="C328" s="719"/>
      <c r="D328" s="701" t="s">
        <v>118</v>
      </c>
      <c r="E328" s="720"/>
      <c r="F328" s="664" t="s">
        <v>261</v>
      </c>
      <c r="G328" s="721"/>
      <c r="H328" s="722"/>
      <c r="I328" s="733">
        <v>0</v>
      </c>
      <c r="J328" s="594" t="s">
        <v>78</v>
      </c>
      <c r="K328" s="722"/>
      <c r="L328" s="734"/>
    </row>
    <row r="329" s="583" customFormat="1" ht="15" spans="2:12">
      <c r="B329" s="591"/>
      <c r="C329" s="719"/>
      <c r="D329" s="701" t="s">
        <v>119</v>
      </c>
      <c r="E329" s="720"/>
      <c r="F329" s="664" t="s">
        <v>261</v>
      </c>
      <c r="G329" s="721"/>
      <c r="H329" s="722"/>
      <c r="I329" s="733">
        <v>0.003</v>
      </c>
      <c r="J329" s="594" t="s">
        <v>78</v>
      </c>
      <c r="K329" s="722"/>
      <c r="L329" s="734"/>
    </row>
    <row r="330" s="583" customFormat="1" ht="15" spans="2:12">
      <c r="B330" s="591"/>
      <c r="C330" s="719"/>
      <c r="D330" s="701" t="s">
        <v>120</v>
      </c>
      <c r="E330" s="720"/>
      <c r="F330" s="664" t="s">
        <v>261</v>
      </c>
      <c r="G330" s="721"/>
      <c r="H330" s="722"/>
      <c r="I330" s="733">
        <v>0.003</v>
      </c>
      <c r="J330" s="594" t="s">
        <v>78</v>
      </c>
      <c r="K330" s="722"/>
      <c r="L330" s="734"/>
    </row>
    <row r="331" s="583" customFormat="1" ht="15" spans="2:12">
      <c r="B331" s="591"/>
      <c r="C331" s="719"/>
      <c r="D331" s="701" t="s">
        <v>121</v>
      </c>
      <c r="E331" s="720"/>
      <c r="F331" s="664" t="s">
        <v>261</v>
      </c>
      <c r="G331" s="721"/>
      <c r="H331" s="722"/>
      <c r="I331" s="733">
        <v>0.003</v>
      </c>
      <c r="J331" s="594" t="s">
        <v>78</v>
      </c>
      <c r="K331" s="722"/>
      <c r="L331" s="734"/>
    </row>
    <row r="332" s="583" customFormat="1" ht="15" spans="2:12">
      <c r="B332" s="591"/>
      <c r="C332" s="719"/>
      <c r="D332" s="701" t="s">
        <v>122</v>
      </c>
      <c r="E332" s="720"/>
      <c r="F332" s="664" t="s">
        <v>261</v>
      </c>
      <c r="G332" s="721"/>
      <c r="H332" s="722"/>
      <c r="I332" s="733">
        <v>0.003</v>
      </c>
      <c r="J332" s="594" t="s">
        <v>78</v>
      </c>
      <c r="K332" s="722"/>
      <c r="L332" s="734"/>
    </row>
    <row r="333" s="583" customFormat="1" ht="15" spans="2:12">
      <c r="B333" s="591"/>
      <c r="C333" s="719"/>
      <c r="D333" s="701" t="s">
        <v>123</v>
      </c>
      <c r="E333" s="720"/>
      <c r="F333" s="664" t="s">
        <v>261</v>
      </c>
      <c r="G333" s="721"/>
      <c r="H333" s="722"/>
      <c r="I333" s="733">
        <v>0.003</v>
      </c>
      <c r="J333" s="594" t="s">
        <v>78</v>
      </c>
      <c r="K333" s="722"/>
      <c r="L333" s="734"/>
    </row>
    <row r="334" s="583" customFormat="1" ht="15" spans="2:12">
      <c r="B334" s="591"/>
      <c r="C334" s="719"/>
      <c r="D334" s="701" t="s">
        <v>124</v>
      </c>
      <c r="E334" s="720"/>
      <c r="F334" s="664" t="s">
        <v>261</v>
      </c>
      <c r="G334" s="721"/>
      <c r="H334" s="722"/>
      <c r="I334" s="733">
        <v>0.004</v>
      </c>
      <c r="J334" s="594" t="s">
        <v>78</v>
      </c>
      <c r="K334" s="722"/>
      <c r="L334" s="734"/>
    </row>
    <row r="335" s="583" customFormat="1" ht="15" spans="2:12">
      <c r="B335" s="591"/>
      <c r="C335" s="719"/>
      <c r="D335" s="701" t="s">
        <v>125</v>
      </c>
      <c r="E335" s="720"/>
      <c r="F335" s="664" t="s">
        <v>261</v>
      </c>
      <c r="G335" s="721"/>
      <c r="H335" s="722"/>
      <c r="I335" s="733">
        <v>0.004</v>
      </c>
      <c r="J335" s="594" t="s">
        <v>78</v>
      </c>
      <c r="K335" s="722"/>
      <c r="L335" s="734"/>
    </row>
    <row r="336" s="583" customFormat="1" ht="15" spans="2:12">
      <c r="B336" s="591"/>
      <c r="C336" s="719"/>
      <c r="D336" s="701" t="s">
        <v>126</v>
      </c>
      <c r="E336" s="720"/>
      <c r="F336" s="664" t="s">
        <v>261</v>
      </c>
      <c r="G336" s="721"/>
      <c r="H336" s="722"/>
      <c r="I336" s="733">
        <v>0.004</v>
      </c>
      <c r="J336" s="594" t="s">
        <v>78</v>
      </c>
      <c r="K336" s="722"/>
      <c r="L336" s="734"/>
    </row>
    <row r="337" s="583" customFormat="1" ht="15" spans="2:12">
      <c r="B337" s="591"/>
      <c r="C337" s="719"/>
      <c r="D337" s="701" t="s">
        <v>127</v>
      </c>
      <c r="E337" s="720"/>
      <c r="F337" s="664" t="s">
        <v>261</v>
      </c>
      <c r="G337" s="721"/>
      <c r="H337" s="722"/>
      <c r="I337" s="733">
        <v>0.004</v>
      </c>
      <c r="J337" s="594" t="s">
        <v>78</v>
      </c>
      <c r="K337" s="722"/>
      <c r="L337" s="734"/>
    </row>
    <row r="338" s="583" customFormat="1" ht="15" spans="2:12">
      <c r="B338" s="591"/>
      <c r="C338" s="719"/>
      <c r="D338" s="701" t="s">
        <v>128</v>
      </c>
      <c r="E338" s="720"/>
      <c r="F338" s="664" t="s">
        <v>261</v>
      </c>
      <c r="G338" s="721"/>
      <c r="H338" s="722"/>
      <c r="I338" s="733">
        <v>0.004</v>
      </c>
      <c r="J338" s="594" t="s">
        <v>78</v>
      </c>
      <c r="K338" s="722"/>
      <c r="L338" s="734"/>
    </row>
    <row r="339" s="583" customFormat="1" ht="15" spans="2:12">
      <c r="B339" s="591"/>
      <c r="C339" s="719"/>
      <c r="D339" s="701" t="s">
        <v>129</v>
      </c>
      <c r="E339" s="720"/>
      <c r="F339" s="664" t="s">
        <v>261</v>
      </c>
      <c r="G339" s="721"/>
      <c r="H339" s="722"/>
      <c r="I339" s="733">
        <v>0.005</v>
      </c>
      <c r="J339" s="594" t="s">
        <v>78</v>
      </c>
      <c r="K339" s="722"/>
      <c r="L339" s="734"/>
    </row>
    <row r="340" s="583" customFormat="1" ht="15" spans="2:12">
      <c r="B340" s="591"/>
      <c r="C340" s="719"/>
      <c r="D340" s="701" t="s">
        <v>130</v>
      </c>
      <c r="E340" s="720"/>
      <c r="F340" s="664" t="s">
        <v>261</v>
      </c>
      <c r="G340" s="721"/>
      <c r="H340" s="722"/>
      <c r="I340" s="733">
        <v>0.005</v>
      </c>
      <c r="J340" s="594" t="s">
        <v>78</v>
      </c>
      <c r="K340" s="722"/>
      <c r="L340" s="734"/>
    </row>
    <row r="341" s="583" customFormat="1" ht="15" spans="2:12">
      <c r="B341" s="591"/>
      <c r="C341" s="719"/>
      <c r="D341" s="701" t="s">
        <v>131</v>
      </c>
      <c r="E341" s="720"/>
      <c r="F341" s="664" t="s">
        <v>261</v>
      </c>
      <c r="G341" s="721"/>
      <c r="H341" s="722"/>
      <c r="I341" s="733">
        <v>0.005</v>
      </c>
      <c r="J341" s="594" t="s">
        <v>78</v>
      </c>
      <c r="K341" s="722"/>
      <c r="L341" s="734"/>
    </row>
    <row r="342" s="583" customFormat="1" ht="15" spans="2:12">
      <c r="B342" s="591"/>
      <c r="C342" s="719"/>
      <c r="D342" s="701" t="s">
        <v>132</v>
      </c>
      <c r="E342" s="720"/>
      <c r="F342" s="664" t="s">
        <v>261</v>
      </c>
      <c r="G342" s="721"/>
      <c r="H342" s="722"/>
      <c r="I342" s="733">
        <v>0.005</v>
      </c>
      <c r="J342" s="594" t="s">
        <v>78</v>
      </c>
      <c r="K342" s="722"/>
      <c r="L342" s="734"/>
    </row>
    <row r="343" s="583" customFormat="1" ht="15" spans="2:12">
      <c r="B343" s="591"/>
      <c r="C343" s="719"/>
      <c r="D343" s="701" t="s">
        <v>133</v>
      </c>
      <c r="E343" s="720"/>
      <c r="F343" s="664" t="s">
        <v>261</v>
      </c>
      <c r="G343" s="721"/>
      <c r="H343" s="722"/>
      <c r="I343" s="733">
        <v>0.005</v>
      </c>
      <c r="J343" s="594" t="s">
        <v>78</v>
      </c>
      <c r="K343" s="722"/>
      <c r="L343" s="734"/>
    </row>
    <row r="344" s="583" customFormat="1" ht="15" spans="2:12">
      <c r="B344" s="591"/>
      <c r="C344" s="719"/>
      <c r="D344" s="701" t="s">
        <v>134</v>
      </c>
      <c r="E344" s="720"/>
      <c r="F344" s="664" t="s">
        <v>261</v>
      </c>
      <c r="G344" s="721"/>
      <c r="H344" s="722"/>
      <c r="I344" s="733">
        <v>0.006</v>
      </c>
      <c r="J344" s="594" t="s">
        <v>78</v>
      </c>
      <c r="K344" s="722"/>
      <c r="L344" s="734"/>
    </row>
    <row r="345" s="583" customFormat="1" ht="15" spans="2:12">
      <c r="B345" s="591"/>
      <c r="C345" s="719"/>
      <c r="D345" s="701" t="s">
        <v>135</v>
      </c>
      <c r="E345" s="720"/>
      <c r="F345" s="664" t="s">
        <v>261</v>
      </c>
      <c r="G345" s="721"/>
      <c r="H345" s="722"/>
      <c r="I345" s="733">
        <v>0.006</v>
      </c>
      <c r="J345" s="594" t="s">
        <v>78</v>
      </c>
      <c r="K345" s="722"/>
      <c r="L345" s="734"/>
    </row>
    <row r="346" s="583" customFormat="1" ht="15" spans="2:12">
      <c r="B346" s="591"/>
      <c r="C346" s="719"/>
      <c r="D346" s="701" t="s">
        <v>136</v>
      </c>
      <c r="E346" s="720"/>
      <c r="F346" s="664" t="s">
        <v>261</v>
      </c>
      <c r="G346" s="721"/>
      <c r="H346" s="722"/>
      <c r="I346" s="733">
        <v>0.006</v>
      </c>
      <c r="J346" s="594" t="s">
        <v>78</v>
      </c>
      <c r="K346" s="722"/>
      <c r="L346" s="734"/>
    </row>
    <row r="347" s="583" customFormat="1" ht="15" spans="2:12">
      <c r="B347" s="591"/>
      <c r="C347" s="719"/>
      <c r="D347" s="701" t="s">
        <v>137</v>
      </c>
      <c r="E347" s="720"/>
      <c r="F347" s="664" t="s">
        <v>261</v>
      </c>
      <c r="G347" s="721"/>
      <c r="H347" s="722"/>
      <c r="I347" s="733">
        <v>0.006</v>
      </c>
      <c r="J347" s="594" t="s">
        <v>78</v>
      </c>
      <c r="K347" s="722"/>
      <c r="L347" s="734"/>
    </row>
    <row r="348" s="583" customFormat="1" ht="15" spans="2:12">
      <c r="B348" s="591"/>
      <c r="C348" s="719"/>
      <c r="D348" s="701" t="s">
        <v>138</v>
      </c>
      <c r="E348" s="720"/>
      <c r="F348" s="664" t="s">
        <v>261</v>
      </c>
      <c r="G348" s="721"/>
      <c r="H348" s="722"/>
      <c r="I348" s="733">
        <v>0.006</v>
      </c>
      <c r="J348" s="594" t="s">
        <v>78</v>
      </c>
      <c r="K348" s="722"/>
      <c r="L348" s="734"/>
    </row>
    <row r="349" spans="2:12">
      <c r="B349" s="591"/>
      <c r="C349" s="712">
        <v>2.3</v>
      </c>
      <c r="D349" s="718" t="s">
        <v>21</v>
      </c>
      <c r="E349" s="596" t="s">
        <v>91</v>
      </c>
      <c r="F349" s="595"/>
      <c r="G349" s="596"/>
      <c r="H349" s="597" t="s">
        <v>253</v>
      </c>
      <c r="I349" s="644">
        <v>0</v>
      </c>
      <c r="J349" s="596" t="s">
        <v>78</v>
      </c>
      <c r="K349" s="597"/>
      <c r="L349" s="623"/>
    </row>
    <row r="350" ht="52.8" customHeight="1" spans="2:12">
      <c r="B350" s="591"/>
      <c r="C350" s="612">
        <v>3</v>
      </c>
      <c r="D350" s="692" t="s">
        <v>262</v>
      </c>
      <c r="E350" s="599" t="s">
        <v>244</v>
      </c>
      <c r="F350" s="699" t="s">
        <v>255</v>
      </c>
      <c r="G350" s="711" t="s">
        <v>263</v>
      </c>
      <c r="H350" s="597"/>
      <c r="I350" s="637"/>
      <c r="J350" s="596"/>
      <c r="K350" s="597" t="s">
        <v>264</v>
      </c>
      <c r="L350" s="623"/>
    </row>
    <row r="351" ht="25.5" customHeight="1" spans="2:12">
      <c r="B351" s="591"/>
      <c r="C351" s="712">
        <v>3.1</v>
      </c>
      <c r="D351" s="697" t="s">
        <v>265</v>
      </c>
      <c r="E351" s="596" t="s">
        <v>91</v>
      </c>
      <c r="F351" s="699" t="s">
        <v>258</v>
      </c>
      <c r="G351" s="700"/>
      <c r="H351" s="723" t="s">
        <v>259</v>
      </c>
      <c r="I351" s="735">
        <f>I144+'表10-资产负债表(标准格式)'!H43</f>
        <v>175255.19572</v>
      </c>
      <c r="J351" s="596" t="s">
        <v>212</v>
      </c>
      <c r="K351" s="729"/>
      <c r="L351" s="623"/>
    </row>
    <row r="352" customFormat="1" ht="25.5" customHeight="1" spans="2:12">
      <c r="B352" s="660"/>
      <c r="C352" s="712">
        <v>3.2</v>
      </c>
      <c r="D352" s="697" t="s">
        <v>266</v>
      </c>
      <c r="E352" s="596"/>
      <c r="F352" s="699"/>
      <c r="G352" s="700"/>
      <c r="H352" s="724"/>
      <c r="I352" s="732"/>
      <c r="J352" s="596"/>
      <c r="K352" s="729"/>
      <c r="L352" s="623"/>
    </row>
    <row r="353" s="583" customFormat="1" ht="15.5" spans="2:12">
      <c r="B353" s="591"/>
      <c r="C353" s="719"/>
      <c r="D353" s="701" t="s">
        <v>112</v>
      </c>
      <c r="E353" s="720"/>
      <c r="F353" s="713" t="s">
        <v>261</v>
      </c>
      <c r="G353" s="725"/>
      <c r="H353" s="726"/>
      <c r="I353" s="736">
        <v>0</v>
      </c>
      <c r="J353" s="596" t="s">
        <v>78</v>
      </c>
      <c r="K353" s="726"/>
      <c r="L353" s="734"/>
    </row>
    <row r="354" s="583" customFormat="1" ht="15.5" spans="2:12">
      <c r="B354" s="591"/>
      <c r="C354" s="719"/>
      <c r="D354" s="701" t="s">
        <v>113</v>
      </c>
      <c r="E354" s="720"/>
      <c r="F354" s="713" t="s">
        <v>261</v>
      </c>
      <c r="G354" s="725"/>
      <c r="H354" s="726"/>
      <c r="I354" s="736">
        <v>0</v>
      </c>
      <c r="J354" s="596" t="s">
        <v>78</v>
      </c>
      <c r="K354" s="726"/>
      <c r="L354" s="734"/>
    </row>
    <row r="355" s="583" customFormat="1" ht="15.5" spans="2:12">
      <c r="B355" s="591"/>
      <c r="C355" s="719"/>
      <c r="D355" s="701" t="s">
        <v>114</v>
      </c>
      <c r="E355" s="720"/>
      <c r="F355" s="713" t="s">
        <v>261</v>
      </c>
      <c r="G355" s="725"/>
      <c r="H355" s="726"/>
      <c r="I355" s="737">
        <v>0.00011</v>
      </c>
      <c r="J355" s="596" t="s">
        <v>78</v>
      </c>
      <c r="K355" s="726"/>
      <c r="L355" s="734"/>
    </row>
    <row r="356" s="583" customFormat="1" ht="15.5" spans="2:12">
      <c r="B356" s="591"/>
      <c r="C356" s="719"/>
      <c r="D356" s="701" t="s">
        <v>115</v>
      </c>
      <c r="E356" s="720"/>
      <c r="F356" s="713" t="s">
        <v>261</v>
      </c>
      <c r="G356" s="725"/>
      <c r="H356" s="726"/>
      <c r="I356" s="737">
        <v>0.00011</v>
      </c>
      <c r="J356" s="596" t="s">
        <v>78</v>
      </c>
      <c r="K356" s="726"/>
      <c r="L356" s="734"/>
    </row>
    <row r="357" s="583" customFormat="1" ht="15.5" spans="2:12">
      <c r="B357" s="591"/>
      <c r="C357" s="719"/>
      <c r="D357" s="701" t="s">
        <v>116</v>
      </c>
      <c r="E357" s="720"/>
      <c r="F357" s="713" t="s">
        <v>261</v>
      </c>
      <c r="G357" s="725"/>
      <c r="H357" s="726"/>
      <c r="I357" s="737">
        <v>0.00011</v>
      </c>
      <c r="J357" s="596" t="s">
        <v>78</v>
      </c>
      <c r="K357" s="726"/>
      <c r="L357" s="734"/>
    </row>
    <row r="358" s="583" customFormat="1" ht="15.5" spans="2:12">
      <c r="B358" s="591"/>
      <c r="C358" s="719"/>
      <c r="D358" s="701" t="s">
        <v>117</v>
      </c>
      <c r="E358" s="720"/>
      <c r="F358" s="713" t="s">
        <v>261</v>
      </c>
      <c r="G358" s="725"/>
      <c r="H358" s="726"/>
      <c r="I358" s="737">
        <v>0.00011</v>
      </c>
      <c r="J358" s="596" t="s">
        <v>78</v>
      </c>
      <c r="K358" s="726"/>
      <c r="L358" s="734"/>
    </row>
    <row r="359" s="583" customFormat="1" ht="15.5" spans="2:12">
      <c r="B359" s="591"/>
      <c r="C359" s="719"/>
      <c r="D359" s="701" t="s">
        <v>118</v>
      </c>
      <c r="E359" s="720"/>
      <c r="F359" s="713" t="s">
        <v>261</v>
      </c>
      <c r="G359" s="725"/>
      <c r="H359" s="726"/>
      <c r="I359" s="737">
        <v>0.00011</v>
      </c>
      <c r="J359" s="596" t="s">
        <v>78</v>
      </c>
      <c r="K359" s="726"/>
      <c r="L359" s="734"/>
    </row>
    <row r="360" s="583" customFormat="1" ht="15.5" spans="2:12">
      <c r="B360" s="591"/>
      <c r="C360" s="719"/>
      <c r="D360" s="701" t="s">
        <v>119</v>
      </c>
      <c r="E360" s="720"/>
      <c r="F360" s="713" t="s">
        <v>261</v>
      </c>
      <c r="G360" s="725"/>
      <c r="H360" s="726"/>
      <c r="I360" s="737">
        <v>0.00031</v>
      </c>
      <c r="J360" s="596" t="s">
        <v>78</v>
      </c>
      <c r="K360" s="726"/>
      <c r="L360" s="734"/>
    </row>
    <row r="361" s="583" customFormat="1" ht="15.5" spans="2:12">
      <c r="B361" s="591"/>
      <c r="C361" s="719"/>
      <c r="D361" s="701" t="s">
        <v>120</v>
      </c>
      <c r="E361" s="720"/>
      <c r="F361" s="713" t="s">
        <v>261</v>
      </c>
      <c r="G361" s="725"/>
      <c r="H361" s="726"/>
      <c r="I361" s="737">
        <v>0.00031</v>
      </c>
      <c r="J361" s="596" t="s">
        <v>78</v>
      </c>
      <c r="K361" s="726"/>
      <c r="L361" s="734"/>
    </row>
    <row r="362" s="583" customFormat="1" ht="15.5" spans="2:12">
      <c r="B362" s="591"/>
      <c r="C362" s="719"/>
      <c r="D362" s="701" t="s">
        <v>121</v>
      </c>
      <c r="E362" s="720"/>
      <c r="F362" s="713" t="s">
        <v>261</v>
      </c>
      <c r="G362" s="725"/>
      <c r="H362" s="726"/>
      <c r="I362" s="737">
        <v>0.00031</v>
      </c>
      <c r="J362" s="596" t="s">
        <v>78</v>
      </c>
      <c r="K362" s="726"/>
      <c r="L362" s="734"/>
    </row>
    <row r="363" s="583" customFormat="1" ht="15.5" spans="2:12">
      <c r="B363" s="591"/>
      <c r="C363" s="719"/>
      <c r="D363" s="701" t="s">
        <v>122</v>
      </c>
      <c r="E363" s="720"/>
      <c r="F363" s="713" t="s">
        <v>261</v>
      </c>
      <c r="G363" s="725"/>
      <c r="H363" s="726"/>
      <c r="I363" s="737">
        <v>0.00031</v>
      </c>
      <c r="J363" s="596" t="s">
        <v>78</v>
      </c>
      <c r="K363" s="726"/>
      <c r="L363" s="734"/>
    </row>
    <row r="364" s="583" customFormat="1" ht="15.5" spans="2:12">
      <c r="B364" s="591"/>
      <c r="C364" s="719"/>
      <c r="D364" s="701" t="s">
        <v>123</v>
      </c>
      <c r="E364" s="720"/>
      <c r="F364" s="713" t="s">
        <v>261</v>
      </c>
      <c r="G364" s="725"/>
      <c r="H364" s="726"/>
      <c r="I364" s="737">
        <v>0.00031</v>
      </c>
      <c r="J364" s="596" t="s">
        <v>78</v>
      </c>
      <c r="K364" s="726"/>
      <c r="L364" s="734"/>
    </row>
    <row r="365" s="583" customFormat="1" ht="15.5" spans="2:12">
      <c r="B365" s="591"/>
      <c r="C365" s="719"/>
      <c r="D365" s="701" t="s">
        <v>124</v>
      </c>
      <c r="E365" s="720"/>
      <c r="F365" s="713" t="s">
        <v>261</v>
      </c>
      <c r="G365" s="725"/>
      <c r="H365" s="726"/>
      <c r="I365" s="737">
        <v>0.00031</v>
      </c>
      <c r="J365" s="596" t="s">
        <v>78</v>
      </c>
      <c r="K365" s="726"/>
      <c r="L365" s="734"/>
    </row>
    <row r="366" s="583" customFormat="1" ht="15.5" spans="2:12">
      <c r="B366" s="591"/>
      <c r="C366" s="719"/>
      <c r="D366" s="701" t="s">
        <v>125</v>
      </c>
      <c r="E366" s="720"/>
      <c r="F366" s="713" t="s">
        <v>261</v>
      </c>
      <c r="G366" s="725"/>
      <c r="H366" s="726"/>
      <c r="I366" s="737">
        <v>0.00031</v>
      </c>
      <c r="J366" s="596" t="s">
        <v>78</v>
      </c>
      <c r="K366" s="726"/>
      <c r="L366" s="734"/>
    </row>
    <row r="367" s="583" customFormat="1" ht="15.5" spans="2:12">
      <c r="B367" s="591"/>
      <c r="C367" s="719"/>
      <c r="D367" s="701" t="s">
        <v>126</v>
      </c>
      <c r="E367" s="720"/>
      <c r="F367" s="713" t="s">
        <v>261</v>
      </c>
      <c r="G367" s="725"/>
      <c r="H367" s="726"/>
      <c r="I367" s="737">
        <v>0.00031</v>
      </c>
      <c r="J367" s="596" t="s">
        <v>78</v>
      </c>
      <c r="K367" s="726"/>
      <c r="L367" s="734"/>
    </row>
    <row r="368" s="583" customFormat="1" ht="15.5" spans="2:12">
      <c r="B368" s="591"/>
      <c r="C368" s="719"/>
      <c r="D368" s="701" t="s">
        <v>127</v>
      </c>
      <c r="E368" s="720"/>
      <c r="F368" s="713" t="s">
        <v>261</v>
      </c>
      <c r="G368" s="725"/>
      <c r="H368" s="726"/>
      <c r="I368" s="737">
        <v>0.00031</v>
      </c>
      <c r="J368" s="596" t="s">
        <v>78</v>
      </c>
      <c r="K368" s="726"/>
      <c r="L368" s="734"/>
    </row>
    <row r="369" s="583" customFormat="1" ht="15.5" spans="2:12">
      <c r="B369" s="591"/>
      <c r="C369" s="719"/>
      <c r="D369" s="701" t="s">
        <v>128</v>
      </c>
      <c r="E369" s="720"/>
      <c r="F369" s="713" t="s">
        <v>261</v>
      </c>
      <c r="G369" s="725"/>
      <c r="H369" s="726"/>
      <c r="I369" s="737">
        <v>0.00031</v>
      </c>
      <c r="J369" s="596" t="s">
        <v>78</v>
      </c>
      <c r="K369" s="726"/>
      <c r="L369" s="734"/>
    </row>
    <row r="370" s="583" customFormat="1" ht="15.5" spans="2:12">
      <c r="B370" s="591"/>
      <c r="C370" s="719"/>
      <c r="D370" s="701" t="s">
        <v>129</v>
      </c>
      <c r="E370" s="720"/>
      <c r="F370" s="713" t="s">
        <v>261</v>
      </c>
      <c r="G370" s="725"/>
      <c r="H370" s="726"/>
      <c r="I370" s="737">
        <v>0.00031</v>
      </c>
      <c r="J370" s="596" t="s">
        <v>78</v>
      </c>
      <c r="K370" s="726"/>
      <c r="L370" s="734"/>
    </row>
    <row r="371" s="583" customFormat="1" ht="15.5" spans="2:12">
      <c r="B371" s="591"/>
      <c r="C371" s="719"/>
      <c r="D371" s="701" t="s">
        <v>130</v>
      </c>
      <c r="E371" s="720"/>
      <c r="F371" s="713" t="s">
        <v>261</v>
      </c>
      <c r="G371" s="725"/>
      <c r="H371" s="726"/>
      <c r="I371" s="737">
        <v>0.00031</v>
      </c>
      <c r="J371" s="596" t="s">
        <v>78</v>
      </c>
      <c r="K371" s="726"/>
      <c r="L371" s="734"/>
    </row>
    <row r="372" s="583" customFormat="1" ht="15.5" spans="2:12">
      <c r="B372" s="591"/>
      <c r="C372" s="719"/>
      <c r="D372" s="701" t="s">
        <v>131</v>
      </c>
      <c r="E372" s="720"/>
      <c r="F372" s="713" t="s">
        <v>261</v>
      </c>
      <c r="G372" s="725"/>
      <c r="H372" s="726"/>
      <c r="I372" s="737">
        <v>0.00031</v>
      </c>
      <c r="J372" s="596" t="s">
        <v>78</v>
      </c>
      <c r="K372" s="726"/>
      <c r="L372" s="734"/>
    </row>
    <row r="373" s="583" customFormat="1" ht="15.5" spans="2:12">
      <c r="B373" s="591"/>
      <c r="C373" s="719"/>
      <c r="D373" s="701" t="s">
        <v>132</v>
      </c>
      <c r="E373" s="720"/>
      <c r="F373" s="713" t="s">
        <v>261</v>
      </c>
      <c r="G373" s="725"/>
      <c r="H373" s="726"/>
      <c r="I373" s="737">
        <v>0.00031</v>
      </c>
      <c r="J373" s="596" t="s">
        <v>78</v>
      </c>
      <c r="K373" s="726"/>
      <c r="L373" s="734"/>
    </row>
    <row r="374" s="583" customFormat="1" ht="15.5" spans="2:12">
      <c r="B374" s="591"/>
      <c r="C374" s="719"/>
      <c r="D374" s="701" t="s">
        <v>133</v>
      </c>
      <c r="E374" s="720"/>
      <c r="F374" s="713" t="s">
        <v>261</v>
      </c>
      <c r="G374" s="725"/>
      <c r="H374" s="726"/>
      <c r="I374" s="737">
        <v>0.00031</v>
      </c>
      <c r="J374" s="596" t="s">
        <v>78</v>
      </c>
      <c r="K374" s="726"/>
      <c r="L374" s="734"/>
    </row>
    <row r="375" s="583" customFormat="1" ht="15.5" spans="2:12">
      <c r="B375" s="591"/>
      <c r="C375" s="719"/>
      <c r="D375" s="701" t="s">
        <v>134</v>
      </c>
      <c r="E375" s="720"/>
      <c r="F375" s="713" t="s">
        <v>261</v>
      </c>
      <c r="G375" s="725"/>
      <c r="H375" s="726"/>
      <c r="I375" s="737">
        <v>0.00031</v>
      </c>
      <c r="J375" s="596" t="s">
        <v>78</v>
      </c>
      <c r="K375" s="726"/>
      <c r="L375" s="734"/>
    </row>
    <row r="376" s="583" customFormat="1" ht="15.5" spans="2:12">
      <c r="B376" s="591"/>
      <c r="C376" s="719"/>
      <c r="D376" s="701" t="s">
        <v>135</v>
      </c>
      <c r="E376" s="720"/>
      <c r="F376" s="713" t="s">
        <v>261</v>
      </c>
      <c r="G376" s="725"/>
      <c r="H376" s="726"/>
      <c r="I376" s="737">
        <v>0.00031</v>
      </c>
      <c r="J376" s="596" t="s">
        <v>78</v>
      </c>
      <c r="K376" s="726"/>
      <c r="L376" s="734"/>
    </row>
    <row r="377" s="583" customFormat="1" ht="15.5" spans="2:12">
      <c r="B377" s="591"/>
      <c r="C377" s="719"/>
      <c r="D377" s="701" t="s">
        <v>136</v>
      </c>
      <c r="E377" s="720"/>
      <c r="F377" s="713" t="s">
        <v>261</v>
      </c>
      <c r="G377" s="725"/>
      <c r="H377" s="726"/>
      <c r="I377" s="737">
        <v>0.00031</v>
      </c>
      <c r="J377" s="596" t="s">
        <v>78</v>
      </c>
      <c r="K377" s="726"/>
      <c r="L377" s="734"/>
    </row>
    <row r="378" s="583" customFormat="1" ht="15.5" spans="2:12">
      <c r="B378" s="591"/>
      <c r="C378" s="719"/>
      <c r="D378" s="701" t="s">
        <v>137</v>
      </c>
      <c r="E378" s="720"/>
      <c r="F378" s="713" t="s">
        <v>261</v>
      </c>
      <c r="G378" s="725"/>
      <c r="H378" s="726"/>
      <c r="I378" s="737">
        <v>0.00031</v>
      </c>
      <c r="J378" s="596" t="s">
        <v>78</v>
      </c>
      <c r="K378" s="726"/>
      <c r="L378" s="734"/>
    </row>
    <row r="379" s="583" customFormat="1" ht="15.5" spans="2:12">
      <c r="B379" s="591"/>
      <c r="C379" s="719"/>
      <c r="D379" s="701" t="s">
        <v>138</v>
      </c>
      <c r="E379" s="720"/>
      <c r="F379" s="713" t="s">
        <v>261</v>
      </c>
      <c r="G379" s="725"/>
      <c r="H379" s="726"/>
      <c r="I379" s="737">
        <v>0.00031</v>
      </c>
      <c r="J379" s="596" t="s">
        <v>78</v>
      </c>
      <c r="K379" s="726"/>
      <c r="L379" s="734"/>
    </row>
    <row r="380" spans="2:12">
      <c r="B380" s="591"/>
      <c r="C380" s="727">
        <v>3.2</v>
      </c>
      <c r="D380" s="718" t="s">
        <v>21</v>
      </c>
      <c r="E380" s="596" t="s">
        <v>91</v>
      </c>
      <c r="F380" s="595"/>
      <c r="G380" s="596"/>
      <c r="H380" s="597" t="s">
        <v>253</v>
      </c>
      <c r="I380" s="644">
        <v>0</v>
      </c>
      <c r="J380" s="596" t="s">
        <v>78</v>
      </c>
      <c r="K380" s="729"/>
      <c r="L380" s="623"/>
    </row>
    <row r="381" ht="49.2" customHeight="1" spans="2:12">
      <c r="B381" s="591"/>
      <c r="C381" s="728">
        <v>4</v>
      </c>
      <c r="D381" s="692" t="s">
        <v>267</v>
      </c>
      <c r="E381" s="599" t="s">
        <v>244</v>
      </c>
      <c r="F381" s="699" t="s">
        <v>245</v>
      </c>
      <c r="G381" s="711" t="s">
        <v>246</v>
      </c>
      <c r="H381" s="729"/>
      <c r="I381" s="738"/>
      <c r="J381" s="596"/>
      <c r="K381" s="739"/>
      <c r="L381" s="623"/>
    </row>
    <row r="382" spans="2:12">
      <c r="B382" s="591"/>
      <c r="C382" s="712">
        <v>4.1</v>
      </c>
      <c r="D382" s="730" t="s">
        <v>268</v>
      </c>
      <c r="E382" s="596"/>
      <c r="F382" s="595" t="s">
        <v>269</v>
      </c>
      <c r="G382" s="596"/>
      <c r="H382" s="597"/>
      <c r="I382" s="637"/>
      <c r="J382" s="596"/>
      <c r="K382" s="740"/>
      <c r="L382" s="623"/>
    </row>
    <row r="383" spans="2:12">
      <c r="B383" s="591"/>
      <c r="C383" s="712"/>
      <c r="D383" s="731" t="s">
        <v>270</v>
      </c>
      <c r="E383" s="596" t="s">
        <v>54</v>
      </c>
      <c r="F383" s="664" t="s">
        <v>249</v>
      </c>
      <c r="G383" s="596"/>
      <c r="H383" s="597"/>
      <c r="I383" s="637">
        <v>21</v>
      </c>
      <c r="J383" s="596" t="s">
        <v>271</v>
      </c>
      <c r="K383" s="740"/>
      <c r="L383" s="623"/>
    </row>
    <row r="384" spans="2:12">
      <c r="B384" s="591"/>
      <c r="C384" s="712"/>
      <c r="D384" s="731" t="s">
        <v>272</v>
      </c>
      <c r="E384" s="596" t="s">
        <v>54</v>
      </c>
      <c r="F384" s="664" t="s">
        <v>249</v>
      </c>
      <c r="G384" s="596"/>
      <c r="H384" s="597"/>
      <c r="I384" s="637">
        <v>6</v>
      </c>
      <c r="J384" s="596" t="s">
        <v>271</v>
      </c>
      <c r="K384" s="740"/>
      <c r="L384" s="623"/>
    </row>
    <row r="385" spans="2:12">
      <c r="B385" s="591"/>
      <c r="C385" s="712">
        <v>4.2</v>
      </c>
      <c r="D385" s="730" t="s">
        <v>273</v>
      </c>
      <c r="E385" s="596"/>
      <c r="F385" s="664" t="s">
        <v>251</v>
      </c>
      <c r="G385" s="596"/>
      <c r="H385" s="597"/>
      <c r="I385" s="637"/>
      <c r="J385" s="596" t="s">
        <v>274</v>
      </c>
      <c r="K385" s="740"/>
      <c r="L385" s="623"/>
    </row>
    <row r="386" spans="2:12">
      <c r="B386" s="591"/>
      <c r="C386" s="712"/>
      <c r="D386" s="731" t="s">
        <v>275</v>
      </c>
      <c r="E386" s="596" t="s">
        <v>54</v>
      </c>
      <c r="F386" s="664" t="s">
        <v>251</v>
      </c>
      <c r="G386" s="596"/>
      <c r="H386" s="597"/>
      <c r="I386" s="637">
        <v>16</v>
      </c>
      <c r="J386" s="596" t="s">
        <v>274</v>
      </c>
      <c r="K386" s="740"/>
      <c r="L386" s="623"/>
    </row>
    <row r="387" spans="2:12">
      <c r="B387" s="591"/>
      <c r="C387" s="712"/>
      <c r="D387" s="731" t="s">
        <v>276</v>
      </c>
      <c r="E387" s="596" t="s">
        <v>54</v>
      </c>
      <c r="F387" s="664" t="s">
        <v>251</v>
      </c>
      <c r="G387" s="596"/>
      <c r="H387" s="597"/>
      <c r="I387" s="637">
        <v>8</v>
      </c>
      <c r="J387" s="596" t="s">
        <v>274</v>
      </c>
      <c r="K387" s="740"/>
      <c r="L387" s="623"/>
    </row>
    <row r="388" spans="2:12">
      <c r="B388" s="591"/>
      <c r="C388" s="712">
        <v>4.3</v>
      </c>
      <c r="D388" s="730" t="s">
        <v>277</v>
      </c>
      <c r="E388" s="596" t="s">
        <v>54</v>
      </c>
      <c r="F388" s="664" t="s">
        <v>251</v>
      </c>
      <c r="G388" s="596"/>
      <c r="H388" s="597"/>
      <c r="I388" s="644">
        <v>0.5</v>
      </c>
      <c r="J388" s="596" t="s">
        <v>78</v>
      </c>
      <c r="K388" s="740"/>
      <c r="L388" s="623"/>
    </row>
    <row r="389" spans="2:12">
      <c r="B389" s="591"/>
      <c r="C389" s="712">
        <v>4.4</v>
      </c>
      <c r="D389" s="730" t="s">
        <v>278</v>
      </c>
      <c r="E389" s="596" t="s">
        <v>279</v>
      </c>
      <c r="F389" s="664" t="s">
        <v>251</v>
      </c>
      <c r="G389" s="741"/>
      <c r="H389" s="742"/>
      <c r="I389" s="644">
        <v>0.05</v>
      </c>
      <c r="J389" s="596" t="s">
        <v>78</v>
      </c>
      <c r="K389" s="740"/>
      <c r="L389" s="623"/>
    </row>
    <row r="390" spans="2:12">
      <c r="B390" s="591"/>
      <c r="C390" s="712">
        <v>4.5</v>
      </c>
      <c r="D390" s="718" t="s">
        <v>21</v>
      </c>
      <c r="E390" s="596" t="s">
        <v>91</v>
      </c>
      <c r="F390" s="595"/>
      <c r="G390" s="596"/>
      <c r="H390" s="597" t="s">
        <v>253</v>
      </c>
      <c r="I390" s="644">
        <v>0</v>
      </c>
      <c r="J390" s="596" t="s">
        <v>78</v>
      </c>
      <c r="K390" s="751"/>
      <c r="L390" s="623"/>
    </row>
    <row r="391" ht="67.2" customHeight="1" spans="2:12">
      <c r="B391" s="591"/>
      <c r="C391" s="612">
        <v>5</v>
      </c>
      <c r="D391" s="622" t="s">
        <v>26</v>
      </c>
      <c r="E391" s="599" t="s">
        <v>244</v>
      </c>
      <c r="F391" s="699" t="s">
        <v>245</v>
      </c>
      <c r="G391" s="743" t="s">
        <v>280</v>
      </c>
      <c r="H391" s="597"/>
      <c r="I391" s="637"/>
      <c r="J391" s="636"/>
      <c r="K391" s="597"/>
      <c r="L391" s="623"/>
    </row>
    <row r="392" ht="22.8" customHeight="1" spans="2:12">
      <c r="B392" s="591"/>
      <c r="C392" s="712">
        <v>5.1</v>
      </c>
      <c r="D392" s="613" t="s">
        <v>281</v>
      </c>
      <c r="E392" s="599" t="s">
        <v>143</v>
      </c>
      <c r="F392" s="713" t="s">
        <v>249</v>
      </c>
      <c r="G392" s="714"/>
      <c r="H392" s="597"/>
      <c r="I392" s="652">
        <f>I30</f>
        <v>320</v>
      </c>
      <c r="J392" s="636" t="s">
        <v>101</v>
      </c>
      <c r="K392" s="597"/>
      <c r="L392" s="623"/>
    </row>
    <row r="393" ht="22.2" customHeight="1" spans="2:12">
      <c r="B393" s="591"/>
      <c r="C393" s="712">
        <v>5.2</v>
      </c>
      <c r="D393" s="613" t="s">
        <v>282</v>
      </c>
      <c r="E393" s="596" t="s">
        <v>54</v>
      </c>
      <c r="F393" s="713" t="s">
        <v>251</v>
      </c>
      <c r="G393" s="714"/>
      <c r="H393" s="597"/>
      <c r="I393" s="637">
        <v>1</v>
      </c>
      <c r="J393" s="636" t="s">
        <v>283</v>
      </c>
      <c r="K393" s="597"/>
      <c r="L393" s="623"/>
    </row>
    <row r="394" spans="2:12">
      <c r="B394" s="591"/>
      <c r="C394" s="712">
        <v>5.3</v>
      </c>
      <c r="D394" s="615" t="s">
        <v>21</v>
      </c>
      <c r="E394" s="596" t="s">
        <v>91</v>
      </c>
      <c r="F394" s="595"/>
      <c r="G394" s="596"/>
      <c r="H394" s="597" t="s">
        <v>253</v>
      </c>
      <c r="I394" s="644">
        <v>0</v>
      </c>
      <c r="J394" s="596" t="s">
        <v>78</v>
      </c>
      <c r="K394" s="597"/>
      <c r="L394" s="623"/>
    </row>
    <row r="395" ht="67.05" customHeight="1" spans="2:12">
      <c r="B395" s="591"/>
      <c r="C395" s="612">
        <v>6</v>
      </c>
      <c r="D395" s="622" t="s">
        <v>284</v>
      </c>
      <c r="E395" s="599" t="s">
        <v>244</v>
      </c>
      <c r="F395" s="699" t="s">
        <v>245</v>
      </c>
      <c r="G395" s="743" t="s">
        <v>280</v>
      </c>
      <c r="H395" s="597"/>
      <c r="I395" s="644"/>
      <c r="J395" s="596"/>
      <c r="K395" s="597"/>
      <c r="L395" s="623"/>
    </row>
    <row r="396" spans="2:12">
      <c r="B396" s="591"/>
      <c r="C396" s="712">
        <v>6.1</v>
      </c>
      <c r="D396" s="615" t="s">
        <v>285</v>
      </c>
      <c r="E396" s="599" t="s">
        <v>143</v>
      </c>
      <c r="F396" s="713" t="s">
        <v>249</v>
      </c>
      <c r="G396" s="714"/>
      <c r="H396" s="597"/>
      <c r="I396" s="652">
        <f>I30</f>
        <v>320</v>
      </c>
      <c r="J396" s="636" t="s">
        <v>101</v>
      </c>
      <c r="K396" s="597"/>
      <c r="L396" s="623"/>
    </row>
    <row r="397" spans="2:12">
      <c r="B397" s="591"/>
      <c r="C397" s="712">
        <v>6.2</v>
      </c>
      <c r="D397" s="615" t="s">
        <v>286</v>
      </c>
      <c r="E397" s="596" t="s">
        <v>54</v>
      </c>
      <c r="F397" s="713" t="s">
        <v>251</v>
      </c>
      <c r="G397" s="596"/>
      <c r="H397" s="597"/>
      <c r="I397" s="637">
        <v>23</v>
      </c>
      <c r="J397" s="594" t="s">
        <v>287</v>
      </c>
      <c r="K397" s="597"/>
      <c r="L397" s="623"/>
    </row>
    <row r="398" spans="2:12">
      <c r="B398" s="591"/>
      <c r="C398" s="712">
        <v>6.3</v>
      </c>
      <c r="D398" s="615" t="s">
        <v>21</v>
      </c>
      <c r="E398" s="596" t="s">
        <v>91</v>
      </c>
      <c r="F398" s="699"/>
      <c r="G398" s="596"/>
      <c r="H398" s="597" t="s">
        <v>253</v>
      </c>
      <c r="I398" s="644">
        <v>0</v>
      </c>
      <c r="J398" s="596" t="s">
        <v>78</v>
      </c>
      <c r="K398" s="597"/>
      <c r="L398" s="623"/>
    </row>
    <row r="399" ht="64.95" customHeight="1" spans="2:12">
      <c r="B399" s="591"/>
      <c r="C399" s="612">
        <v>7</v>
      </c>
      <c r="D399" s="622" t="s">
        <v>288</v>
      </c>
      <c r="E399" s="599" t="s">
        <v>244</v>
      </c>
      <c r="F399" s="699"/>
      <c r="G399" s="743" t="s">
        <v>280</v>
      </c>
      <c r="H399" s="597"/>
      <c r="I399" s="637"/>
      <c r="J399" s="596"/>
      <c r="K399" s="597"/>
      <c r="L399" s="623"/>
    </row>
    <row r="400" spans="2:12">
      <c r="B400" s="591"/>
      <c r="C400" s="712">
        <v>7.1</v>
      </c>
      <c r="D400" s="615" t="s">
        <v>289</v>
      </c>
      <c r="E400" s="594" t="s">
        <v>86</v>
      </c>
      <c r="F400" s="713" t="s">
        <v>249</v>
      </c>
      <c r="G400" s="596"/>
      <c r="H400" s="597"/>
      <c r="I400" s="637">
        <v>7500</v>
      </c>
      <c r="J400" s="594" t="s">
        <v>290</v>
      </c>
      <c r="K400" s="597"/>
      <c r="L400" s="623"/>
    </row>
    <row r="401" spans="2:12">
      <c r="B401" s="591"/>
      <c r="C401" s="712">
        <v>7.2</v>
      </c>
      <c r="D401" s="615" t="s">
        <v>291</v>
      </c>
      <c r="E401" s="594"/>
      <c r="F401" s="699"/>
      <c r="G401" s="596"/>
      <c r="H401" s="597"/>
      <c r="I401" s="637"/>
      <c r="J401" s="596"/>
      <c r="K401" s="597"/>
      <c r="L401" s="623"/>
    </row>
    <row r="402" spans="2:12">
      <c r="B402" s="660"/>
      <c r="C402" s="712"/>
      <c r="D402" s="663" t="s">
        <v>112</v>
      </c>
      <c r="E402" s="594" t="s">
        <v>86</v>
      </c>
      <c r="F402" s="713" t="s">
        <v>251</v>
      </c>
      <c r="G402" s="596"/>
      <c r="H402" s="597"/>
      <c r="I402" s="637">
        <v>0</v>
      </c>
      <c r="J402" s="594" t="s">
        <v>292</v>
      </c>
      <c r="K402" s="597"/>
      <c r="L402" s="623"/>
    </row>
    <row r="403" spans="2:12">
      <c r="B403" s="660"/>
      <c r="C403" s="712"/>
      <c r="D403" s="663" t="s">
        <v>113</v>
      </c>
      <c r="E403" s="594" t="s">
        <v>86</v>
      </c>
      <c r="F403" s="713" t="s">
        <v>251</v>
      </c>
      <c r="G403" s="596"/>
      <c r="H403" s="597"/>
      <c r="I403" s="637">
        <v>0</v>
      </c>
      <c r="J403" s="594" t="s">
        <v>292</v>
      </c>
      <c r="K403" s="597"/>
      <c r="L403" s="623"/>
    </row>
    <row r="404" spans="2:12">
      <c r="B404" s="660"/>
      <c r="C404" s="712"/>
      <c r="D404" s="663" t="s">
        <v>114</v>
      </c>
      <c r="E404" s="594" t="s">
        <v>86</v>
      </c>
      <c r="F404" s="713" t="s">
        <v>251</v>
      </c>
      <c r="G404" s="596"/>
      <c r="H404" s="597"/>
      <c r="I404" s="637">
        <v>300</v>
      </c>
      <c r="J404" s="594" t="s">
        <v>292</v>
      </c>
      <c r="K404" s="597"/>
      <c r="L404" s="623"/>
    </row>
    <row r="405" spans="2:12">
      <c r="B405" s="660"/>
      <c r="C405" s="712"/>
      <c r="D405" s="663" t="s">
        <v>115</v>
      </c>
      <c r="E405" s="594" t="s">
        <v>86</v>
      </c>
      <c r="F405" s="713" t="s">
        <v>251</v>
      </c>
      <c r="G405" s="596"/>
      <c r="H405" s="597"/>
      <c r="I405" s="637">
        <v>300</v>
      </c>
      <c r="J405" s="594" t="s">
        <v>292</v>
      </c>
      <c r="K405" s="597"/>
      <c r="L405" s="623"/>
    </row>
    <row r="406" spans="2:12">
      <c r="B406" s="660"/>
      <c r="C406" s="712"/>
      <c r="D406" s="663" t="s">
        <v>116</v>
      </c>
      <c r="E406" s="594" t="s">
        <v>86</v>
      </c>
      <c r="F406" s="713" t="s">
        <v>251</v>
      </c>
      <c r="G406" s="596"/>
      <c r="H406" s="597"/>
      <c r="I406" s="637">
        <v>300</v>
      </c>
      <c r="J406" s="594" t="s">
        <v>292</v>
      </c>
      <c r="K406" s="597"/>
      <c r="L406" s="623"/>
    </row>
    <row r="407" spans="2:12">
      <c r="B407" s="660"/>
      <c r="C407" s="712"/>
      <c r="D407" s="663" t="s">
        <v>117</v>
      </c>
      <c r="E407" s="594" t="s">
        <v>86</v>
      </c>
      <c r="F407" s="713" t="s">
        <v>251</v>
      </c>
      <c r="G407" s="596"/>
      <c r="H407" s="597"/>
      <c r="I407" s="637">
        <v>300</v>
      </c>
      <c r="J407" s="594" t="s">
        <v>292</v>
      </c>
      <c r="K407" s="597"/>
      <c r="L407" s="623"/>
    </row>
    <row r="408" spans="2:12">
      <c r="B408" s="660"/>
      <c r="C408" s="712"/>
      <c r="D408" s="663" t="s">
        <v>118</v>
      </c>
      <c r="E408" s="594" t="s">
        <v>86</v>
      </c>
      <c r="F408" s="713" t="s">
        <v>251</v>
      </c>
      <c r="G408" s="596"/>
      <c r="H408" s="597"/>
      <c r="I408" s="637">
        <v>300</v>
      </c>
      <c r="J408" s="594" t="s">
        <v>292</v>
      </c>
      <c r="K408" s="597"/>
      <c r="L408" s="623"/>
    </row>
    <row r="409" spans="2:12">
      <c r="B409" s="660"/>
      <c r="C409" s="712"/>
      <c r="D409" s="663" t="s">
        <v>119</v>
      </c>
      <c r="E409" s="594" t="s">
        <v>86</v>
      </c>
      <c r="F409" s="713" t="s">
        <v>251</v>
      </c>
      <c r="G409" s="596"/>
      <c r="H409" s="597"/>
      <c r="I409" s="637">
        <v>330</v>
      </c>
      <c r="J409" s="594" t="s">
        <v>292</v>
      </c>
      <c r="K409" s="597"/>
      <c r="L409" s="623"/>
    </row>
    <row r="410" spans="2:12">
      <c r="B410" s="660"/>
      <c r="C410" s="712"/>
      <c r="D410" s="663" t="s">
        <v>120</v>
      </c>
      <c r="E410" s="594" t="s">
        <v>86</v>
      </c>
      <c r="F410" s="713" t="s">
        <v>251</v>
      </c>
      <c r="G410" s="596"/>
      <c r="H410" s="597"/>
      <c r="I410" s="637">
        <v>330</v>
      </c>
      <c r="J410" s="594" t="s">
        <v>292</v>
      </c>
      <c r="K410" s="597"/>
      <c r="L410" s="623"/>
    </row>
    <row r="411" spans="2:12">
      <c r="B411" s="660"/>
      <c r="C411" s="712"/>
      <c r="D411" s="663" t="s">
        <v>121</v>
      </c>
      <c r="E411" s="594" t="s">
        <v>86</v>
      </c>
      <c r="F411" s="713" t="s">
        <v>251</v>
      </c>
      <c r="G411" s="596"/>
      <c r="H411" s="597"/>
      <c r="I411" s="637">
        <v>330</v>
      </c>
      <c r="J411" s="594" t="s">
        <v>292</v>
      </c>
      <c r="K411" s="597"/>
      <c r="L411" s="623"/>
    </row>
    <row r="412" spans="2:12">
      <c r="B412" s="660"/>
      <c r="C412" s="712"/>
      <c r="D412" s="663" t="s">
        <v>122</v>
      </c>
      <c r="E412" s="594" t="s">
        <v>86</v>
      </c>
      <c r="F412" s="713" t="s">
        <v>251</v>
      </c>
      <c r="G412" s="596"/>
      <c r="H412" s="597"/>
      <c r="I412" s="637">
        <v>330</v>
      </c>
      <c r="J412" s="594" t="s">
        <v>292</v>
      </c>
      <c r="K412" s="597"/>
      <c r="L412" s="623"/>
    </row>
    <row r="413" spans="2:12">
      <c r="B413" s="660"/>
      <c r="C413" s="712"/>
      <c r="D413" s="663" t="s">
        <v>123</v>
      </c>
      <c r="E413" s="594" t="s">
        <v>86</v>
      </c>
      <c r="F413" s="713" t="s">
        <v>251</v>
      </c>
      <c r="G413" s="596"/>
      <c r="H413" s="597"/>
      <c r="I413" s="637">
        <v>330</v>
      </c>
      <c r="J413" s="594" t="s">
        <v>292</v>
      </c>
      <c r="K413" s="597"/>
      <c r="L413" s="623"/>
    </row>
    <row r="414" spans="2:12">
      <c r="B414" s="660"/>
      <c r="C414" s="712"/>
      <c r="D414" s="663" t="s">
        <v>124</v>
      </c>
      <c r="E414" s="594" t="s">
        <v>86</v>
      </c>
      <c r="F414" s="713" t="s">
        <v>251</v>
      </c>
      <c r="G414" s="596"/>
      <c r="H414" s="597"/>
      <c r="I414" s="637">
        <v>360</v>
      </c>
      <c r="J414" s="594" t="s">
        <v>292</v>
      </c>
      <c r="K414" s="597"/>
      <c r="L414" s="623"/>
    </row>
    <row r="415" spans="2:12">
      <c r="B415" s="660"/>
      <c r="C415" s="712"/>
      <c r="D415" s="663" t="s">
        <v>125</v>
      </c>
      <c r="E415" s="594" t="s">
        <v>86</v>
      </c>
      <c r="F415" s="713" t="s">
        <v>251</v>
      </c>
      <c r="G415" s="596"/>
      <c r="H415" s="597"/>
      <c r="I415" s="637">
        <v>360</v>
      </c>
      <c r="J415" s="594" t="s">
        <v>292</v>
      </c>
      <c r="K415" s="597"/>
      <c r="L415" s="623"/>
    </row>
    <row r="416" spans="2:12">
      <c r="B416" s="660"/>
      <c r="C416" s="712"/>
      <c r="D416" s="663" t="s">
        <v>126</v>
      </c>
      <c r="E416" s="594" t="s">
        <v>86</v>
      </c>
      <c r="F416" s="713" t="s">
        <v>251</v>
      </c>
      <c r="G416" s="596"/>
      <c r="H416" s="597"/>
      <c r="I416" s="637">
        <v>360</v>
      </c>
      <c r="J416" s="594" t="s">
        <v>292</v>
      </c>
      <c r="K416" s="597"/>
      <c r="L416" s="623"/>
    </row>
    <row r="417" spans="2:12">
      <c r="B417" s="660"/>
      <c r="C417" s="712"/>
      <c r="D417" s="663" t="s">
        <v>127</v>
      </c>
      <c r="E417" s="594" t="s">
        <v>86</v>
      </c>
      <c r="F417" s="713" t="s">
        <v>251</v>
      </c>
      <c r="G417" s="596"/>
      <c r="H417" s="597"/>
      <c r="I417" s="637">
        <v>360</v>
      </c>
      <c r="J417" s="594" t="s">
        <v>292</v>
      </c>
      <c r="K417" s="597"/>
      <c r="L417" s="623"/>
    </row>
    <row r="418" spans="2:12">
      <c r="B418" s="660"/>
      <c r="C418" s="712"/>
      <c r="D418" s="663" t="s">
        <v>128</v>
      </c>
      <c r="E418" s="594" t="s">
        <v>86</v>
      </c>
      <c r="F418" s="713" t="s">
        <v>251</v>
      </c>
      <c r="G418" s="596"/>
      <c r="H418" s="597"/>
      <c r="I418" s="637">
        <v>360</v>
      </c>
      <c r="J418" s="594" t="s">
        <v>292</v>
      </c>
      <c r="K418" s="597"/>
      <c r="L418" s="623"/>
    </row>
    <row r="419" spans="2:12">
      <c r="B419" s="660"/>
      <c r="C419" s="712"/>
      <c r="D419" s="663" t="s">
        <v>129</v>
      </c>
      <c r="E419" s="594" t="s">
        <v>86</v>
      </c>
      <c r="F419" s="713" t="s">
        <v>251</v>
      </c>
      <c r="G419" s="596"/>
      <c r="H419" s="597"/>
      <c r="I419" s="637">
        <v>390</v>
      </c>
      <c r="J419" s="594" t="s">
        <v>292</v>
      </c>
      <c r="K419" s="597"/>
      <c r="L419" s="623"/>
    </row>
    <row r="420" spans="2:12">
      <c r="B420" s="660"/>
      <c r="C420" s="712"/>
      <c r="D420" s="663" t="s">
        <v>130</v>
      </c>
      <c r="E420" s="594" t="s">
        <v>86</v>
      </c>
      <c r="F420" s="713" t="s">
        <v>251</v>
      </c>
      <c r="G420" s="596"/>
      <c r="H420" s="597"/>
      <c r="I420" s="637">
        <v>390</v>
      </c>
      <c r="J420" s="594" t="s">
        <v>292</v>
      </c>
      <c r="K420" s="597"/>
      <c r="L420" s="623"/>
    </row>
    <row r="421" spans="2:12">
      <c r="B421" s="660"/>
      <c r="C421" s="712"/>
      <c r="D421" s="663" t="s">
        <v>131</v>
      </c>
      <c r="E421" s="594" t="s">
        <v>86</v>
      </c>
      <c r="F421" s="713" t="s">
        <v>251</v>
      </c>
      <c r="G421" s="596"/>
      <c r="H421" s="597"/>
      <c r="I421" s="637">
        <v>390</v>
      </c>
      <c r="J421" s="594" t="s">
        <v>292</v>
      </c>
      <c r="K421" s="597"/>
      <c r="L421" s="623"/>
    </row>
    <row r="422" spans="2:12">
      <c r="B422" s="660"/>
      <c r="C422" s="712"/>
      <c r="D422" s="663" t="s">
        <v>132</v>
      </c>
      <c r="E422" s="594" t="s">
        <v>86</v>
      </c>
      <c r="F422" s="713" t="s">
        <v>251</v>
      </c>
      <c r="G422" s="596"/>
      <c r="H422" s="597"/>
      <c r="I422" s="637">
        <v>390</v>
      </c>
      <c r="J422" s="594" t="s">
        <v>292</v>
      </c>
      <c r="K422" s="597"/>
      <c r="L422" s="623"/>
    </row>
    <row r="423" spans="2:12">
      <c r="B423" s="660"/>
      <c r="C423" s="712"/>
      <c r="D423" s="663" t="s">
        <v>133</v>
      </c>
      <c r="E423" s="594" t="s">
        <v>86</v>
      </c>
      <c r="F423" s="713" t="s">
        <v>251</v>
      </c>
      <c r="G423" s="596"/>
      <c r="H423" s="597"/>
      <c r="I423" s="637">
        <v>390</v>
      </c>
      <c r="J423" s="594" t="s">
        <v>292</v>
      </c>
      <c r="K423" s="597"/>
      <c r="L423" s="623"/>
    </row>
    <row r="424" spans="2:12">
      <c r="B424" s="660"/>
      <c r="C424" s="712"/>
      <c r="D424" s="663" t="s">
        <v>134</v>
      </c>
      <c r="E424" s="594" t="s">
        <v>86</v>
      </c>
      <c r="F424" s="713" t="s">
        <v>251</v>
      </c>
      <c r="G424" s="596"/>
      <c r="H424" s="597"/>
      <c r="I424" s="637">
        <v>420</v>
      </c>
      <c r="J424" s="594" t="s">
        <v>292</v>
      </c>
      <c r="K424" s="597"/>
      <c r="L424" s="623"/>
    </row>
    <row r="425" spans="2:12">
      <c r="B425" s="660"/>
      <c r="C425" s="712"/>
      <c r="D425" s="663" t="s">
        <v>135</v>
      </c>
      <c r="E425" s="594" t="s">
        <v>86</v>
      </c>
      <c r="F425" s="713" t="s">
        <v>251</v>
      </c>
      <c r="G425" s="596"/>
      <c r="H425" s="597"/>
      <c r="I425" s="637">
        <v>420</v>
      </c>
      <c r="J425" s="594" t="s">
        <v>292</v>
      </c>
      <c r="K425" s="597"/>
      <c r="L425" s="623"/>
    </row>
    <row r="426" spans="2:12">
      <c r="B426" s="660"/>
      <c r="C426" s="712"/>
      <c r="D426" s="663" t="s">
        <v>136</v>
      </c>
      <c r="E426" s="594" t="s">
        <v>86</v>
      </c>
      <c r="F426" s="713" t="s">
        <v>251</v>
      </c>
      <c r="G426" s="596"/>
      <c r="H426" s="597"/>
      <c r="I426" s="637">
        <v>420</v>
      </c>
      <c r="J426" s="594" t="s">
        <v>292</v>
      </c>
      <c r="K426" s="597"/>
      <c r="L426" s="623"/>
    </row>
    <row r="427" spans="2:12">
      <c r="B427" s="660"/>
      <c r="C427" s="712"/>
      <c r="D427" s="663" t="s">
        <v>137</v>
      </c>
      <c r="E427" s="594" t="s">
        <v>86</v>
      </c>
      <c r="F427" s="713" t="s">
        <v>251</v>
      </c>
      <c r="G427" s="596"/>
      <c r="H427" s="597"/>
      <c r="I427" s="637">
        <v>420</v>
      </c>
      <c r="J427" s="594" t="s">
        <v>292</v>
      </c>
      <c r="K427" s="597"/>
      <c r="L427" s="623"/>
    </row>
    <row r="428" spans="2:12">
      <c r="B428" s="660"/>
      <c r="C428" s="712"/>
      <c r="D428" s="663" t="s">
        <v>138</v>
      </c>
      <c r="E428" s="594" t="s">
        <v>86</v>
      </c>
      <c r="F428" s="713" t="s">
        <v>251</v>
      </c>
      <c r="G428" s="596"/>
      <c r="H428" s="597"/>
      <c r="I428" s="637">
        <v>420</v>
      </c>
      <c r="J428" s="594" t="s">
        <v>292</v>
      </c>
      <c r="K428" s="597"/>
      <c r="L428" s="623"/>
    </row>
    <row r="429" spans="2:12">
      <c r="B429" s="660"/>
      <c r="C429" s="712">
        <v>7.3</v>
      </c>
      <c r="D429" s="744" t="s">
        <v>21</v>
      </c>
      <c r="E429" s="596" t="s">
        <v>91</v>
      </c>
      <c r="F429" s="713"/>
      <c r="G429" s="700"/>
      <c r="H429" s="597" t="s">
        <v>253</v>
      </c>
      <c r="I429" s="644">
        <v>0</v>
      </c>
      <c r="J429" s="594" t="s">
        <v>78</v>
      </c>
      <c r="K429" s="597"/>
      <c r="L429" s="623"/>
    </row>
    <row r="430" ht="72" customHeight="1" spans="2:12">
      <c r="B430" s="591"/>
      <c r="C430" s="612">
        <v>8</v>
      </c>
      <c r="D430" s="622" t="s">
        <v>293</v>
      </c>
      <c r="E430" s="599" t="s">
        <v>244</v>
      </c>
      <c r="F430" s="699" t="s">
        <v>255</v>
      </c>
      <c r="G430" s="743" t="s">
        <v>280</v>
      </c>
      <c r="H430" s="597"/>
      <c r="I430" s="637"/>
      <c r="J430" s="596"/>
      <c r="K430" s="597"/>
      <c r="L430" s="623"/>
    </row>
    <row r="431" spans="2:12">
      <c r="B431" s="591"/>
      <c r="C431" s="712">
        <v>8.1</v>
      </c>
      <c r="D431" s="615" t="s">
        <v>294</v>
      </c>
      <c r="E431" s="599" t="s">
        <v>143</v>
      </c>
      <c r="F431" s="699" t="s">
        <v>295</v>
      </c>
      <c r="G431" s="596"/>
      <c r="H431" s="597"/>
      <c r="I431" s="752">
        <f ca="1">I147+I447-I152</f>
        <v>161609.617389504</v>
      </c>
      <c r="J431" s="594" t="s">
        <v>24</v>
      </c>
      <c r="K431" s="597"/>
      <c r="L431" s="623"/>
    </row>
    <row r="432" spans="2:12">
      <c r="B432" s="591"/>
      <c r="C432" s="712">
        <v>8.2</v>
      </c>
      <c r="D432" s="615" t="s">
        <v>296</v>
      </c>
      <c r="E432" s="594" t="s">
        <v>86</v>
      </c>
      <c r="F432" s="713" t="s">
        <v>261</v>
      </c>
      <c r="G432" s="596"/>
      <c r="H432" s="597"/>
      <c r="I432" s="644">
        <v>0.02</v>
      </c>
      <c r="J432" s="596" t="s">
        <v>78</v>
      </c>
      <c r="K432" s="597"/>
      <c r="L432" s="623"/>
    </row>
    <row r="433" spans="2:12">
      <c r="B433" s="591"/>
      <c r="C433" s="712">
        <v>8.3</v>
      </c>
      <c r="D433" s="615" t="s">
        <v>21</v>
      </c>
      <c r="E433" s="596" t="s">
        <v>240</v>
      </c>
      <c r="F433" s="699"/>
      <c r="G433" s="596"/>
      <c r="H433" s="597"/>
      <c r="I433" s="644">
        <v>0</v>
      </c>
      <c r="J433" s="596" t="s">
        <v>78</v>
      </c>
      <c r="K433" s="597"/>
      <c r="L433" s="623"/>
    </row>
    <row r="434" ht="27.45" customHeight="1" spans="2:12">
      <c r="B434" s="591"/>
      <c r="C434" s="612">
        <v>9</v>
      </c>
      <c r="D434" s="601" t="s">
        <v>297</v>
      </c>
      <c r="E434" s="596"/>
      <c r="F434" s="699"/>
      <c r="G434" s="596" t="s">
        <v>298</v>
      </c>
      <c r="H434" s="597"/>
      <c r="I434" s="637"/>
      <c r="J434" s="636"/>
      <c r="K434" s="597"/>
      <c r="L434" s="623"/>
    </row>
    <row r="435" ht="27.45" customHeight="1" spans="2:12">
      <c r="B435" s="591"/>
      <c r="C435" s="712">
        <v>9.1</v>
      </c>
      <c r="D435" s="745" t="s">
        <v>299</v>
      </c>
      <c r="E435" s="596"/>
      <c r="F435" s="699" t="s">
        <v>255</v>
      </c>
      <c r="G435" s="596"/>
      <c r="H435" s="597"/>
      <c r="I435" s="637"/>
      <c r="J435" s="636"/>
      <c r="K435" s="597"/>
      <c r="L435" s="623"/>
    </row>
    <row r="436" ht="64.05" customHeight="1" spans="2:12">
      <c r="B436" s="591"/>
      <c r="C436" s="712"/>
      <c r="D436" s="746" t="s">
        <v>300</v>
      </c>
      <c r="E436" s="604" t="s">
        <v>77</v>
      </c>
      <c r="F436" s="699" t="s">
        <v>258</v>
      </c>
      <c r="G436" s="596"/>
      <c r="H436" s="597" t="s">
        <v>301</v>
      </c>
      <c r="I436" s="637"/>
      <c r="J436" s="636" t="s">
        <v>159</v>
      </c>
      <c r="K436" s="597"/>
      <c r="L436" s="623"/>
    </row>
    <row r="437" ht="24.45" customHeight="1" spans="2:12">
      <c r="B437" s="591"/>
      <c r="C437" s="747"/>
      <c r="D437" s="731" t="s">
        <v>302</v>
      </c>
      <c r="E437" s="596" t="s">
        <v>91</v>
      </c>
      <c r="F437" s="664" t="s">
        <v>176</v>
      </c>
      <c r="G437" s="596"/>
      <c r="H437" s="748" t="s">
        <v>303</v>
      </c>
      <c r="I437" s="637"/>
      <c r="J437" s="636"/>
      <c r="K437" s="623" t="s">
        <v>304</v>
      </c>
      <c r="L437" s="623"/>
    </row>
    <row r="438" spans="2:12">
      <c r="B438" s="591"/>
      <c r="C438" s="747"/>
      <c r="D438" s="731" t="s">
        <v>305</v>
      </c>
      <c r="E438" s="596" t="s">
        <v>54</v>
      </c>
      <c r="F438" s="664" t="s">
        <v>261</v>
      </c>
      <c r="G438" s="596"/>
      <c r="H438" s="748"/>
      <c r="I438" s="637">
        <v>18</v>
      </c>
      <c r="J438" s="636" t="s">
        <v>208</v>
      </c>
      <c r="K438" s="623"/>
      <c r="L438" s="623"/>
    </row>
    <row r="439" spans="2:12">
      <c r="B439" s="591"/>
      <c r="C439" s="747"/>
      <c r="D439" s="731" t="s">
        <v>306</v>
      </c>
      <c r="E439" s="596" t="s">
        <v>54</v>
      </c>
      <c r="F439" s="664" t="s">
        <v>261</v>
      </c>
      <c r="G439" s="596"/>
      <c r="H439" s="748"/>
      <c r="I439" s="644">
        <v>0</v>
      </c>
      <c r="J439" s="596" t="s">
        <v>78</v>
      </c>
      <c r="K439" s="623"/>
      <c r="L439" s="623"/>
    </row>
    <row r="440" spans="2:12">
      <c r="B440" s="591"/>
      <c r="C440" s="712">
        <v>9.2</v>
      </c>
      <c r="D440" s="745" t="s">
        <v>307</v>
      </c>
      <c r="E440" s="596"/>
      <c r="F440" s="699" t="s">
        <v>255</v>
      </c>
      <c r="G440" s="596"/>
      <c r="H440" s="748"/>
      <c r="I440" s="644"/>
      <c r="J440" s="596"/>
      <c r="K440" s="623"/>
      <c r="L440" s="623"/>
    </row>
    <row r="441" ht="31.95" customHeight="1" spans="2:12">
      <c r="B441" s="591"/>
      <c r="C441" s="712"/>
      <c r="D441" s="746" t="s">
        <v>308</v>
      </c>
      <c r="E441" s="596" t="s">
        <v>54</v>
      </c>
      <c r="F441" s="699" t="s">
        <v>258</v>
      </c>
      <c r="G441" s="596"/>
      <c r="H441" s="748"/>
      <c r="I441" s="753">
        <v>1800</v>
      </c>
      <c r="J441" s="596" t="s">
        <v>212</v>
      </c>
      <c r="K441" s="623"/>
      <c r="L441" s="623"/>
    </row>
    <row r="442" spans="2:12">
      <c r="B442" s="591"/>
      <c r="C442" s="712"/>
      <c r="D442" s="731" t="s">
        <v>309</v>
      </c>
      <c r="E442" s="596" t="s">
        <v>91</v>
      </c>
      <c r="F442" s="664" t="s">
        <v>176</v>
      </c>
      <c r="G442" s="596"/>
      <c r="H442" s="678" t="s">
        <v>303</v>
      </c>
      <c r="I442" s="637"/>
      <c r="J442" s="636"/>
      <c r="K442" s="623"/>
      <c r="L442" s="623"/>
    </row>
    <row r="443" spans="2:12">
      <c r="B443" s="591"/>
      <c r="C443" s="712"/>
      <c r="D443" s="731" t="s">
        <v>310</v>
      </c>
      <c r="E443" s="596" t="s">
        <v>54</v>
      </c>
      <c r="F443" s="664" t="s">
        <v>261</v>
      </c>
      <c r="G443" s="596"/>
      <c r="H443" s="748"/>
      <c r="I443" s="637">
        <v>18</v>
      </c>
      <c r="J443" s="636" t="s">
        <v>208</v>
      </c>
      <c r="K443" s="623"/>
      <c r="L443" s="623"/>
    </row>
    <row r="444" spans="2:12">
      <c r="B444" s="591"/>
      <c r="C444" s="712"/>
      <c r="D444" s="731" t="s">
        <v>311</v>
      </c>
      <c r="E444" s="596" t="s">
        <v>54</v>
      </c>
      <c r="F444" s="664" t="s">
        <v>261</v>
      </c>
      <c r="G444" s="596"/>
      <c r="H444" s="748"/>
      <c r="I444" s="644">
        <v>0</v>
      </c>
      <c r="J444" s="596" t="s">
        <v>78</v>
      </c>
      <c r="K444" s="748"/>
      <c r="L444" s="623"/>
    </row>
    <row r="445" spans="2:12">
      <c r="B445" s="591"/>
      <c r="C445" s="747" t="s">
        <v>312</v>
      </c>
      <c r="D445" s="745" t="s">
        <v>313</v>
      </c>
      <c r="E445" s="596"/>
      <c r="F445" s="713"/>
      <c r="G445" s="596"/>
      <c r="H445" s="748"/>
      <c r="I445" s="644"/>
      <c r="J445" s="596"/>
      <c r="K445" s="748"/>
      <c r="L445" s="623"/>
    </row>
    <row r="446" spans="2:12">
      <c r="B446" s="591"/>
      <c r="C446" s="747"/>
      <c r="D446" s="749" t="s">
        <v>314</v>
      </c>
      <c r="E446" s="596" t="s">
        <v>91</v>
      </c>
      <c r="F446" s="713" t="s">
        <v>176</v>
      </c>
      <c r="G446" s="596"/>
      <c r="H446" s="748" t="s">
        <v>315</v>
      </c>
      <c r="I446" s="644"/>
      <c r="J446" s="596"/>
      <c r="K446" s="748"/>
      <c r="L446" s="623"/>
    </row>
    <row r="447" spans="2:12">
      <c r="B447" s="591"/>
      <c r="C447" s="747"/>
      <c r="D447" s="750" t="s">
        <v>316</v>
      </c>
      <c r="E447" s="599" t="s">
        <v>186</v>
      </c>
      <c r="F447" s="713"/>
      <c r="G447" s="596"/>
      <c r="H447" s="748"/>
      <c r="I447" s="754">
        <f>'表10-资产负债表(标准格式)'!H43</f>
        <v>36255.19572</v>
      </c>
      <c r="J447" s="596" t="s">
        <v>24</v>
      </c>
      <c r="K447" s="748"/>
      <c r="L447" s="623"/>
    </row>
    <row r="448" spans="2:12">
      <c r="B448" s="591"/>
      <c r="C448" s="747"/>
      <c r="D448" s="750" t="s">
        <v>317</v>
      </c>
      <c r="E448" s="599" t="s">
        <v>186</v>
      </c>
      <c r="F448" s="713"/>
      <c r="G448" s="596"/>
      <c r="H448" s="748"/>
      <c r="I448" s="754">
        <f>'表10-资产负债表(标准格式)'!H42</f>
        <v>29367.903493</v>
      </c>
      <c r="J448" s="596" t="s">
        <v>24</v>
      </c>
      <c r="K448" s="748"/>
      <c r="L448" s="623"/>
    </row>
    <row r="449" spans="2:12">
      <c r="B449" s="591"/>
      <c r="C449" s="747"/>
      <c r="D449" s="750" t="s">
        <v>318</v>
      </c>
      <c r="E449" s="596" t="s">
        <v>86</v>
      </c>
      <c r="F449" s="664" t="s">
        <v>261</v>
      </c>
      <c r="G449" s="596"/>
      <c r="H449" s="748"/>
      <c r="I449" s="754">
        <v>14</v>
      </c>
      <c r="J449" s="596" t="s">
        <v>55</v>
      </c>
      <c r="K449" s="748"/>
      <c r="L449" s="623"/>
    </row>
    <row r="450" spans="2:12">
      <c r="B450" s="591"/>
      <c r="C450" s="747"/>
      <c r="D450" s="750" t="s">
        <v>319</v>
      </c>
      <c r="E450" s="596" t="s">
        <v>54</v>
      </c>
      <c r="F450" s="664" t="s">
        <v>261</v>
      </c>
      <c r="G450" s="596"/>
      <c r="H450" s="748"/>
      <c r="I450" s="644">
        <v>0</v>
      </c>
      <c r="J450" s="596" t="s">
        <v>78</v>
      </c>
      <c r="K450" s="748"/>
      <c r="L450" s="623"/>
    </row>
    <row r="451" spans="2:12">
      <c r="B451" s="591"/>
      <c r="C451" s="712">
        <v>9.4</v>
      </c>
      <c r="D451" s="745" t="s">
        <v>320</v>
      </c>
      <c r="E451" s="596"/>
      <c r="F451" s="699"/>
      <c r="G451" s="596"/>
      <c r="H451" s="748"/>
      <c r="I451" s="644"/>
      <c r="J451" s="596"/>
      <c r="K451" s="748"/>
      <c r="L451" s="623"/>
    </row>
    <row r="452" spans="2:12">
      <c r="B452" s="591"/>
      <c r="C452" s="712"/>
      <c r="D452" s="750" t="s">
        <v>321</v>
      </c>
      <c r="E452" s="596" t="s">
        <v>86</v>
      </c>
      <c r="F452" s="699"/>
      <c r="G452" s="596"/>
      <c r="H452" s="748"/>
      <c r="I452" s="754">
        <v>0</v>
      </c>
      <c r="J452" s="596" t="s">
        <v>24</v>
      </c>
      <c r="K452" s="748"/>
      <c r="L452" s="623"/>
    </row>
    <row r="453" spans="2:12">
      <c r="B453" s="591"/>
      <c r="C453" s="712"/>
      <c r="D453" s="750" t="s">
        <v>322</v>
      </c>
      <c r="E453" s="755" t="s">
        <v>186</v>
      </c>
      <c r="F453" s="699" t="s">
        <v>258</v>
      </c>
      <c r="G453" s="596"/>
      <c r="H453" s="748"/>
      <c r="I453" s="637">
        <f>'表10-资产负债表(标准格式)'!H50</f>
        <v>14.882016</v>
      </c>
      <c r="J453" s="596" t="s">
        <v>212</v>
      </c>
      <c r="K453" s="748"/>
      <c r="L453" s="623"/>
    </row>
    <row r="454" spans="2:12">
      <c r="B454" s="591"/>
      <c r="C454" s="712"/>
      <c r="D454" s="731" t="s">
        <v>309</v>
      </c>
      <c r="E454" s="596" t="s">
        <v>91</v>
      </c>
      <c r="F454" s="664" t="s">
        <v>176</v>
      </c>
      <c r="G454" s="596"/>
      <c r="H454" s="678" t="s">
        <v>323</v>
      </c>
      <c r="I454" s="637"/>
      <c r="J454" s="636"/>
      <c r="K454" s="748"/>
      <c r="L454" s="623"/>
    </row>
    <row r="455" spans="2:12">
      <c r="B455" s="591"/>
      <c r="C455" s="712"/>
      <c r="D455" s="756" t="s">
        <v>324</v>
      </c>
      <c r="E455" s="596" t="s">
        <v>54</v>
      </c>
      <c r="F455" s="664" t="s">
        <v>261</v>
      </c>
      <c r="G455" s="596"/>
      <c r="H455" s="748"/>
      <c r="I455" s="637">
        <v>10</v>
      </c>
      <c r="J455" s="636" t="s">
        <v>208</v>
      </c>
      <c r="K455" s="748"/>
      <c r="L455" s="623"/>
    </row>
    <row r="456" spans="2:12">
      <c r="B456" s="591"/>
      <c r="C456" s="712"/>
      <c r="D456" s="731" t="s">
        <v>311</v>
      </c>
      <c r="E456" s="594" t="s">
        <v>86</v>
      </c>
      <c r="F456" s="664" t="s">
        <v>261</v>
      </c>
      <c r="G456" s="596"/>
      <c r="H456" s="748"/>
      <c r="I456" s="644">
        <v>0</v>
      </c>
      <c r="J456" s="596" t="s">
        <v>78</v>
      </c>
      <c r="K456" s="748"/>
      <c r="L456" s="623"/>
    </row>
    <row r="457" ht="61.2" customHeight="1" spans="2:12">
      <c r="B457" s="591"/>
      <c r="C457" s="612">
        <v>10</v>
      </c>
      <c r="D457" s="601" t="s">
        <v>325</v>
      </c>
      <c r="E457" s="599" t="s">
        <v>244</v>
      </c>
      <c r="F457" s="699" t="s">
        <v>255</v>
      </c>
      <c r="G457" s="743" t="s">
        <v>280</v>
      </c>
      <c r="H457" s="748"/>
      <c r="I457" s="644"/>
      <c r="J457" s="596"/>
      <c r="K457" s="748" t="s">
        <v>326</v>
      </c>
      <c r="L457" s="623"/>
    </row>
    <row r="458" spans="2:12">
      <c r="B458" s="591"/>
      <c r="C458" s="712">
        <v>10.1</v>
      </c>
      <c r="D458" s="757" t="s">
        <v>327</v>
      </c>
      <c r="E458" s="604"/>
      <c r="F458" s="595"/>
      <c r="G458" s="604"/>
      <c r="H458" s="748"/>
      <c r="I458" s="637"/>
      <c r="J458" s="596"/>
      <c r="K458" s="748"/>
      <c r="L458" s="623"/>
    </row>
    <row r="459" ht="15.5" spans="2:12">
      <c r="B459" s="591"/>
      <c r="C459" s="712"/>
      <c r="D459" s="758" t="s">
        <v>328</v>
      </c>
      <c r="E459" s="626" t="s">
        <v>108</v>
      </c>
      <c r="F459" s="702" t="s">
        <v>329</v>
      </c>
      <c r="G459" s="759"/>
      <c r="H459" s="760"/>
      <c r="I459" s="708">
        <v>0</v>
      </c>
      <c r="J459" s="626" t="s">
        <v>222</v>
      </c>
      <c r="K459" s="748"/>
      <c r="L459" s="623"/>
    </row>
    <row r="460" ht="15.5" spans="2:12">
      <c r="B460" s="591"/>
      <c r="C460" s="712"/>
      <c r="D460" s="758" t="s">
        <v>330</v>
      </c>
      <c r="E460" s="626" t="s">
        <v>108</v>
      </c>
      <c r="F460" s="702" t="s">
        <v>329</v>
      </c>
      <c r="G460" s="759"/>
      <c r="H460" s="760"/>
      <c r="I460" s="708">
        <v>0</v>
      </c>
      <c r="J460" s="626" t="s">
        <v>222</v>
      </c>
      <c r="K460" s="748"/>
      <c r="L460" s="623"/>
    </row>
    <row r="461" ht="15.5" spans="2:12">
      <c r="B461" s="591"/>
      <c r="C461" s="712"/>
      <c r="D461" s="758" t="s">
        <v>331</v>
      </c>
      <c r="E461" s="626" t="s">
        <v>108</v>
      </c>
      <c r="F461" s="702" t="s">
        <v>329</v>
      </c>
      <c r="G461" s="759"/>
      <c r="H461" s="760"/>
      <c r="I461" s="708">
        <v>0</v>
      </c>
      <c r="J461" s="626" t="s">
        <v>222</v>
      </c>
      <c r="K461" s="748"/>
      <c r="L461" s="623"/>
    </row>
    <row r="462" ht="15.5" spans="2:12">
      <c r="B462" s="591"/>
      <c r="C462" s="712"/>
      <c r="D462" s="758" t="s">
        <v>332</v>
      </c>
      <c r="E462" s="626" t="s">
        <v>108</v>
      </c>
      <c r="F462" s="702" t="s">
        <v>329</v>
      </c>
      <c r="G462" s="759"/>
      <c r="H462" s="760"/>
      <c r="I462" s="708">
        <v>0</v>
      </c>
      <c r="J462" s="626" t="s">
        <v>222</v>
      </c>
      <c r="K462" s="748"/>
      <c r="L462" s="623"/>
    </row>
    <row r="463" ht="15.5" spans="2:12">
      <c r="B463" s="591"/>
      <c r="C463" s="712"/>
      <c r="D463" s="758" t="s">
        <v>333</v>
      </c>
      <c r="E463" s="626" t="s">
        <v>108</v>
      </c>
      <c r="F463" s="702" t="s">
        <v>329</v>
      </c>
      <c r="G463" s="759"/>
      <c r="H463" s="760"/>
      <c r="I463" s="708">
        <v>0</v>
      </c>
      <c r="J463" s="626" t="s">
        <v>222</v>
      </c>
      <c r="K463" s="748"/>
      <c r="L463" s="623"/>
    </row>
    <row r="464" ht="15.5" spans="2:12">
      <c r="B464" s="591"/>
      <c r="C464" s="712"/>
      <c r="D464" s="758" t="s">
        <v>334</v>
      </c>
      <c r="E464" s="626" t="s">
        <v>108</v>
      </c>
      <c r="F464" s="702" t="s">
        <v>329</v>
      </c>
      <c r="G464" s="759"/>
      <c r="H464" s="760"/>
      <c r="I464" s="708">
        <v>0</v>
      </c>
      <c r="J464" s="626" t="s">
        <v>222</v>
      </c>
      <c r="K464" s="748"/>
      <c r="L464" s="623"/>
    </row>
    <row r="465" ht="15.5" spans="2:12">
      <c r="B465" s="591"/>
      <c r="C465" s="712"/>
      <c r="D465" s="758" t="s">
        <v>335</v>
      </c>
      <c r="E465" s="626" t="s">
        <v>108</v>
      </c>
      <c r="F465" s="702" t="s">
        <v>329</v>
      </c>
      <c r="G465" s="759"/>
      <c r="H465" s="760"/>
      <c r="I465" s="708">
        <v>0</v>
      </c>
      <c r="J465" s="626" t="s">
        <v>222</v>
      </c>
      <c r="K465" s="748"/>
      <c r="L465" s="623"/>
    </row>
    <row r="466" ht="15.5" spans="2:12">
      <c r="B466" s="591"/>
      <c r="C466" s="712"/>
      <c r="D466" s="758" t="s">
        <v>336</v>
      </c>
      <c r="E466" s="626" t="s">
        <v>108</v>
      </c>
      <c r="F466" s="702" t="s">
        <v>329</v>
      </c>
      <c r="G466" s="759"/>
      <c r="H466" s="760"/>
      <c r="I466" s="708">
        <v>500</v>
      </c>
      <c r="J466" s="626" t="s">
        <v>222</v>
      </c>
      <c r="K466" s="748"/>
      <c r="L466" s="623"/>
    </row>
    <row r="467" ht="15.5" spans="2:12">
      <c r="B467" s="591"/>
      <c r="C467" s="712"/>
      <c r="D467" s="758" t="s">
        <v>337</v>
      </c>
      <c r="E467" s="626" t="s">
        <v>108</v>
      </c>
      <c r="F467" s="702" t="s">
        <v>329</v>
      </c>
      <c r="G467" s="626"/>
      <c r="H467" s="760"/>
      <c r="I467" s="708">
        <v>0</v>
      </c>
      <c r="J467" s="626" t="s">
        <v>222</v>
      </c>
      <c r="K467" s="748"/>
      <c r="L467" s="623"/>
    </row>
    <row r="468" ht="15.5" spans="2:12">
      <c r="B468" s="591"/>
      <c r="C468" s="712"/>
      <c r="D468" s="758" t="s">
        <v>338</v>
      </c>
      <c r="E468" s="626" t="s">
        <v>108</v>
      </c>
      <c r="F468" s="702" t="s">
        <v>329</v>
      </c>
      <c r="G468" s="626"/>
      <c r="H468" s="760"/>
      <c r="I468" s="708">
        <v>0</v>
      </c>
      <c r="J468" s="626" t="s">
        <v>222</v>
      </c>
      <c r="K468" s="748"/>
      <c r="L468" s="623"/>
    </row>
    <row r="469" ht="15.5" spans="2:12">
      <c r="B469" s="591"/>
      <c r="C469" s="712"/>
      <c r="D469" s="758" t="s">
        <v>339</v>
      </c>
      <c r="E469" s="626" t="s">
        <v>108</v>
      </c>
      <c r="F469" s="702" t="s">
        <v>329</v>
      </c>
      <c r="G469" s="626"/>
      <c r="H469" s="760"/>
      <c r="I469" s="708">
        <v>0</v>
      </c>
      <c r="J469" s="626" t="s">
        <v>222</v>
      </c>
      <c r="K469" s="748"/>
      <c r="L469" s="623"/>
    </row>
    <row r="470" ht="15.5" spans="2:12">
      <c r="B470" s="591"/>
      <c r="C470" s="712"/>
      <c r="D470" s="758" t="s">
        <v>340</v>
      </c>
      <c r="E470" s="626" t="s">
        <v>108</v>
      </c>
      <c r="F470" s="702" t="s">
        <v>329</v>
      </c>
      <c r="G470" s="626"/>
      <c r="H470" s="760"/>
      <c r="I470" s="708">
        <v>0</v>
      </c>
      <c r="J470" s="626" t="s">
        <v>222</v>
      </c>
      <c r="K470" s="748"/>
      <c r="L470" s="623"/>
    </row>
    <row r="471" ht="15.5" spans="2:12">
      <c r="B471" s="591"/>
      <c r="C471" s="712"/>
      <c r="D471" s="758" t="s">
        <v>341</v>
      </c>
      <c r="E471" s="626" t="s">
        <v>108</v>
      </c>
      <c r="F471" s="702" t="s">
        <v>329</v>
      </c>
      <c r="G471" s="626"/>
      <c r="H471" s="760"/>
      <c r="I471" s="708">
        <v>500</v>
      </c>
      <c r="J471" s="626" t="s">
        <v>222</v>
      </c>
      <c r="K471" s="748"/>
      <c r="L471" s="623"/>
    </row>
    <row r="472" ht="15.5" spans="2:12">
      <c r="B472" s="591"/>
      <c r="C472" s="712"/>
      <c r="D472" s="758" t="s">
        <v>342</v>
      </c>
      <c r="E472" s="626" t="s">
        <v>108</v>
      </c>
      <c r="F472" s="702" t="s">
        <v>329</v>
      </c>
      <c r="G472" s="626"/>
      <c r="H472" s="760"/>
      <c r="I472" s="708">
        <v>0</v>
      </c>
      <c r="J472" s="626" t="s">
        <v>222</v>
      </c>
      <c r="K472" s="748"/>
      <c r="L472" s="623"/>
    </row>
    <row r="473" ht="15.5" spans="2:12">
      <c r="B473" s="591"/>
      <c r="C473" s="712"/>
      <c r="D473" s="758" t="s">
        <v>343</v>
      </c>
      <c r="E473" s="626" t="s">
        <v>108</v>
      </c>
      <c r="F473" s="702" t="s">
        <v>329</v>
      </c>
      <c r="G473" s="626"/>
      <c r="H473" s="760"/>
      <c r="I473" s="708">
        <v>0</v>
      </c>
      <c r="J473" s="626" t="s">
        <v>222</v>
      </c>
      <c r="K473" s="748"/>
      <c r="L473" s="623"/>
    </row>
    <row r="474" ht="15.5" spans="2:12">
      <c r="B474" s="591"/>
      <c r="C474" s="712"/>
      <c r="D474" s="758" t="s">
        <v>344</v>
      </c>
      <c r="E474" s="626" t="s">
        <v>108</v>
      </c>
      <c r="F474" s="702" t="s">
        <v>329</v>
      </c>
      <c r="G474" s="626"/>
      <c r="H474" s="760"/>
      <c r="I474" s="708">
        <v>0</v>
      </c>
      <c r="J474" s="626" t="s">
        <v>222</v>
      </c>
      <c r="K474" s="748"/>
      <c r="L474" s="623"/>
    </row>
    <row r="475" ht="15.5" spans="2:12">
      <c r="B475" s="591"/>
      <c r="C475" s="712"/>
      <c r="D475" s="758" t="s">
        <v>345</v>
      </c>
      <c r="E475" s="626" t="s">
        <v>108</v>
      </c>
      <c r="F475" s="702" t="s">
        <v>329</v>
      </c>
      <c r="G475" s="626"/>
      <c r="H475" s="760"/>
      <c r="I475" s="708">
        <v>0</v>
      </c>
      <c r="J475" s="626" t="s">
        <v>222</v>
      </c>
      <c r="K475" s="748"/>
      <c r="L475" s="623"/>
    </row>
    <row r="476" ht="15.5" spans="2:12">
      <c r="B476" s="591"/>
      <c r="C476" s="712"/>
      <c r="D476" s="758" t="s">
        <v>346</v>
      </c>
      <c r="E476" s="626" t="s">
        <v>108</v>
      </c>
      <c r="F476" s="702" t="s">
        <v>329</v>
      </c>
      <c r="G476" s="626"/>
      <c r="H476" s="760"/>
      <c r="I476" s="708">
        <v>500</v>
      </c>
      <c r="J476" s="626" t="s">
        <v>222</v>
      </c>
      <c r="K476" s="748"/>
      <c r="L476" s="623"/>
    </row>
    <row r="477" ht="15.5" spans="2:12">
      <c r="B477" s="591"/>
      <c r="C477" s="712"/>
      <c r="D477" s="758" t="s">
        <v>347</v>
      </c>
      <c r="E477" s="626" t="s">
        <v>108</v>
      </c>
      <c r="F477" s="702" t="s">
        <v>329</v>
      </c>
      <c r="G477" s="626"/>
      <c r="H477" s="760"/>
      <c r="I477" s="708">
        <v>0</v>
      </c>
      <c r="J477" s="626" t="s">
        <v>222</v>
      </c>
      <c r="K477" s="748"/>
      <c r="L477" s="623"/>
    </row>
    <row r="478" ht="15.5" spans="2:12">
      <c r="B478" s="591"/>
      <c r="C478" s="712"/>
      <c r="D478" s="758" t="s">
        <v>348</v>
      </c>
      <c r="E478" s="626" t="s">
        <v>108</v>
      </c>
      <c r="F478" s="702" t="s">
        <v>329</v>
      </c>
      <c r="G478" s="626"/>
      <c r="H478" s="760"/>
      <c r="I478" s="708">
        <v>0</v>
      </c>
      <c r="J478" s="626" t="s">
        <v>222</v>
      </c>
      <c r="K478" s="748"/>
      <c r="L478" s="623"/>
    </row>
    <row r="479" ht="15.5" spans="2:12">
      <c r="B479" s="591"/>
      <c r="C479" s="712"/>
      <c r="D479" s="758" t="s">
        <v>349</v>
      </c>
      <c r="E479" s="626" t="s">
        <v>108</v>
      </c>
      <c r="F479" s="702" t="s">
        <v>329</v>
      </c>
      <c r="G479" s="626"/>
      <c r="H479" s="760"/>
      <c r="I479" s="708">
        <v>0</v>
      </c>
      <c r="J479" s="626" t="s">
        <v>222</v>
      </c>
      <c r="K479" s="748"/>
      <c r="L479" s="623"/>
    </row>
    <row r="480" ht="15.5" spans="2:12">
      <c r="B480" s="591"/>
      <c r="C480" s="712"/>
      <c r="D480" s="758" t="s">
        <v>350</v>
      </c>
      <c r="E480" s="626" t="s">
        <v>108</v>
      </c>
      <c r="F480" s="702" t="s">
        <v>329</v>
      </c>
      <c r="G480" s="626"/>
      <c r="H480" s="760"/>
      <c r="I480" s="708">
        <v>0</v>
      </c>
      <c r="J480" s="626" t="s">
        <v>222</v>
      </c>
      <c r="K480" s="748"/>
      <c r="L480" s="623"/>
    </row>
    <row r="481" ht="15.5" spans="2:12">
      <c r="B481" s="591"/>
      <c r="C481" s="712"/>
      <c r="D481" s="758" t="s">
        <v>351</v>
      </c>
      <c r="E481" s="626" t="s">
        <v>108</v>
      </c>
      <c r="F481" s="702" t="s">
        <v>329</v>
      </c>
      <c r="G481" s="626"/>
      <c r="H481" s="760"/>
      <c r="I481" s="708">
        <v>500</v>
      </c>
      <c r="J481" s="626" t="s">
        <v>222</v>
      </c>
      <c r="K481" s="748"/>
      <c r="L481" s="623"/>
    </row>
    <row r="482" ht="15.5" spans="2:12">
      <c r="B482" s="591"/>
      <c r="C482" s="712"/>
      <c r="D482" s="758" t="s">
        <v>352</v>
      </c>
      <c r="E482" s="626" t="s">
        <v>108</v>
      </c>
      <c r="F482" s="702" t="s">
        <v>329</v>
      </c>
      <c r="G482" s="626"/>
      <c r="H482" s="760"/>
      <c r="I482" s="708">
        <v>0</v>
      </c>
      <c r="J482" s="626" t="s">
        <v>222</v>
      </c>
      <c r="K482" s="748"/>
      <c r="L482" s="623"/>
    </row>
    <row r="483" ht="15.5" spans="2:12">
      <c r="B483" s="591"/>
      <c r="C483" s="712"/>
      <c r="D483" s="758" t="s">
        <v>353</v>
      </c>
      <c r="E483" s="626" t="s">
        <v>108</v>
      </c>
      <c r="F483" s="702" t="s">
        <v>329</v>
      </c>
      <c r="G483" s="626"/>
      <c r="H483" s="760"/>
      <c r="I483" s="708">
        <v>0</v>
      </c>
      <c r="J483" s="626" t="s">
        <v>222</v>
      </c>
      <c r="K483" s="748"/>
      <c r="L483" s="623"/>
    </row>
    <row r="484" ht="15.5" spans="2:12">
      <c r="B484" s="591"/>
      <c r="C484" s="712"/>
      <c r="D484" s="758" t="s">
        <v>354</v>
      </c>
      <c r="E484" s="626" t="s">
        <v>108</v>
      </c>
      <c r="F484" s="702" t="s">
        <v>329</v>
      </c>
      <c r="G484" s="626"/>
      <c r="H484" s="760"/>
      <c r="I484" s="708">
        <v>0</v>
      </c>
      <c r="J484" s="626" t="s">
        <v>222</v>
      </c>
      <c r="K484" s="748"/>
      <c r="L484" s="623"/>
    </row>
    <row r="485" ht="15.5" spans="2:12">
      <c r="B485" s="591"/>
      <c r="C485" s="712"/>
      <c r="D485" s="758" t="s">
        <v>355</v>
      </c>
      <c r="E485" s="626" t="s">
        <v>108</v>
      </c>
      <c r="F485" s="702" t="s">
        <v>329</v>
      </c>
      <c r="G485" s="626"/>
      <c r="H485" s="760"/>
      <c r="I485" s="708">
        <v>0</v>
      </c>
      <c r="J485" s="626" t="s">
        <v>222</v>
      </c>
      <c r="K485" s="748"/>
      <c r="L485" s="623"/>
    </row>
    <row r="486" spans="2:12">
      <c r="B486" s="591"/>
      <c r="C486" s="712">
        <v>10.2</v>
      </c>
      <c r="D486" s="731" t="s">
        <v>356</v>
      </c>
      <c r="E486" s="596" t="s">
        <v>91</v>
      </c>
      <c r="F486" s="664" t="s">
        <v>176</v>
      </c>
      <c r="G486" s="596"/>
      <c r="H486" s="678" t="s">
        <v>323</v>
      </c>
      <c r="I486" s="644"/>
      <c r="J486" s="596"/>
      <c r="K486" s="748"/>
      <c r="L486" s="623"/>
    </row>
    <row r="487" spans="2:12">
      <c r="B487" s="591"/>
      <c r="C487" s="712">
        <v>10.3</v>
      </c>
      <c r="D487" s="731" t="s">
        <v>357</v>
      </c>
      <c r="E487" s="596" t="s">
        <v>54</v>
      </c>
      <c r="F487" s="664" t="s">
        <v>261</v>
      </c>
      <c r="G487" s="596"/>
      <c r="H487" s="748"/>
      <c r="I487" s="637">
        <v>5</v>
      </c>
      <c r="J487" s="596" t="s">
        <v>358</v>
      </c>
      <c r="K487" s="748"/>
      <c r="L487" s="623"/>
    </row>
    <row r="488" spans="2:12">
      <c r="B488" s="591"/>
      <c r="C488" s="712">
        <v>10.4</v>
      </c>
      <c r="D488" s="756" t="s">
        <v>21</v>
      </c>
      <c r="E488" s="596" t="s">
        <v>91</v>
      </c>
      <c r="F488" s="595"/>
      <c r="G488" s="596"/>
      <c r="H488" s="597" t="s">
        <v>253</v>
      </c>
      <c r="I488" s="644">
        <v>0.09</v>
      </c>
      <c r="J488" s="596" t="s">
        <v>78</v>
      </c>
      <c r="K488" s="748"/>
      <c r="L488" s="623"/>
    </row>
    <row r="489" spans="2:12">
      <c r="B489" s="591"/>
      <c r="C489" s="712"/>
      <c r="D489" s="757" t="s">
        <v>359</v>
      </c>
      <c r="E489" s="596"/>
      <c r="F489" s="699"/>
      <c r="G489" s="700"/>
      <c r="H489" s="597"/>
      <c r="I489" s="644"/>
      <c r="J489" s="596"/>
      <c r="K489" s="748"/>
      <c r="L489" s="623"/>
    </row>
    <row r="490" spans="2:12">
      <c r="B490" s="591"/>
      <c r="C490" s="712">
        <v>10.5</v>
      </c>
      <c r="D490" s="750" t="s">
        <v>360</v>
      </c>
      <c r="E490" s="755" t="s">
        <v>186</v>
      </c>
      <c r="F490" s="699"/>
      <c r="G490" s="700"/>
      <c r="H490" s="597"/>
      <c r="I490" s="754">
        <f>'表10-资产负债表(标准格式)'!H53</f>
        <v>0</v>
      </c>
      <c r="J490" s="596" t="s">
        <v>24</v>
      </c>
      <c r="K490" s="748"/>
      <c r="L490" s="623"/>
    </row>
    <row r="491" spans="2:12">
      <c r="B491" s="591"/>
      <c r="C491" s="712">
        <v>10.6</v>
      </c>
      <c r="D491" s="749" t="s">
        <v>356</v>
      </c>
      <c r="E491" s="596" t="s">
        <v>91</v>
      </c>
      <c r="F491" s="664" t="s">
        <v>176</v>
      </c>
      <c r="G491" s="596"/>
      <c r="H491" s="678" t="s">
        <v>323</v>
      </c>
      <c r="I491" s="644"/>
      <c r="J491" s="596"/>
      <c r="K491" s="748"/>
      <c r="L491" s="623"/>
    </row>
    <row r="492" spans="2:12">
      <c r="B492" s="591"/>
      <c r="C492" s="712">
        <v>10.7</v>
      </c>
      <c r="D492" s="749" t="s">
        <v>357</v>
      </c>
      <c r="E492" s="596" t="s">
        <v>54</v>
      </c>
      <c r="F492" s="664" t="s">
        <v>261</v>
      </c>
      <c r="G492" s="596"/>
      <c r="H492" s="748"/>
      <c r="I492" s="637">
        <v>10</v>
      </c>
      <c r="J492" s="596" t="s">
        <v>358</v>
      </c>
      <c r="K492" s="748"/>
      <c r="L492" s="623"/>
    </row>
    <row r="493" spans="2:12">
      <c r="B493" s="591"/>
      <c r="C493" s="712">
        <v>10.8</v>
      </c>
      <c r="D493" s="750" t="s">
        <v>21</v>
      </c>
      <c r="E493" s="596" t="s">
        <v>91</v>
      </c>
      <c r="F493" s="595"/>
      <c r="G493" s="596"/>
      <c r="H493" s="597" t="s">
        <v>253</v>
      </c>
      <c r="I493" s="644">
        <v>0.09</v>
      </c>
      <c r="J493" s="596" t="s">
        <v>78</v>
      </c>
      <c r="K493" s="748"/>
      <c r="L493" s="623"/>
    </row>
    <row r="494" ht="45" spans="2:12">
      <c r="B494" s="591"/>
      <c r="C494" s="612">
        <v>11</v>
      </c>
      <c r="D494" s="601" t="s">
        <v>361</v>
      </c>
      <c r="E494" s="599" t="s">
        <v>244</v>
      </c>
      <c r="F494" s="699" t="s">
        <v>255</v>
      </c>
      <c r="G494" s="743" t="s">
        <v>280</v>
      </c>
      <c r="H494" s="748"/>
      <c r="I494" s="637"/>
      <c r="J494" s="596"/>
      <c r="K494" s="748"/>
      <c r="L494" s="623"/>
    </row>
    <row r="495" spans="2:12">
      <c r="B495" s="591"/>
      <c r="C495" s="712">
        <v>11.1</v>
      </c>
      <c r="D495" s="697" t="s">
        <v>362</v>
      </c>
      <c r="E495" s="596"/>
      <c r="F495" s="595"/>
      <c r="G495" s="596"/>
      <c r="H495" s="748"/>
      <c r="I495" s="637"/>
      <c r="J495" s="596"/>
      <c r="K495" s="748"/>
      <c r="L495" s="623"/>
    </row>
    <row r="496" ht="15.5" spans="2:12">
      <c r="B496" s="591"/>
      <c r="C496" s="712"/>
      <c r="D496" s="758" t="s">
        <v>328</v>
      </c>
      <c r="E496" s="626" t="s">
        <v>108</v>
      </c>
      <c r="F496" s="702" t="s">
        <v>329</v>
      </c>
      <c r="G496" s="626"/>
      <c r="H496" s="760"/>
      <c r="I496" s="708">
        <v>0</v>
      </c>
      <c r="J496" s="626" t="s">
        <v>222</v>
      </c>
      <c r="K496" s="760"/>
      <c r="L496" s="623"/>
    </row>
    <row r="497" ht="15.5" spans="2:12">
      <c r="B497" s="591"/>
      <c r="C497" s="712"/>
      <c r="D497" s="758" t="s">
        <v>330</v>
      </c>
      <c r="E497" s="626" t="s">
        <v>108</v>
      </c>
      <c r="F497" s="702" t="s">
        <v>329</v>
      </c>
      <c r="G497" s="626"/>
      <c r="H497" s="760"/>
      <c r="I497" s="708">
        <v>0</v>
      </c>
      <c r="J497" s="626" t="s">
        <v>222</v>
      </c>
      <c r="K497" s="760"/>
      <c r="L497" s="623"/>
    </row>
    <row r="498" ht="15.5" spans="2:12">
      <c r="B498" s="591"/>
      <c r="C498" s="712"/>
      <c r="D498" s="758" t="s">
        <v>331</v>
      </c>
      <c r="E498" s="626" t="s">
        <v>108</v>
      </c>
      <c r="F498" s="702" t="s">
        <v>329</v>
      </c>
      <c r="G498" s="626"/>
      <c r="H498" s="760"/>
      <c r="I498" s="708">
        <v>0</v>
      </c>
      <c r="J498" s="626" t="s">
        <v>222</v>
      </c>
      <c r="K498" s="760"/>
      <c r="L498" s="623"/>
    </row>
    <row r="499" ht="15.5" spans="2:12">
      <c r="B499" s="591"/>
      <c r="C499" s="712"/>
      <c r="D499" s="758" t="s">
        <v>332</v>
      </c>
      <c r="E499" s="626" t="s">
        <v>108</v>
      </c>
      <c r="F499" s="702" t="s">
        <v>329</v>
      </c>
      <c r="G499" s="626"/>
      <c r="H499" s="760"/>
      <c r="I499" s="708">
        <v>0</v>
      </c>
      <c r="J499" s="626" t="s">
        <v>222</v>
      </c>
      <c r="K499" s="760"/>
      <c r="L499" s="623"/>
    </row>
    <row r="500" ht="15.5" spans="2:12">
      <c r="B500" s="591"/>
      <c r="C500" s="712"/>
      <c r="D500" s="758" t="s">
        <v>333</v>
      </c>
      <c r="E500" s="626" t="s">
        <v>108</v>
      </c>
      <c r="F500" s="702" t="s">
        <v>329</v>
      </c>
      <c r="G500" s="626"/>
      <c r="H500" s="760"/>
      <c r="I500" s="708">
        <v>0</v>
      </c>
      <c r="J500" s="626" t="s">
        <v>222</v>
      </c>
      <c r="K500" s="760"/>
      <c r="L500" s="623"/>
    </row>
    <row r="501" ht="15.5" spans="2:12">
      <c r="B501" s="591"/>
      <c r="C501" s="712"/>
      <c r="D501" s="758" t="s">
        <v>334</v>
      </c>
      <c r="E501" s="626" t="s">
        <v>108</v>
      </c>
      <c r="F501" s="702" t="s">
        <v>329</v>
      </c>
      <c r="G501" s="626"/>
      <c r="H501" s="760"/>
      <c r="I501" s="708">
        <v>0</v>
      </c>
      <c r="J501" s="626" t="s">
        <v>222</v>
      </c>
      <c r="K501" s="760"/>
      <c r="L501" s="623"/>
    </row>
    <row r="502" ht="15.5" spans="2:12">
      <c r="B502" s="591"/>
      <c r="C502" s="712"/>
      <c r="D502" s="758" t="s">
        <v>335</v>
      </c>
      <c r="E502" s="626" t="s">
        <v>108</v>
      </c>
      <c r="F502" s="702" t="s">
        <v>329</v>
      </c>
      <c r="G502" s="626"/>
      <c r="H502" s="760"/>
      <c r="I502" s="708">
        <v>0</v>
      </c>
      <c r="J502" s="626" t="s">
        <v>222</v>
      </c>
      <c r="K502" s="760"/>
      <c r="L502" s="623"/>
    </row>
    <row r="503" ht="15.5" spans="2:12">
      <c r="B503" s="591"/>
      <c r="C503" s="712"/>
      <c r="D503" s="758" t="s">
        <v>336</v>
      </c>
      <c r="E503" s="626" t="s">
        <v>108</v>
      </c>
      <c r="F503" s="702" t="s">
        <v>329</v>
      </c>
      <c r="G503" s="626"/>
      <c r="H503" s="760"/>
      <c r="I503" s="708">
        <v>0</v>
      </c>
      <c r="J503" s="626" t="s">
        <v>222</v>
      </c>
      <c r="K503" s="760"/>
      <c r="L503" s="623"/>
    </row>
    <row r="504" ht="15.5" spans="2:12">
      <c r="B504" s="591"/>
      <c r="C504" s="712"/>
      <c r="D504" s="758" t="s">
        <v>337</v>
      </c>
      <c r="E504" s="626" t="s">
        <v>108</v>
      </c>
      <c r="F504" s="702" t="s">
        <v>329</v>
      </c>
      <c r="G504" s="626"/>
      <c r="H504" s="760"/>
      <c r="I504" s="708">
        <v>0</v>
      </c>
      <c r="J504" s="626" t="s">
        <v>222</v>
      </c>
      <c r="K504" s="760"/>
      <c r="L504" s="623"/>
    </row>
    <row r="505" ht="15.5" spans="2:12">
      <c r="B505" s="591"/>
      <c r="C505" s="712"/>
      <c r="D505" s="758" t="s">
        <v>338</v>
      </c>
      <c r="E505" s="626" t="s">
        <v>108</v>
      </c>
      <c r="F505" s="702" t="s">
        <v>329</v>
      </c>
      <c r="G505" s="626"/>
      <c r="H505" s="760"/>
      <c r="I505" s="708">
        <v>0</v>
      </c>
      <c r="J505" s="626" t="s">
        <v>222</v>
      </c>
      <c r="K505" s="760"/>
      <c r="L505" s="623"/>
    </row>
    <row r="506" ht="15.5" spans="2:12">
      <c r="B506" s="591"/>
      <c r="C506" s="712"/>
      <c r="D506" s="758" t="s">
        <v>339</v>
      </c>
      <c r="E506" s="626" t="s">
        <v>108</v>
      </c>
      <c r="F506" s="702" t="s">
        <v>329</v>
      </c>
      <c r="G506" s="626"/>
      <c r="H506" s="760"/>
      <c r="I506" s="708">
        <v>0</v>
      </c>
      <c r="J506" s="626" t="s">
        <v>222</v>
      </c>
      <c r="K506" s="760"/>
      <c r="L506" s="623"/>
    </row>
    <row r="507" ht="15.5" spans="2:12">
      <c r="B507" s="591"/>
      <c r="C507" s="712"/>
      <c r="D507" s="758" t="s">
        <v>340</v>
      </c>
      <c r="E507" s="626" t="s">
        <v>108</v>
      </c>
      <c r="F507" s="702" t="s">
        <v>329</v>
      </c>
      <c r="G507" s="626"/>
      <c r="H507" s="760"/>
      <c r="I507" s="708">
        <v>0</v>
      </c>
      <c r="J507" s="626" t="s">
        <v>222</v>
      </c>
      <c r="K507" s="760"/>
      <c r="L507" s="623"/>
    </row>
    <row r="508" ht="15.5" spans="2:12">
      <c r="B508" s="591"/>
      <c r="C508" s="712"/>
      <c r="D508" s="758" t="s">
        <v>341</v>
      </c>
      <c r="E508" s="626" t="s">
        <v>108</v>
      </c>
      <c r="F508" s="702" t="s">
        <v>329</v>
      </c>
      <c r="G508" s="626"/>
      <c r="H508" s="760"/>
      <c r="I508" s="708">
        <v>0</v>
      </c>
      <c r="J508" s="626" t="s">
        <v>222</v>
      </c>
      <c r="K508" s="760"/>
      <c r="L508" s="623"/>
    </row>
    <row r="509" ht="15.5" spans="2:12">
      <c r="B509" s="591"/>
      <c r="C509" s="712"/>
      <c r="D509" s="758" t="s">
        <v>342</v>
      </c>
      <c r="E509" s="626" t="s">
        <v>108</v>
      </c>
      <c r="F509" s="702" t="s">
        <v>329</v>
      </c>
      <c r="G509" s="626"/>
      <c r="H509" s="760"/>
      <c r="I509" s="708">
        <v>0</v>
      </c>
      <c r="J509" s="626" t="s">
        <v>222</v>
      </c>
      <c r="K509" s="760"/>
      <c r="L509" s="623"/>
    </row>
    <row r="510" ht="15.5" spans="2:12">
      <c r="B510" s="591"/>
      <c r="C510" s="712"/>
      <c r="D510" s="758" t="s">
        <v>343</v>
      </c>
      <c r="E510" s="626" t="s">
        <v>108</v>
      </c>
      <c r="F510" s="702" t="s">
        <v>329</v>
      </c>
      <c r="G510" s="626"/>
      <c r="H510" s="760"/>
      <c r="I510" s="708">
        <v>0</v>
      </c>
      <c r="J510" s="626" t="s">
        <v>222</v>
      </c>
      <c r="K510" s="760"/>
      <c r="L510" s="623"/>
    </row>
    <row r="511" ht="15.5" spans="2:12">
      <c r="B511" s="591"/>
      <c r="C511" s="712"/>
      <c r="D511" s="758" t="s">
        <v>344</v>
      </c>
      <c r="E511" s="626" t="s">
        <v>108</v>
      </c>
      <c r="F511" s="702" t="s">
        <v>329</v>
      </c>
      <c r="G511" s="626"/>
      <c r="H511" s="760"/>
      <c r="I511" s="708">
        <v>0</v>
      </c>
      <c r="J511" s="626" t="s">
        <v>222</v>
      </c>
      <c r="K511" s="760"/>
      <c r="L511" s="623"/>
    </row>
    <row r="512" ht="15.5" spans="2:12">
      <c r="B512" s="591"/>
      <c r="C512" s="712"/>
      <c r="D512" s="758" t="s">
        <v>345</v>
      </c>
      <c r="E512" s="626" t="s">
        <v>108</v>
      </c>
      <c r="F512" s="702" t="s">
        <v>329</v>
      </c>
      <c r="G512" s="626"/>
      <c r="H512" s="760"/>
      <c r="I512" s="708">
        <v>0</v>
      </c>
      <c r="J512" s="626" t="s">
        <v>222</v>
      </c>
      <c r="K512" s="760"/>
      <c r="L512" s="623"/>
    </row>
    <row r="513" ht="15.5" spans="2:12">
      <c r="B513" s="591"/>
      <c r="C513" s="712"/>
      <c r="D513" s="758" t="s">
        <v>346</v>
      </c>
      <c r="E513" s="626" t="s">
        <v>108</v>
      </c>
      <c r="F513" s="702" t="s">
        <v>329</v>
      </c>
      <c r="G513" s="626"/>
      <c r="H513" s="760"/>
      <c r="I513" s="708">
        <v>0</v>
      </c>
      <c r="J513" s="626" t="s">
        <v>222</v>
      </c>
      <c r="K513" s="760"/>
      <c r="L513" s="623"/>
    </row>
    <row r="514" ht="15.5" spans="2:12">
      <c r="B514" s="591"/>
      <c r="C514" s="712"/>
      <c r="D514" s="758" t="s">
        <v>347</v>
      </c>
      <c r="E514" s="626" t="s">
        <v>108</v>
      </c>
      <c r="F514" s="702" t="s">
        <v>329</v>
      </c>
      <c r="G514" s="626"/>
      <c r="H514" s="760"/>
      <c r="I514" s="708">
        <v>0</v>
      </c>
      <c r="J514" s="626" t="s">
        <v>222</v>
      </c>
      <c r="K514" s="760"/>
      <c r="L514" s="623"/>
    </row>
    <row r="515" ht="15.5" spans="2:12">
      <c r="B515" s="591"/>
      <c r="C515" s="712"/>
      <c r="D515" s="758" t="s">
        <v>348</v>
      </c>
      <c r="E515" s="626" t="s">
        <v>108</v>
      </c>
      <c r="F515" s="702" t="s">
        <v>329</v>
      </c>
      <c r="G515" s="626"/>
      <c r="H515" s="760"/>
      <c r="I515" s="708">
        <v>0</v>
      </c>
      <c r="J515" s="626" t="s">
        <v>222</v>
      </c>
      <c r="K515" s="760"/>
      <c r="L515" s="623"/>
    </row>
    <row r="516" ht="15.5" spans="2:12">
      <c r="B516" s="591"/>
      <c r="C516" s="712"/>
      <c r="D516" s="758" t="s">
        <v>349</v>
      </c>
      <c r="E516" s="626" t="s">
        <v>108</v>
      </c>
      <c r="F516" s="702" t="s">
        <v>329</v>
      </c>
      <c r="G516" s="626"/>
      <c r="H516" s="760"/>
      <c r="I516" s="708">
        <v>0</v>
      </c>
      <c r="J516" s="626" t="s">
        <v>222</v>
      </c>
      <c r="K516" s="760"/>
      <c r="L516" s="623"/>
    </row>
    <row r="517" ht="15.5" spans="2:12">
      <c r="B517" s="591"/>
      <c r="C517" s="712"/>
      <c r="D517" s="758" t="s">
        <v>350</v>
      </c>
      <c r="E517" s="626" t="s">
        <v>108</v>
      </c>
      <c r="F517" s="702" t="s">
        <v>329</v>
      </c>
      <c r="G517" s="626"/>
      <c r="H517" s="760"/>
      <c r="I517" s="708">
        <v>0</v>
      </c>
      <c r="J517" s="626" t="s">
        <v>222</v>
      </c>
      <c r="K517" s="760"/>
      <c r="L517" s="623"/>
    </row>
    <row r="518" ht="15.5" spans="2:12">
      <c r="B518" s="591"/>
      <c r="C518" s="712"/>
      <c r="D518" s="758" t="s">
        <v>351</v>
      </c>
      <c r="E518" s="626" t="s">
        <v>108</v>
      </c>
      <c r="F518" s="702" t="s">
        <v>329</v>
      </c>
      <c r="G518" s="626"/>
      <c r="H518" s="760"/>
      <c r="I518" s="708">
        <v>0</v>
      </c>
      <c r="J518" s="626" t="s">
        <v>222</v>
      </c>
      <c r="K518" s="760"/>
      <c r="L518" s="623"/>
    </row>
    <row r="519" ht="15.5" spans="2:12">
      <c r="B519" s="591"/>
      <c r="C519" s="712"/>
      <c r="D519" s="758" t="s">
        <v>352</v>
      </c>
      <c r="E519" s="626" t="s">
        <v>108</v>
      </c>
      <c r="F519" s="702" t="s">
        <v>329</v>
      </c>
      <c r="G519" s="626"/>
      <c r="H519" s="760"/>
      <c r="I519" s="708">
        <v>0</v>
      </c>
      <c r="J519" s="626" t="s">
        <v>222</v>
      </c>
      <c r="K519" s="760"/>
      <c r="L519" s="623"/>
    </row>
    <row r="520" ht="15.5" spans="2:12">
      <c r="B520" s="591"/>
      <c r="C520" s="712"/>
      <c r="D520" s="758" t="s">
        <v>353</v>
      </c>
      <c r="E520" s="626" t="s">
        <v>108</v>
      </c>
      <c r="F520" s="702" t="s">
        <v>329</v>
      </c>
      <c r="G520" s="626"/>
      <c r="H520" s="760"/>
      <c r="I520" s="708">
        <v>0</v>
      </c>
      <c r="J520" s="626" t="s">
        <v>222</v>
      </c>
      <c r="K520" s="760"/>
      <c r="L520" s="623"/>
    </row>
    <row r="521" ht="15.5" spans="2:12">
      <c r="B521" s="591"/>
      <c r="C521" s="712"/>
      <c r="D521" s="758" t="s">
        <v>354</v>
      </c>
      <c r="E521" s="626" t="s">
        <v>108</v>
      </c>
      <c r="F521" s="702" t="s">
        <v>329</v>
      </c>
      <c r="G521" s="626"/>
      <c r="H521" s="760"/>
      <c r="I521" s="708">
        <v>0</v>
      </c>
      <c r="J521" s="626" t="s">
        <v>222</v>
      </c>
      <c r="K521" s="760"/>
      <c r="L521" s="623"/>
    </row>
    <row r="522" ht="15.5" spans="2:12">
      <c r="B522" s="591"/>
      <c r="C522" s="712"/>
      <c r="D522" s="758" t="s">
        <v>355</v>
      </c>
      <c r="E522" s="626" t="s">
        <v>108</v>
      </c>
      <c r="F522" s="702" t="s">
        <v>329</v>
      </c>
      <c r="G522" s="626"/>
      <c r="H522" s="760"/>
      <c r="I522" s="708">
        <v>0</v>
      </c>
      <c r="J522" s="626" t="s">
        <v>222</v>
      </c>
      <c r="K522" s="760"/>
      <c r="L522" s="623"/>
    </row>
    <row r="523" spans="2:12">
      <c r="B523" s="591"/>
      <c r="C523" s="712">
        <v>11.2</v>
      </c>
      <c r="D523" s="697" t="s">
        <v>363</v>
      </c>
      <c r="E523" s="596" t="s">
        <v>91</v>
      </c>
      <c r="F523" s="664" t="s">
        <v>176</v>
      </c>
      <c r="G523" s="596"/>
      <c r="H523" s="678" t="s">
        <v>303</v>
      </c>
      <c r="I523" s="637"/>
      <c r="J523" s="596"/>
      <c r="K523" s="748"/>
      <c r="L523" s="623"/>
    </row>
    <row r="524" spans="2:12">
      <c r="B524" s="591"/>
      <c r="C524" s="712">
        <v>11.3</v>
      </c>
      <c r="D524" s="697" t="s">
        <v>364</v>
      </c>
      <c r="E524" s="596" t="s">
        <v>54</v>
      </c>
      <c r="F524" s="664" t="s">
        <v>261</v>
      </c>
      <c r="G524" s="596"/>
      <c r="H524" s="748"/>
      <c r="I524" s="637">
        <v>10</v>
      </c>
      <c r="J524" s="596" t="s">
        <v>358</v>
      </c>
      <c r="K524" s="748"/>
      <c r="L524" s="623"/>
    </row>
    <row r="525" spans="2:12">
      <c r="B525" s="591"/>
      <c r="C525" s="712">
        <v>11.4</v>
      </c>
      <c r="D525" s="718" t="s">
        <v>21</v>
      </c>
      <c r="E525" s="596" t="s">
        <v>91</v>
      </c>
      <c r="F525" s="664" t="s">
        <v>365</v>
      </c>
      <c r="G525" s="761">
        <v>0.13</v>
      </c>
      <c r="H525" s="597" t="s">
        <v>253</v>
      </c>
      <c r="I525" s="644">
        <v>0.09</v>
      </c>
      <c r="J525" s="596" t="s">
        <v>78</v>
      </c>
      <c r="K525" s="748"/>
      <c r="L525" s="623"/>
    </row>
    <row r="526" ht="69" customHeight="1" spans="2:12">
      <c r="B526" s="591"/>
      <c r="C526" s="712">
        <v>11.5</v>
      </c>
      <c r="D526" s="697" t="s">
        <v>366</v>
      </c>
      <c r="E526" s="604" t="s">
        <v>77</v>
      </c>
      <c r="F526" s="595"/>
      <c r="G526" s="604"/>
      <c r="H526" s="597" t="s">
        <v>367</v>
      </c>
      <c r="I526" s="767">
        <f>SUM(I496:I522)/(1+I525)*I525</f>
        <v>0</v>
      </c>
      <c r="J526" s="596" t="s">
        <v>212</v>
      </c>
      <c r="K526" s="748"/>
      <c r="L526" s="623"/>
    </row>
    <row r="527" ht="34.8" customHeight="1" spans="2:12">
      <c r="B527" s="591"/>
      <c r="C527" s="612">
        <v>12</v>
      </c>
      <c r="D527" s="601" t="s">
        <v>368</v>
      </c>
      <c r="E527" s="599" t="s">
        <v>244</v>
      </c>
      <c r="F527" s="664" t="s">
        <v>369</v>
      </c>
      <c r="G527" s="711" t="s">
        <v>370</v>
      </c>
      <c r="H527" s="597"/>
      <c r="I527" s="767"/>
      <c r="J527" s="596"/>
      <c r="K527" s="748"/>
      <c r="L527" s="623"/>
    </row>
    <row r="528" ht="24" customHeight="1" spans="2:12">
      <c r="B528" s="591"/>
      <c r="C528" s="712">
        <v>12.1</v>
      </c>
      <c r="D528" s="697" t="s">
        <v>371</v>
      </c>
      <c r="E528" s="596"/>
      <c r="F528" s="595"/>
      <c r="G528" s="604"/>
      <c r="H528" s="597"/>
      <c r="I528" s="637"/>
      <c r="J528" s="596"/>
      <c r="K528" s="748" t="s">
        <v>372</v>
      </c>
      <c r="L528" s="623"/>
    </row>
    <row r="529" ht="20.4" customHeight="1" spans="2:12">
      <c r="B529" s="591"/>
      <c r="C529" s="712"/>
      <c r="D529" s="758" t="s">
        <v>328</v>
      </c>
      <c r="E529" s="596" t="s">
        <v>54</v>
      </c>
      <c r="F529" s="664" t="s">
        <v>369</v>
      </c>
      <c r="G529" s="604"/>
      <c r="H529" s="597"/>
      <c r="I529" s="637">
        <v>0</v>
      </c>
      <c r="J529" s="596" t="s">
        <v>212</v>
      </c>
      <c r="K529" s="748"/>
      <c r="L529" s="623"/>
    </row>
    <row r="530" ht="20.4" customHeight="1" spans="2:12">
      <c r="B530" s="591"/>
      <c r="C530" s="712"/>
      <c r="D530" s="758" t="s">
        <v>330</v>
      </c>
      <c r="E530" s="596" t="s">
        <v>54</v>
      </c>
      <c r="F530" s="664" t="s">
        <v>369</v>
      </c>
      <c r="G530" s="604"/>
      <c r="H530" s="597"/>
      <c r="I530" s="637">
        <v>0</v>
      </c>
      <c r="J530" s="596" t="s">
        <v>212</v>
      </c>
      <c r="K530" s="748"/>
      <c r="L530" s="623"/>
    </row>
    <row r="531" ht="20.4" customHeight="1" spans="2:12">
      <c r="B531" s="591"/>
      <c r="C531" s="712"/>
      <c r="D531" s="758" t="s">
        <v>331</v>
      </c>
      <c r="E531" s="596" t="s">
        <v>54</v>
      </c>
      <c r="F531" s="664" t="s">
        <v>369</v>
      </c>
      <c r="G531" s="604"/>
      <c r="H531" s="597"/>
      <c r="I531" s="637">
        <v>0</v>
      </c>
      <c r="J531" s="596" t="s">
        <v>212</v>
      </c>
      <c r="K531" s="748"/>
      <c r="L531" s="623"/>
    </row>
    <row r="532" ht="20.4" customHeight="1" spans="2:12">
      <c r="B532" s="591"/>
      <c r="C532" s="712"/>
      <c r="D532" s="758" t="s">
        <v>332</v>
      </c>
      <c r="E532" s="596" t="s">
        <v>54</v>
      </c>
      <c r="F532" s="664" t="s">
        <v>369</v>
      </c>
      <c r="G532" s="604"/>
      <c r="H532" s="597"/>
      <c r="I532" s="637">
        <v>0</v>
      </c>
      <c r="J532" s="596" t="s">
        <v>212</v>
      </c>
      <c r="K532" s="748"/>
      <c r="L532" s="623"/>
    </row>
    <row r="533" ht="20.4" customHeight="1" spans="2:12">
      <c r="B533" s="591"/>
      <c r="C533" s="712"/>
      <c r="D533" s="758" t="s">
        <v>333</v>
      </c>
      <c r="E533" s="596" t="s">
        <v>54</v>
      </c>
      <c r="F533" s="664" t="s">
        <v>369</v>
      </c>
      <c r="G533" s="604"/>
      <c r="H533" s="597"/>
      <c r="I533" s="637">
        <v>0</v>
      </c>
      <c r="J533" s="596" t="s">
        <v>212</v>
      </c>
      <c r="K533" s="748"/>
      <c r="L533" s="623"/>
    </row>
    <row r="534" ht="20.4" customHeight="1" spans="2:12">
      <c r="B534" s="591"/>
      <c r="C534" s="712"/>
      <c r="D534" s="758" t="s">
        <v>334</v>
      </c>
      <c r="E534" s="596" t="s">
        <v>54</v>
      </c>
      <c r="F534" s="664" t="s">
        <v>369</v>
      </c>
      <c r="G534" s="604"/>
      <c r="H534" s="597"/>
      <c r="I534" s="637">
        <v>0</v>
      </c>
      <c r="J534" s="596" t="s">
        <v>212</v>
      </c>
      <c r="K534" s="748"/>
      <c r="L534" s="623"/>
    </row>
    <row r="535" ht="20.4" customHeight="1" spans="2:12">
      <c r="B535" s="591"/>
      <c r="C535" s="712"/>
      <c r="D535" s="758" t="s">
        <v>335</v>
      </c>
      <c r="E535" s="596" t="s">
        <v>54</v>
      </c>
      <c r="F535" s="664" t="s">
        <v>369</v>
      </c>
      <c r="G535" s="604"/>
      <c r="H535" s="597"/>
      <c r="I535" s="637">
        <v>0</v>
      </c>
      <c r="J535" s="596" t="s">
        <v>212</v>
      </c>
      <c r="K535" s="748"/>
      <c r="L535" s="623"/>
    </row>
    <row r="536" ht="20.4" customHeight="1" spans="2:12">
      <c r="B536" s="591"/>
      <c r="C536" s="712"/>
      <c r="D536" s="758" t="s">
        <v>336</v>
      </c>
      <c r="E536" s="596" t="s">
        <v>54</v>
      </c>
      <c r="F536" s="664" t="s">
        <v>369</v>
      </c>
      <c r="G536" s="604"/>
      <c r="H536" s="597"/>
      <c r="I536" s="637">
        <v>0</v>
      </c>
      <c r="J536" s="596" t="s">
        <v>212</v>
      </c>
      <c r="K536" s="748"/>
      <c r="L536" s="623"/>
    </row>
    <row r="537" ht="20.4" customHeight="1" spans="2:12">
      <c r="B537" s="591"/>
      <c r="C537" s="712"/>
      <c r="D537" s="758" t="s">
        <v>337</v>
      </c>
      <c r="E537" s="596" t="s">
        <v>54</v>
      </c>
      <c r="F537" s="664" t="s">
        <v>369</v>
      </c>
      <c r="G537" s="604"/>
      <c r="H537" s="597"/>
      <c r="I537" s="637">
        <v>0</v>
      </c>
      <c r="J537" s="596" t="s">
        <v>212</v>
      </c>
      <c r="K537" s="748"/>
      <c r="L537" s="623"/>
    </row>
    <row r="538" ht="20.4" customHeight="1" spans="2:12">
      <c r="B538" s="591"/>
      <c r="C538" s="712"/>
      <c r="D538" s="758" t="s">
        <v>338</v>
      </c>
      <c r="E538" s="596" t="s">
        <v>54</v>
      </c>
      <c r="F538" s="664" t="s">
        <v>369</v>
      </c>
      <c r="G538" s="604"/>
      <c r="H538" s="597"/>
      <c r="I538" s="637">
        <v>0</v>
      </c>
      <c r="J538" s="596" t="s">
        <v>212</v>
      </c>
      <c r="K538" s="748"/>
      <c r="L538" s="623"/>
    </row>
    <row r="539" ht="20.4" customHeight="1" spans="2:12">
      <c r="B539" s="591"/>
      <c r="C539" s="712"/>
      <c r="D539" s="758" t="s">
        <v>339</v>
      </c>
      <c r="E539" s="596" t="s">
        <v>54</v>
      </c>
      <c r="F539" s="664" t="s">
        <v>369</v>
      </c>
      <c r="G539" s="604"/>
      <c r="H539" s="597"/>
      <c r="I539" s="637">
        <v>0</v>
      </c>
      <c r="J539" s="596" t="s">
        <v>212</v>
      </c>
      <c r="K539" s="748"/>
      <c r="L539" s="623"/>
    </row>
    <row r="540" ht="20.4" customHeight="1" spans="2:12">
      <c r="B540" s="591"/>
      <c r="C540" s="712"/>
      <c r="D540" s="758" t="s">
        <v>340</v>
      </c>
      <c r="E540" s="596" t="s">
        <v>54</v>
      </c>
      <c r="F540" s="664" t="s">
        <v>369</v>
      </c>
      <c r="G540" s="604"/>
      <c r="H540" s="597"/>
      <c r="I540" s="637">
        <v>0</v>
      </c>
      <c r="J540" s="596" t="s">
        <v>212</v>
      </c>
      <c r="K540" s="748"/>
      <c r="L540" s="623"/>
    </row>
    <row r="541" ht="20.4" customHeight="1" spans="2:12">
      <c r="B541" s="591"/>
      <c r="C541" s="712"/>
      <c r="D541" s="758" t="s">
        <v>341</v>
      </c>
      <c r="E541" s="596" t="s">
        <v>54</v>
      </c>
      <c r="F541" s="664" t="s">
        <v>369</v>
      </c>
      <c r="G541" s="604"/>
      <c r="H541" s="597"/>
      <c r="I541" s="637">
        <v>0</v>
      </c>
      <c r="J541" s="596" t="s">
        <v>212</v>
      </c>
      <c r="K541" s="748"/>
      <c r="L541" s="623"/>
    </row>
    <row r="542" ht="20.4" customHeight="1" spans="2:12">
      <c r="B542" s="591"/>
      <c r="C542" s="712"/>
      <c r="D542" s="758" t="s">
        <v>342</v>
      </c>
      <c r="E542" s="596" t="s">
        <v>54</v>
      </c>
      <c r="F542" s="664" t="s">
        <v>369</v>
      </c>
      <c r="G542" s="604"/>
      <c r="H542" s="597"/>
      <c r="I542" s="637">
        <v>0</v>
      </c>
      <c r="J542" s="596" t="s">
        <v>212</v>
      </c>
      <c r="K542" s="748"/>
      <c r="L542" s="623"/>
    </row>
    <row r="543" ht="20.4" customHeight="1" spans="2:12">
      <c r="B543" s="591"/>
      <c r="C543" s="712"/>
      <c r="D543" s="758" t="s">
        <v>343</v>
      </c>
      <c r="E543" s="596" t="s">
        <v>54</v>
      </c>
      <c r="F543" s="664" t="s">
        <v>369</v>
      </c>
      <c r="G543" s="604"/>
      <c r="H543" s="597"/>
      <c r="I543" s="637">
        <v>0</v>
      </c>
      <c r="J543" s="596" t="s">
        <v>212</v>
      </c>
      <c r="K543" s="748"/>
      <c r="L543" s="623"/>
    </row>
    <row r="544" ht="20.4" customHeight="1" spans="2:12">
      <c r="B544" s="591"/>
      <c r="C544" s="712"/>
      <c r="D544" s="758" t="s">
        <v>344</v>
      </c>
      <c r="E544" s="596" t="s">
        <v>54</v>
      </c>
      <c r="F544" s="664" t="s">
        <v>369</v>
      </c>
      <c r="G544" s="604"/>
      <c r="H544" s="597"/>
      <c r="I544" s="637">
        <v>0</v>
      </c>
      <c r="J544" s="596" t="s">
        <v>212</v>
      </c>
      <c r="K544" s="748"/>
      <c r="L544" s="623"/>
    </row>
    <row r="545" ht="20.4" customHeight="1" spans="2:12">
      <c r="B545" s="591"/>
      <c r="C545" s="712"/>
      <c r="D545" s="758" t="s">
        <v>345</v>
      </c>
      <c r="E545" s="596" t="s">
        <v>54</v>
      </c>
      <c r="F545" s="664" t="s">
        <v>369</v>
      </c>
      <c r="G545" s="604"/>
      <c r="H545" s="597"/>
      <c r="I545" s="637">
        <v>0</v>
      </c>
      <c r="J545" s="596" t="s">
        <v>212</v>
      </c>
      <c r="K545" s="748"/>
      <c r="L545" s="623"/>
    </row>
    <row r="546" ht="20.4" customHeight="1" spans="2:12">
      <c r="B546" s="591"/>
      <c r="C546" s="712"/>
      <c r="D546" s="758" t="s">
        <v>346</v>
      </c>
      <c r="E546" s="596" t="s">
        <v>54</v>
      </c>
      <c r="F546" s="664" t="s">
        <v>369</v>
      </c>
      <c r="G546" s="604"/>
      <c r="H546" s="597"/>
      <c r="I546" s="637">
        <v>0</v>
      </c>
      <c r="J546" s="596" t="s">
        <v>212</v>
      </c>
      <c r="K546" s="748"/>
      <c r="L546" s="623"/>
    </row>
    <row r="547" ht="20.4" customHeight="1" spans="2:12">
      <c r="B547" s="591"/>
      <c r="C547" s="712"/>
      <c r="D547" s="758" t="s">
        <v>347</v>
      </c>
      <c r="E547" s="596" t="s">
        <v>54</v>
      </c>
      <c r="F547" s="664" t="s">
        <v>369</v>
      </c>
      <c r="G547" s="604"/>
      <c r="H547" s="597"/>
      <c r="I547" s="637">
        <v>0</v>
      </c>
      <c r="J547" s="596" t="s">
        <v>212</v>
      </c>
      <c r="K547" s="748"/>
      <c r="L547" s="623"/>
    </row>
    <row r="548" ht="20.4" customHeight="1" spans="2:12">
      <c r="B548" s="591"/>
      <c r="C548" s="712"/>
      <c r="D548" s="758" t="s">
        <v>348</v>
      </c>
      <c r="E548" s="596" t="s">
        <v>54</v>
      </c>
      <c r="F548" s="664" t="s">
        <v>369</v>
      </c>
      <c r="G548" s="604"/>
      <c r="H548" s="597"/>
      <c r="I548" s="637">
        <v>0</v>
      </c>
      <c r="J548" s="596" t="s">
        <v>212</v>
      </c>
      <c r="K548" s="748"/>
      <c r="L548" s="623"/>
    </row>
    <row r="549" ht="20.4" customHeight="1" spans="2:12">
      <c r="B549" s="591"/>
      <c r="C549" s="712"/>
      <c r="D549" s="758" t="s">
        <v>349</v>
      </c>
      <c r="E549" s="596" t="s">
        <v>54</v>
      </c>
      <c r="F549" s="664" t="s">
        <v>369</v>
      </c>
      <c r="G549" s="604"/>
      <c r="H549" s="597"/>
      <c r="I549" s="637">
        <v>0</v>
      </c>
      <c r="J549" s="596" t="s">
        <v>212</v>
      </c>
      <c r="K549" s="748"/>
      <c r="L549" s="623"/>
    </row>
    <row r="550" ht="20.4" customHeight="1" spans="2:12">
      <c r="B550" s="591"/>
      <c r="C550" s="712"/>
      <c r="D550" s="758" t="s">
        <v>350</v>
      </c>
      <c r="E550" s="596" t="s">
        <v>54</v>
      </c>
      <c r="F550" s="664" t="s">
        <v>369</v>
      </c>
      <c r="G550" s="604"/>
      <c r="H550" s="597"/>
      <c r="I550" s="637">
        <v>0</v>
      </c>
      <c r="J550" s="596" t="s">
        <v>212</v>
      </c>
      <c r="K550" s="748"/>
      <c r="L550" s="623"/>
    </row>
    <row r="551" ht="20.4" customHeight="1" spans="2:12">
      <c r="B551" s="591"/>
      <c r="C551" s="712"/>
      <c r="D551" s="758" t="s">
        <v>351</v>
      </c>
      <c r="E551" s="596" t="s">
        <v>54</v>
      </c>
      <c r="F551" s="664" t="s">
        <v>369</v>
      </c>
      <c r="G551" s="604"/>
      <c r="H551" s="597"/>
      <c r="I551" s="637">
        <v>0</v>
      </c>
      <c r="J551" s="596" t="s">
        <v>212</v>
      </c>
      <c r="K551" s="748"/>
      <c r="L551" s="623"/>
    </row>
    <row r="552" ht="20.4" customHeight="1" spans="2:12">
      <c r="B552" s="591"/>
      <c r="C552" s="712"/>
      <c r="D552" s="758" t="s">
        <v>352</v>
      </c>
      <c r="E552" s="596" t="s">
        <v>54</v>
      </c>
      <c r="F552" s="664" t="s">
        <v>369</v>
      </c>
      <c r="G552" s="604"/>
      <c r="H552" s="597"/>
      <c r="I552" s="637">
        <v>0</v>
      </c>
      <c r="J552" s="596" t="s">
        <v>212</v>
      </c>
      <c r="K552" s="748"/>
      <c r="L552" s="623"/>
    </row>
    <row r="553" ht="20.4" customHeight="1" spans="2:12">
      <c r="B553" s="591"/>
      <c r="C553" s="712"/>
      <c r="D553" s="758" t="s">
        <v>353</v>
      </c>
      <c r="E553" s="596" t="s">
        <v>54</v>
      </c>
      <c r="F553" s="664" t="s">
        <v>369</v>
      </c>
      <c r="G553" s="604"/>
      <c r="H553" s="597"/>
      <c r="I553" s="637">
        <v>0</v>
      </c>
      <c r="J553" s="596" t="s">
        <v>212</v>
      </c>
      <c r="K553" s="748"/>
      <c r="L553" s="623"/>
    </row>
    <row r="554" ht="20.4" customHeight="1" spans="2:12">
      <c r="B554" s="591"/>
      <c r="C554" s="712"/>
      <c r="D554" s="758" t="s">
        <v>354</v>
      </c>
      <c r="E554" s="596" t="s">
        <v>54</v>
      </c>
      <c r="F554" s="664" t="s">
        <v>369</v>
      </c>
      <c r="G554" s="604"/>
      <c r="H554" s="597"/>
      <c r="I554" s="637">
        <v>0</v>
      </c>
      <c r="J554" s="596" t="s">
        <v>212</v>
      </c>
      <c r="K554" s="748"/>
      <c r="L554" s="623"/>
    </row>
    <row r="555" ht="20.4" customHeight="1" spans="2:12">
      <c r="B555" s="591"/>
      <c r="C555" s="712"/>
      <c r="D555" s="758" t="s">
        <v>355</v>
      </c>
      <c r="E555" s="596" t="s">
        <v>54</v>
      </c>
      <c r="F555" s="664" t="s">
        <v>369</v>
      </c>
      <c r="G555" s="604"/>
      <c r="H555" s="597"/>
      <c r="I555" s="637">
        <v>0</v>
      </c>
      <c r="J555" s="596" t="s">
        <v>212</v>
      </c>
      <c r="K555" s="748"/>
      <c r="L555" s="623"/>
    </row>
    <row r="556" ht="22.5" customHeight="1" spans="2:12">
      <c r="B556" s="591"/>
      <c r="C556" s="712">
        <v>12.2</v>
      </c>
      <c r="D556" s="718" t="s">
        <v>21</v>
      </c>
      <c r="E556" s="596" t="s">
        <v>91</v>
      </c>
      <c r="F556" s="664" t="s">
        <v>365</v>
      </c>
      <c r="G556" s="596"/>
      <c r="I556" s="644">
        <v>0</v>
      </c>
      <c r="J556" s="596" t="s">
        <v>78</v>
      </c>
      <c r="K556" s="748"/>
      <c r="L556" s="623"/>
    </row>
    <row r="557" ht="61.2" customHeight="1" spans="2:12">
      <c r="B557" s="710" t="s">
        <v>373</v>
      </c>
      <c r="C557" s="612">
        <v>1</v>
      </c>
      <c r="D557" s="692" t="s">
        <v>374</v>
      </c>
      <c r="E557" s="604"/>
      <c r="F557" s="699"/>
      <c r="G557" s="711" t="s">
        <v>374</v>
      </c>
      <c r="H557" s="597"/>
      <c r="I557" s="637"/>
      <c r="J557" s="596"/>
      <c r="K557" s="748"/>
      <c r="L557" s="623"/>
    </row>
    <row r="558" ht="61.2" customHeight="1" spans="2:12">
      <c r="B558" s="591"/>
      <c r="C558" s="712">
        <v>1.1</v>
      </c>
      <c r="D558" s="762" t="s">
        <v>375</v>
      </c>
      <c r="E558" s="599" t="s">
        <v>244</v>
      </c>
      <c r="F558" s="699" t="s">
        <v>245</v>
      </c>
      <c r="G558" s="711" t="s">
        <v>374</v>
      </c>
      <c r="H558" s="597"/>
      <c r="I558" s="637"/>
      <c r="J558" s="596"/>
      <c r="K558" s="748"/>
      <c r="L558" s="623"/>
    </row>
    <row r="559" spans="2:12">
      <c r="B559" s="591"/>
      <c r="C559" s="712"/>
      <c r="D559" s="763" t="s">
        <v>376</v>
      </c>
      <c r="E559" s="599" t="s">
        <v>377</v>
      </c>
      <c r="F559" s="713" t="s">
        <v>249</v>
      </c>
      <c r="G559" s="714"/>
      <c r="H559" s="597"/>
      <c r="I559" s="637"/>
      <c r="J559" s="594" t="s">
        <v>378</v>
      </c>
      <c r="K559" s="748"/>
      <c r="L559" s="623"/>
    </row>
    <row r="560" spans="2:12">
      <c r="B560" s="591"/>
      <c r="C560" s="712"/>
      <c r="D560" s="763" t="s">
        <v>379</v>
      </c>
      <c r="E560" s="599" t="s">
        <v>377</v>
      </c>
      <c r="F560" s="713" t="s">
        <v>251</v>
      </c>
      <c r="G560" s="714"/>
      <c r="H560" s="597"/>
      <c r="I560" s="768">
        <f>I132</f>
        <v>0.316</v>
      </c>
      <c r="J560" s="596" t="s">
        <v>380</v>
      </c>
      <c r="K560" s="748"/>
      <c r="L560" s="623"/>
    </row>
    <row r="561" spans="2:12">
      <c r="B561" s="591"/>
      <c r="C561" s="712"/>
      <c r="D561" s="763" t="s">
        <v>381</v>
      </c>
      <c r="E561" s="599"/>
      <c r="F561" s="713"/>
      <c r="G561" s="714"/>
      <c r="H561" s="597"/>
      <c r="I561" s="769">
        <v>0.002</v>
      </c>
      <c r="J561" s="596" t="s">
        <v>380</v>
      </c>
      <c r="K561" s="748"/>
      <c r="L561" s="623"/>
    </row>
    <row r="562" spans="2:12">
      <c r="B562" s="591"/>
      <c r="C562" s="712"/>
      <c r="D562" s="763" t="s">
        <v>382</v>
      </c>
      <c r="E562" s="599"/>
      <c r="F562" s="664"/>
      <c r="G562" s="596"/>
      <c r="H562" s="665"/>
      <c r="I562" s="769">
        <v>0.004</v>
      </c>
      <c r="J562" s="596" t="s">
        <v>380</v>
      </c>
      <c r="K562" s="639"/>
      <c r="L562" s="623"/>
    </row>
    <row r="563" spans="2:12">
      <c r="B563" s="591"/>
      <c r="C563" s="712"/>
      <c r="D563" s="763" t="s">
        <v>21</v>
      </c>
      <c r="E563" s="596" t="s">
        <v>91</v>
      </c>
      <c r="F563" s="664" t="s">
        <v>365</v>
      </c>
      <c r="G563" s="596"/>
      <c r="H563" s="597" t="s">
        <v>253</v>
      </c>
      <c r="I563" s="644">
        <v>0.13</v>
      </c>
      <c r="J563" s="636" t="s">
        <v>78</v>
      </c>
      <c r="K563" s="597"/>
      <c r="L563" s="623"/>
    </row>
    <row r="564" spans="2:12">
      <c r="B564" s="591"/>
      <c r="C564" s="712"/>
      <c r="D564" s="764" t="s">
        <v>383</v>
      </c>
      <c r="E564" s="596" t="s">
        <v>54</v>
      </c>
      <c r="F564" s="713" t="s">
        <v>251</v>
      </c>
      <c r="G564" s="700"/>
      <c r="H564" s="597"/>
      <c r="I564" s="644">
        <v>0.8</v>
      </c>
      <c r="J564" s="636" t="s">
        <v>78</v>
      </c>
      <c r="K564" s="597"/>
      <c r="L564" s="623"/>
    </row>
    <row r="565" spans="2:12">
      <c r="B565" s="591"/>
      <c r="C565" s="712"/>
      <c r="D565" s="764" t="s">
        <v>384</v>
      </c>
      <c r="E565" s="596" t="s">
        <v>54</v>
      </c>
      <c r="F565" s="699"/>
      <c r="G565" s="700"/>
      <c r="H565" s="597"/>
      <c r="I565" s="644"/>
      <c r="J565" s="636" t="s">
        <v>385</v>
      </c>
      <c r="K565" s="597"/>
      <c r="L565" s="623"/>
    </row>
    <row r="566" ht="36" customHeight="1" spans="2:12">
      <c r="B566" s="591"/>
      <c r="C566" s="598">
        <v>1.2</v>
      </c>
      <c r="D566" s="765" t="s">
        <v>386</v>
      </c>
      <c r="E566" s="596"/>
      <c r="F566" s="699"/>
      <c r="G566" s="700"/>
      <c r="H566" s="597"/>
      <c r="I566" s="644"/>
      <c r="J566" s="636"/>
      <c r="K566" s="597"/>
      <c r="L566" s="623"/>
    </row>
    <row r="567" spans="2:12">
      <c r="B567" s="591"/>
      <c r="C567" s="712"/>
      <c r="D567" s="766" t="s">
        <v>155</v>
      </c>
      <c r="E567" s="596"/>
      <c r="F567" s="699"/>
      <c r="G567" s="700"/>
      <c r="H567" s="597"/>
      <c r="I567" s="644"/>
      <c r="J567" s="636"/>
      <c r="K567" s="597"/>
      <c r="L567" s="623"/>
    </row>
    <row r="568" spans="2:12">
      <c r="B568" s="591"/>
      <c r="C568" s="712"/>
      <c r="D568" s="766" t="s">
        <v>387</v>
      </c>
      <c r="E568" s="596" t="s">
        <v>91</v>
      </c>
      <c r="F568" s="664" t="s">
        <v>365</v>
      </c>
      <c r="G568" s="596"/>
      <c r="H568" s="597" t="s">
        <v>253</v>
      </c>
      <c r="I568" s="644">
        <v>0.13</v>
      </c>
      <c r="J568" s="636" t="s">
        <v>78</v>
      </c>
      <c r="K568" s="597"/>
      <c r="L568" s="623"/>
    </row>
    <row r="569" spans="2:12">
      <c r="B569" s="591"/>
      <c r="C569" s="712"/>
      <c r="D569" s="766" t="s">
        <v>388</v>
      </c>
      <c r="E569" s="596" t="s">
        <v>54</v>
      </c>
      <c r="F569" s="713" t="s">
        <v>251</v>
      </c>
      <c r="G569" s="700"/>
      <c r="H569" s="597"/>
      <c r="I569" s="644">
        <v>0.8</v>
      </c>
      <c r="J569" s="636" t="s">
        <v>78</v>
      </c>
      <c r="K569" s="597"/>
      <c r="L569" s="623"/>
    </row>
    <row r="570" spans="2:12">
      <c r="B570" s="591"/>
      <c r="C570" s="712"/>
      <c r="D570" s="766" t="s">
        <v>389</v>
      </c>
      <c r="E570" s="596" t="s">
        <v>54</v>
      </c>
      <c r="F570" s="699"/>
      <c r="G570" s="700"/>
      <c r="H570" s="597"/>
      <c r="I570" s="644"/>
      <c r="J570" s="636" t="s">
        <v>385</v>
      </c>
      <c r="K570" s="597"/>
      <c r="L570" s="623"/>
    </row>
    <row r="571" ht="31.05" customHeight="1" spans="2:12">
      <c r="B571" s="591"/>
      <c r="C571" s="598">
        <v>1.3</v>
      </c>
      <c r="D571" s="762" t="s">
        <v>390</v>
      </c>
      <c r="E571" s="599" t="s">
        <v>244</v>
      </c>
      <c r="F571" s="699" t="s">
        <v>245</v>
      </c>
      <c r="G571" s="711" t="s">
        <v>374</v>
      </c>
      <c r="H571" s="597"/>
      <c r="I571" s="644"/>
      <c r="J571" s="636"/>
      <c r="K571" s="597"/>
      <c r="L571" s="623"/>
    </row>
    <row r="572" spans="2:12">
      <c r="B572" s="591"/>
      <c r="C572" s="712"/>
      <c r="D572" s="763" t="s">
        <v>391</v>
      </c>
      <c r="E572" s="596" t="s">
        <v>54</v>
      </c>
      <c r="F572" s="713" t="s">
        <v>249</v>
      </c>
      <c r="G572" s="700"/>
      <c r="H572" s="597"/>
      <c r="I572" s="644">
        <v>0.7</v>
      </c>
      <c r="J572" s="636" t="s">
        <v>78</v>
      </c>
      <c r="K572" s="597"/>
      <c r="L572" s="623"/>
    </row>
    <row r="573" spans="2:12">
      <c r="B573" s="591"/>
      <c r="C573" s="712"/>
      <c r="D573" s="763" t="s">
        <v>392</v>
      </c>
      <c r="E573" s="596" t="s">
        <v>54</v>
      </c>
      <c r="F573" s="713" t="s">
        <v>251</v>
      </c>
      <c r="G573" s="700"/>
      <c r="H573" s="597"/>
      <c r="I573" s="637">
        <v>30</v>
      </c>
      <c r="J573" s="638" t="s">
        <v>393</v>
      </c>
      <c r="K573" s="597"/>
      <c r="L573" s="623"/>
    </row>
    <row r="574" spans="2:12">
      <c r="B574" s="591"/>
      <c r="C574" s="712"/>
      <c r="D574" s="763" t="s">
        <v>21</v>
      </c>
      <c r="E574" s="596" t="s">
        <v>91</v>
      </c>
      <c r="F574" s="713" t="s">
        <v>365</v>
      </c>
      <c r="G574" s="700"/>
      <c r="H574" s="597" t="s">
        <v>253</v>
      </c>
      <c r="I574" s="644">
        <v>0.13</v>
      </c>
      <c r="J574" s="636" t="s">
        <v>78</v>
      </c>
      <c r="K574" s="597"/>
      <c r="L574" s="623"/>
    </row>
    <row r="575" spans="2:12">
      <c r="B575" s="591"/>
      <c r="C575" s="712"/>
      <c r="D575" s="764" t="s">
        <v>383</v>
      </c>
      <c r="E575" s="596" t="s">
        <v>54</v>
      </c>
      <c r="F575" s="713" t="s">
        <v>249</v>
      </c>
      <c r="G575" s="700"/>
      <c r="H575" s="597"/>
      <c r="I575" s="644">
        <v>0.8</v>
      </c>
      <c r="J575" s="636" t="s">
        <v>78</v>
      </c>
      <c r="K575" s="597"/>
      <c r="L575" s="623"/>
    </row>
    <row r="576" spans="2:12">
      <c r="B576" s="591"/>
      <c r="C576" s="712"/>
      <c r="D576" s="764" t="s">
        <v>384</v>
      </c>
      <c r="E576" s="596" t="s">
        <v>54</v>
      </c>
      <c r="F576" s="699"/>
      <c r="G576" s="700"/>
      <c r="H576" s="597"/>
      <c r="I576" s="644"/>
      <c r="J576" s="636"/>
      <c r="K576" s="597"/>
      <c r="L576" s="623"/>
    </row>
    <row r="577" ht="51.6" customHeight="1" spans="2:12">
      <c r="B577" s="591"/>
      <c r="C577" s="612">
        <v>2</v>
      </c>
      <c r="D577" s="709" t="s">
        <v>394</v>
      </c>
      <c r="E577" s="596"/>
      <c r="F577" s="699"/>
      <c r="G577" s="770" t="s">
        <v>394</v>
      </c>
      <c r="H577" s="597"/>
      <c r="I577" s="637"/>
      <c r="J577" s="636"/>
      <c r="K577" s="597"/>
      <c r="L577" s="623"/>
    </row>
    <row r="578" ht="51.6" customHeight="1" spans="2:12">
      <c r="B578" s="591"/>
      <c r="C578" s="712">
        <v>2.1</v>
      </c>
      <c r="D578" s="762" t="s">
        <v>395</v>
      </c>
      <c r="E578" s="599" t="s">
        <v>244</v>
      </c>
      <c r="F578" s="699" t="s">
        <v>245</v>
      </c>
      <c r="G578" s="770" t="s">
        <v>394</v>
      </c>
      <c r="H578" s="597" t="s">
        <v>396</v>
      </c>
      <c r="I578" s="637"/>
      <c r="J578" s="636"/>
      <c r="K578" s="597"/>
      <c r="L578" s="623"/>
    </row>
    <row r="579" ht="18.45" customHeight="1" spans="2:12">
      <c r="B579" s="591"/>
      <c r="C579" s="712"/>
      <c r="D579" s="615" t="s">
        <v>397</v>
      </c>
      <c r="E579" s="599" t="s">
        <v>143</v>
      </c>
      <c r="F579" s="713" t="s">
        <v>249</v>
      </c>
      <c r="G579" s="596"/>
      <c r="H579" s="597"/>
      <c r="I579" s="637">
        <f>I30</f>
        <v>320</v>
      </c>
      <c r="J579" s="636" t="s">
        <v>101</v>
      </c>
      <c r="K579" s="597"/>
      <c r="L579" s="623"/>
    </row>
    <row r="580" ht="18.45" customHeight="1" spans="2:12">
      <c r="B580" s="591"/>
      <c r="C580" s="712"/>
      <c r="D580" s="615" t="s">
        <v>398</v>
      </c>
      <c r="E580" s="599" t="s">
        <v>143</v>
      </c>
      <c r="F580" s="713" t="s">
        <v>249</v>
      </c>
      <c r="G580" s="596"/>
      <c r="H580" s="597"/>
      <c r="I580" s="637"/>
      <c r="J580" s="636"/>
      <c r="K580" s="597"/>
      <c r="L580" s="623"/>
    </row>
    <row r="581" ht="18.45" customHeight="1" spans="2:12">
      <c r="B581" s="591"/>
      <c r="C581" s="712"/>
      <c r="D581" s="613" t="s">
        <v>399</v>
      </c>
      <c r="E581" s="596" t="s">
        <v>54</v>
      </c>
      <c r="F581" s="713" t="s">
        <v>251</v>
      </c>
      <c r="G581" s="596"/>
      <c r="H581" s="597"/>
      <c r="I581" s="637">
        <v>1</v>
      </c>
      <c r="J581" s="636" t="s">
        <v>283</v>
      </c>
      <c r="K581" s="597"/>
      <c r="L581" s="623"/>
    </row>
    <row r="582" ht="34.2" customHeight="1" spans="2:12">
      <c r="B582" s="591"/>
      <c r="C582" s="712"/>
      <c r="D582" s="615" t="s">
        <v>21</v>
      </c>
      <c r="E582" s="596" t="s">
        <v>91</v>
      </c>
      <c r="F582" s="595"/>
      <c r="G582" s="596"/>
      <c r="H582" s="597" t="s">
        <v>253</v>
      </c>
      <c r="I582" s="644">
        <v>0.13</v>
      </c>
      <c r="J582" s="636" t="s">
        <v>78</v>
      </c>
      <c r="K582" s="597"/>
      <c r="L582" s="623"/>
    </row>
    <row r="583" ht="18.45" customHeight="1" spans="2:12">
      <c r="B583" s="591"/>
      <c r="C583" s="712"/>
      <c r="D583" s="613" t="s">
        <v>400</v>
      </c>
      <c r="E583" s="596" t="s">
        <v>54</v>
      </c>
      <c r="F583" s="595"/>
      <c r="G583" s="596"/>
      <c r="H583" s="597"/>
      <c r="I583" s="644">
        <v>0.5</v>
      </c>
      <c r="J583" s="636" t="s">
        <v>78</v>
      </c>
      <c r="K583" s="597"/>
      <c r="L583" s="623"/>
    </row>
    <row r="584" ht="21" customHeight="1" spans="2:12">
      <c r="B584" s="591"/>
      <c r="C584" s="712"/>
      <c r="D584" s="613" t="s">
        <v>401</v>
      </c>
      <c r="E584" s="596" t="s">
        <v>54</v>
      </c>
      <c r="F584" s="595"/>
      <c r="G584" s="596"/>
      <c r="H584" s="597"/>
      <c r="I584" s="644"/>
      <c r="J584" s="636" t="s">
        <v>385</v>
      </c>
      <c r="K584" s="597"/>
      <c r="L584" s="623"/>
    </row>
    <row r="585" ht="28.95" customHeight="1" spans="2:12">
      <c r="B585" s="591"/>
      <c r="C585" s="612">
        <v>3</v>
      </c>
      <c r="D585" s="692" t="s">
        <v>402</v>
      </c>
      <c r="E585" s="596"/>
      <c r="F585" s="699"/>
      <c r="G585" s="711" t="s">
        <v>402</v>
      </c>
      <c r="H585" s="597"/>
      <c r="I585" s="644"/>
      <c r="J585" s="636"/>
      <c r="K585" s="597"/>
      <c r="L585" s="623"/>
    </row>
    <row r="586" ht="39.6" customHeight="1" spans="2:12">
      <c r="B586" s="591"/>
      <c r="C586" s="712">
        <v>3.1</v>
      </c>
      <c r="D586" s="692" t="s">
        <v>403</v>
      </c>
      <c r="E586" s="596" t="s">
        <v>54</v>
      </c>
      <c r="F586" s="664" t="s">
        <v>369</v>
      </c>
      <c r="G586" s="711" t="s">
        <v>402</v>
      </c>
      <c r="H586" s="597"/>
      <c r="I586" s="644"/>
      <c r="J586" s="636"/>
      <c r="K586" s="597"/>
      <c r="L586" s="623"/>
    </row>
    <row r="587" ht="39.6" customHeight="1" spans="2:12">
      <c r="B587" s="591"/>
      <c r="C587" s="712"/>
      <c r="D587" s="697" t="s">
        <v>404</v>
      </c>
      <c r="E587" s="596"/>
      <c r="F587" s="595"/>
      <c r="G587" s="596"/>
      <c r="H587" s="597"/>
      <c r="I587" s="644"/>
      <c r="J587" s="636"/>
      <c r="K587" s="597"/>
      <c r="L587" s="623"/>
    </row>
    <row r="588" ht="16.2" customHeight="1" spans="2:12">
      <c r="B588" s="591"/>
      <c r="C588" s="712"/>
      <c r="D588" s="758" t="s">
        <v>328</v>
      </c>
      <c r="E588" s="596" t="s">
        <v>54</v>
      </c>
      <c r="F588" s="664" t="s">
        <v>369</v>
      </c>
      <c r="G588" s="596"/>
      <c r="H588" s="597"/>
      <c r="I588" s="637">
        <v>0</v>
      </c>
      <c r="J588" s="636" t="s">
        <v>159</v>
      </c>
      <c r="K588" s="597"/>
      <c r="L588" s="623"/>
    </row>
    <row r="589" ht="16.2" customHeight="1" spans="2:12">
      <c r="B589" s="591"/>
      <c r="C589" s="712"/>
      <c r="D589" s="758" t="s">
        <v>330</v>
      </c>
      <c r="E589" s="596" t="s">
        <v>54</v>
      </c>
      <c r="F589" s="664" t="s">
        <v>369</v>
      </c>
      <c r="G589" s="596"/>
      <c r="H589" s="597"/>
      <c r="I589" s="637">
        <v>0</v>
      </c>
      <c r="J589" s="636" t="s">
        <v>159</v>
      </c>
      <c r="K589" s="597"/>
      <c r="L589" s="623"/>
    </row>
    <row r="590" ht="16.2" customHeight="1" spans="2:12">
      <c r="B590" s="591"/>
      <c r="C590" s="712"/>
      <c r="D590" s="758" t="s">
        <v>331</v>
      </c>
      <c r="E590" s="596" t="s">
        <v>54</v>
      </c>
      <c r="F590" s="664" t="s">
        <v>369</v>
      </c>
      <c r="G590" s="596"/>
      <c r="H590" s="597"/>
      <c r="I590" s="637">
        <v>0</v>
      </c>
      <c r="J590" s="636" t="s">
        <v>159</v>
      </c>
      <c r="K590" s="597"/>
      <c r="L590" s="623"/>
    </row>
    <row r="591" ht="16.2" customHeight="1" spans="2:12">
      <c r="B591" s="591"/>
      <c r="C591" s="712"/>
      <c r="D591" s="758" t="s">
        <v>332</v>
      </c>
      <c r="E591" s="596" t="s">
        <v>54</v>
      </c>
      <c r="F591" s="664" t="s">
        <v>369</v>
      </c>
      <c r="G591" s="596"/>
      <c r="H591" s="597"/>
      <c r="I591" s="637">
        <v>0</v>
      </c>
      <c r="J591" s="636" t="s">
        <v>159</v>
      </c>
      <c r="K591" s="597"/>
      <c r="L591" s="623"/>
    </row>
    <row r="592" ht="16.2" customHeight="1" spans="2:12">
      <c r="B592" s="591"/>
      <c r="C592" s="712"/>
      <c r="D592" s="758" t="s">
        <v>333</v>
      </c>
      <c r="E592" s="596" t="s">
        <v>54</v>
      </c>
      <c r="F592" s="664" t="s">
        <v>369</v>
      </c>
      <c r="G592" s="596"/>
      <c r="H592" s="597"/>
      <c r="I592" s="637">
        <v>0</v>
      </c>
      <c r="J592" s="636" t="s">
        <v>159</v>
      </c>
      <c r="K592" s="597"/>
      <c r="L592" s="623"/>
    </row>
    <row r="593" ht="16.2" customHeight="1" spans="2:12">
      <c r="B593" s="591"/>
      <c r="C593" s="712"/>
      <c r="D593" s="758" t="s">
        <v>334</v>
      </c>
      <c r="E593" s="596" t="s">
        <v>54</v>
      </c>
      <c r="F593" s="664" t="s">
        <v>369</v>
      </c>
      <c r="G593" s="596"/>
      <c r="H593" s="597"/>
      <c r="I593" s="637">
        <v>200</v>
      </c>
      <c r="J593" s="636" t="s">
        <v>159</v>
      </c>
      <c r="K593" s="597"/>
      <c r="L593" s="623"/>
    </row>
    <row r="594" ht="16.2" customHeight="1" spans="2:12">
      <c r="B594" s="591"/>
      <c r="C594" s="712"/>
      <c r="D594" s="758" t="s">
        <v>335</v>
      </c>
      <c r="E594" s="596" t="s">
        <v>54</v>
      </c>
      <c r="F594" s="664" t="s">
        <v>369</v>
      </c>
      <c r="G594" s="596"/>
      <c r="H594" s="597"/>
      <c r="I594" s="637">
        <v>0</v>
      </c>
      <c r="J594" s="636" t="s">
        <v>159</v>
      </c>
      <c r="K594" s="597"/>
      <c r="L594" s="623"/>
    </row>
    <row r="595" ht="16.2" customHeight="1" spans="2:12">
      <c r="B595" s="591"/>
      <c r="C595" s="712"/>
      <c r="D595" s="758" t="s">
        <v>336</v>
      </c>
      <c r="E595" s="596" t="s">
        <v>54</v>
      </c>
      <c r="F595" s="664" t="s">
        <v>369</v>
      </c>
      <c r="G595" s="596"/>
      <c r="H595" s="597"/>
      <c r="I595" s="637">
        <v>0</v>
      </c>
      <c r="J595" s="636" t="s">
        <v>159</v>
      </c>
      <c r="K595" s="597"/>
      <c r="L595" s="623"/>
    </row>
    <row r="596" ht="16.2" customHeight="1" spans="2:12">
      <c r="B596" s="591"/>
      <c r="C596" s="712"/>
      <c r="D596" s="758" t="s">
        <v>337</v>
      </c>
      <c r="E596" s="596" t="s">
        <v>54</v>
      </c>
      <c r="F596" s="664" t="s">
        <v>369</v>
      </c>
      <c r="G596" s="596"/>
      <c r="H596" s="597"/>
      <c r="I596" s="637">
        <v>0</v>
      </c>
      <c r="J596" s="636" t="s">
        <v>159</v>
      </c>
      <c r="K596" s="597"/>
      <c r="L596" s="623"/>
    </row>
    <row r="597" ht="16.2" customHeight="1" spans="2:12">
      <c r="B597" s="591"/>
      <c r="C597" s="712"/>
      <c r="D597" s="758" t="s">
        <v>338</v>
      </c>
      <c r="E597" s="596" t="s">
        <v>54</v>
      </c>
      <c r="F597" s="664" t="s">
        <v>369</v>
      </c>
      <c r="G597" s="596"/>
      <c r="H597" s="597"/>
      <c r="I597" s="637">
        <v>0</v>
      </c>
      <c r="J597" s="636" t="s">
        <v>159</v>
      </c>
      <c r="K597" s="597"/>
      <c r="L597" s="623"/>
    </row>
    <row r="598" ht="16.2" customHeight="1" spans="2:12">
      <c r="B598" s="591"/>
      <c r="C598" s="712"/>
      <c r="D598" s="758" t="s">
        <v>339</v>
      </c>
      <c r="E598" s="596" t="s">
        <v>54</v>
      </c>
      <c r="F598" s="664" t="s">
        <v>369</v>
      </c>
      <c r="G598" s="596"/>
      <c r="H598" s="597"/>
      <c r="I598" s="637">
        <v>0</v>
      </c>
      <c r="J598" s="636" t="s">
        <v>159</v>
      </c>
      <c r="K598" s="597"/>
      <c r="L598" s="623"/>
    </row>
    <row r="599" ht="16.2" customHeight="1" spans="2:12">
      <c r="B599" s="591"/>
      <c r="C599" s="712"/>
      <c r="D599" s="758" t="s">
        <v>340</v>
      </c>
      <c r="E599" s="596" t="s">
        <v>54</v>
      </c>
      <c r="F599" s="664" t="s">
        <v>369</v>
      </c>
      <c r="G599" s="596"/>
      <c r="H599" s="597"/>
      <c r="I599" s="637">
        <v>0</v>
      </c>
      <c r="J599" s="636" t="s">
        <v>159</v>
      </c>
      <c r="K599" s="597"/>
      <c r="L599" s="623"/>
    </row>
    <row r="600" ht="16.2" customHeight="1" spans="2:12">
      <c r="B600" s="591"/>
      <c r="C600" s="712"/>
      <c r="D600" s="758" t="s">
        <v>341</v>
      </c>
      <c r="E600" s="596" t="s">
        <v>54</v>
      </c>
      <c r="F600" s="664" t="s">
        <v>369</v>
      </c>
      <c r="G600" s="596"/>
      <c r="H600" s="597"/>
      <c r="I600" s="637">
        <v>0</v>
      </c>
      <c r="J600" s="636" t="s">
        <v>159</v>
      </c>
      <c r="K600" s="597"/>
      <c r="L600" s="623"/>
    </row>
    <row r="601" ht="16.2" customHeight="1" spans="2:12">
      <c r="B601" s="591"/>
      <c r="C601" s="712"/>
      <c r="D601" s="758" t="s">
        <v>342</v>
      </c>
      <c r="E601" s="596" t="s">
        <v>54</v>
      </c>
      <c r="F601" s="664" t="s">
        <v>369</v>
      </c>
      <c r="G601" s="596"/>
      <c r="H601" s="597"/>
      <c r="I601" s="637">
        <v>0</v>
      </c>
      <c r="J601" s="636" t="s">
        <v>159</v>
      </c>
      <c r="K601" s="597"/>
      <c r="L601" s="623"/>
    </row>
    <row r="602" ht="16.2" customHeight="1" spans="2:12">
      <c r="B602" s="591"/>
      <c r="C602" s="712"/>
      <c r="D602" s="758" t="s">
        <v>343</v>
      </c>
      <c r="E602" s="596" t="s">
        <v>54</v>
      </c>
      <c r="F602" s="664" t="s">
        <v>369</v>
      </c>
      <c r="G602" s="596"/>
      <c r="H602" s="597"/>
      <c r="I602" s="637">
        <v>0</v>
      </c>
      <c r="J602" s="636" t="s">
        <v>159</v>
      </c>
      <c r="K602" s="597"/>
      <c r="L602" s="623"/>
    </row>
    <row r="603" ht="16.2" customHeight="1" spans="2:12">
      <c r="B603" s="591"/>
      <c r="C603" s="712"/>
      <c r="D603" s="758" t="s">
        <v>344</v>
      </c>
      <c r="E603" s="596" t="s">
        <v>54</v>
      </c>
      <c r="F603" s="664" t="s">
        <v>369</v>
      </c>
      <c r="G603" s="596"/>
      <c r="H603" s="597"/>
      <c r="I603" s="637">
        <v>0</v>
      </c>
      <c r="J603" s="636" t="s">
        <v>159</v>
      </c>
      <c r="K603" s="597"/>
      <c r="L603" s="623"/>
    </row>
    <row r="604" ht="16.2" customHeight="1" spans="2:12">
      <c r="B604" s="591"/>
      <c r="C604" s="712"/>
      <c r="D604" s="758" t="s">
        <v>345</v>
      </c>
      <c r="E604" s="596" t="s">
        <v>54</v>
      </c>
      <c r="F604" s="664" t="s">
        <v>369</v>
      </c>
      <c r="G604" s="596"/>
      <c r="H604" s="597"/>
      <c r="I604" s="637">
        <v>0</v>
      </c>
      <c r="J604" s="636" t="s">
        <v>159</v>
      </c>
      <c r="K604" s="597"/>
      <c r="L604" s="623"/>
    </row>
    <row r="605" ht="16.2" customHeight="1" spans="2:12">
      <c r="B605" s="591"/>
      <c r="C605" s="712"/>
      <c r="D605" s="758" t="s">
        <v>346</v>
      </c>
      <c r="E605" s="596" t="s">
        <v>54</v>
      </c>
      <c r="F605" s="664" t="s">
        <v>369</v>
      </c>
      <c r="G605" s="596"/>
      <c r="H605" s="597"/>
      <c r="I605" s="637">
        <v>0</v>
      </c>
      <c r="J605" s="636" t="s">
        <v>159</v>
      </c>
      <c r="K605" s="597"/>
      <c r="L605" s="623"/>
    </row>
    <row r="606" ht="16.2" customHeight="1" spans="2:12">
      <c r="B606" s="591"/>
      <c r="C606" s="712"/>
      <c r="D606" s="758" t="s">
        <v>347</v>
      </c>
      <c r="E606" s="596" t="s">
        <v>54</v>
      </c>
      <c r="F606" s="664" t="s">
        <v>369</v>
      </c>
      <c r="G606" s="596"/>
      <c r="H606" s="597"/>
      <c r="I606" s="637">
        <v>0</v>
      </c>
      <c r="J606" s="636" t="s">
        <v>159</v>
      </c>
      <c r="K606" s="597"/>
      <c r="L606" s="623"/>
    </row>
    <row r="607" ht="16.2" customHeight="1" spans="2:12">
      <c r="B607" s="591"/>
      <c r="C607" s="712"/>
      <c r="D607" s="758" t="s">
        <v>348</v>
      </c>
      <c r="E607" s="596" t="s">
        <v>54</v>
      </c>
      <c r="F607" s="664" t="s">
        <v>369</v>
      </c>
      <c r="G607" s="596"/>
      <c r="H607" s="597"/>
      <c r="I607" s="637">
        <v>0</v>
      </c>
      <c r="J607" s="636" t="s">
        <v>159</v>
      </c>
      <c r="K607" s="597"/>
      <c r="L607" s="623"/>
    </row>
    <row r="608" ht="16.2" customHeight="1" spans="2:12">
      <c r="B608" s="591"/>
      <c r="C608" s="712"/>
      <c r="D608" s="758" t="s">
        <v>349</v>
      </c>
      <c r="E608" s="596" t="s">
        <v>54</v>
      </c>
      <c r="F608" s="664" t="s">
        <v>369</v>
      </c>
      <c r="G608" s="596"/>
      <c r="H608" s="597"/>
      <c r="I608" s="637">
        <v>0</v>
      </c>
      <c r="J608" s="636" t="s">
        <v>159</v>
      </c>
      <c r="K608" s="597"/>
      <c r="L608" s="623"/>
    </row>
    <row r="609" ht="16.2" customHeight="1" spans="2:12">
      <c r="B609" s="591"/>
      <c r="C609" s="712"/>
      <c r="D609" s="758" t="s">
        <v>350</v>
      </c>
      <c r="E609" s="596" t="s">
        <v>54</v>
      </c>
      <c r="F609" s="664" t="s">
        <v>369</v>
      </c>
      <c r="G609" s="596"/>
      <c r="H609" s="597"/>
      <c r="I609" s="637">
        <v>0</v>
      </c>
      <c r="J609" s="636" t="s">
        <v>159</v>
      </c>
      <c r="K609" s="597"/>
      <c r="L609" s="623"/>
    </row>
    <row r="610" ht="16.2" customHeight="1" spans="2:12">
      <c r="B610" s="591"/>
      <c r="C610" s="712"/>
      <c r="D610" s="758" t="s">
        <v>351</v>
      </c>
      <c r="E610" s="596" t="s">
        <v>54</v>
      </c>
      <c r="F610" s="664" t="s">
        <v>369</v>
      </c>
      <c r="G610" s="596"/>
      <c r="H610" s="597"/>
      <c r="I610" s="637">
        <v>0</v>
      </c>
      <c r="J610" s="636" t="s">
        <v>159</v>
      </c>
      <c r="K610" s="597"/>
      <c r="L610" s="623"/>
    </row>
    <row r="611" ht="16.2" customHeight="1" spans="2:12">
      <c r="B611" s="591"/>
      <c r="C611" s="712"/>
      <c r="D611" s="758" t="s">
        <v>352</v>
      </c>
      <c r="E611" s="596" t="s">
        <v>54</v>
      </c>
      <c r="F611" s="664" t="s">
        <v>369</v>
      </c>
      <c r="G611" s="596"/>
      <c r="H611" s="597"/>
      <c r="I611" s="637">
        <v>0</v>
      </c>
      <c r="J611" s="636" t="s">
        <v>159</v>
      </c>
      <c r="K611" s="597"/>
      <c r="L611" s="623"/>
    </row>
    <row r="612" ht="16.2" customHeight="1" spans="2:12">
      <c r="B612" s="591"/>
      <c r="C612" s="712"/>
      <c r="D612" s="758" t="s">
        <v>353</v>
      </c>
      <c r="E612" s="596" t="s">
        <v>54</v>
      </c>
      <c r="F612" s="664" t="s">
        <v>369</v>
      </c>
      <c r="G612" s="596"/>
      <c r="H612" s="597"/>
      <c r="I612" s="637">
        <v>0</v>
      </c>
      <c r="J612" s="636" t="s">
        <v>159</v>
      </c>
      <c r="K612" s="597"/>
      <c r="L612" s="623"/>
    </row>
    <row r="613" ht="16.2" customHeight="1" spans="2:12">
      <c r="B613" s="591"/>
      <c r="C613" s="712"/>
      <c r="D613" s="758" t="s">
        <v>354</v>
      </c>
      <c r="E613" s="596" t="s">
        <v>54</v>
      </c>
      <c r="F613" s="664" t="s">
        <v>369</v>
      </c>
      <c r="G613" s="596"/>
      <c r="H613" s="597"/>
      <c r="I613" s="637">
        <v>0</v>
      </c>
      <c r="J613" s="636" t="s">
        <v>159</v>
      </c>
      <c r="K613" s="597"/>
      <c r="L613" s="623"/>
    </row>
    <row r="614" ht="16.2" customHeight="1" spans="2:12">
      <c r="B614" s="591"/>
      <c r="C614" s="712"/>
      <c r="D614" s="758" t="s">
        <v>355</v>
      </c>
      <c r="E614" s="596" t="s">
        <v>54</v>
      </c>
      <c r="F614" s="664" t="s">
        <v>369</v>
      </c>
      <c r="G614" s="596"/>
      <c r="H614" s="597"/>
      <c r="I614" s="637">
        <v>0</v>
      </c>
      <c r="J614" s="636" t="s">
        <v>159</v>
      </c>
      <c r="K614" s="597"/>
      <c r="L614" s="623"/>
    </row>
    <row r="615" ht="18.45" customHeight="1" spans="2:12">
      <c r="B615" s="591"/>
      <c r="C615" s="712"/>
      <c r="D615" s="697" t="s">
        <v>405</v>
      </c>
      <c r="E615" s="596"/>
      <c r="F615" s="595"/>
      <c r="G615" s="596"/>
      <c r="H615" s="597"/>
      <c r="I615" s="644"/>
      <c r="J615" s="636"/>
      <c r="K615" s="597"/>
      <c r="L615" s="623"/>
    </row>
    <row r="616" ht="18.45" customHeight="1" spans="2:12">
      <c r="B616" s="591"/>
      <c r="C616" s="712"/>
      <c r="D616" s="758" t="s">
        <v>328</v>
      </c>
      <c r="E616" s="596" t="s">
        <v>54</v>
      </c>
      <c r="F616" s="664" t="s">
        <v>369</v>
      </c>
      <c r="G616" s="596"/>
      <c r="H616" s="597"/>
      <c r="I616" s="637">
        <v>0</v>
      </c>
      <c r="J616" s="636" t="s">
        <v>159</v>
      </c>
      <c r="K616" s="597"/>
      <c r="L616" s="623"/>
    </row>
    <row r="617" ht="18.45" customHeight="1" spans="2:12">
      <c r="B617" s="591"/>
      <c r="C617" s="712"/>
      <c r="D617" s="758" t="s">
        <v>330</v>
      </c>
      <c r="E617" s="596" t="s">
        <v>54</v>
      </c>
      <c r="F617" s="664" t="s">
        <v>369</v>
      </c>
      <c r="G617" s="596"/>
      <c r="H617" s="597"/>
      <c r="I617" s="637">
        <v>0</v>
      </c>
      <c r="J617" s="636" t="s">
        <v>159</v>
      </c>
      <c r="K617" s="597"/>
      <c r="L617" s="623"/>
    </row>
    <row r="618" ht="18.45" customHeight="1" spans="2:12">
      <c r="B618" s="591"/>
      <c r="C618" s="712"/>
      <c r="D618" s="758" t="s">
        <v>331</v>
      </c>
      <c r="E618" s="596" t="s">
        <v>54</v>
      </c>
      <c r="F618" s="664" t="s">
        <v>369</v>
      </c>
      <c r="G618" s="596"/>
      <c r="H618" s="597"/>
      <c r="I618" s="637">
        <v>0</v>
      </c>
      <c r="J618" s="636" t="s">
        <v>159</v>
      </c>
      <c r="K618" s="597"/>
      <c r="L618" s="623"/>
    </row>
    <row r="619" ht="18.45" customHeight="1" spans="2:12">
      <c r="B619" s="591"/>
      <c r="C619" s="712"/>
      <c r="D619" s="758" t="s">
        <v>332</v>
      </c>
      <c r="E619" s="596" t="s">
        <v>54</v>
      </c>
      <c r="F619" s="664" t="s">
        <v>369</v>
      </c>
      <c r="G619" s="596"/>
      <c r="H619" s="597"/>
      <c r="I619" s="637">
        <v>0</v>
      </c>
      <c r="J619" s="636" t="s">
        <v>159</v>
      </c>
      <c r="K619" s="597"/>
      <c r="L619" s="623"/>
    </row>
    <row r="620" ht="18.45" customHeight="1" spans="2:12">
      <c r="B620" s="591"/>
      <c r="C620" s="712"/>
      <c r="D620" s="758" t="s">
        <v>333</v>
      </c>
      <c r="E620" s="596" t="s">
        <v>54</v>
      </c>
      <c r="F620" s="664" t="s">
        <v>369</v>
      </c>
      <c r="G620" s="596"/>
      <c r="H620" s="597"/>
      <c r="I620" s="637">
        <v>0</v>
      </c>
      <c r="J620" s="636" t="s">
        <v>159</v>
      </c>
      <c r="K620" s="597"/>
      <c r="L620" s="623"/>
    </row>
    <row r="621" ht="18.45" customHeight="1" spans="2:12">
      <c r="B621" s="591"/>
      <c r="C621" s="712"/>
      <c r="D621" s="758" t="s">
        <v>334</v>
      </c>
      <c r="E621" s="596" t="s">
        <v>54</v>
      </c>
      <c r="F621" s="664" t="s">
        <v>369</v>
      </c>
      <c r="G621" s="596"/>
      <c r="H621" s="597"/>
      <c r="I621" s="637">
        <v>0</v>
      </c>
      <c r="J621" s="636" t="s">
        <v>159</v>
      </c>
      <c r="K621" s="597"/>
      <c r="L621" s="623"/>
    </row>
    <row r="622" ht="18.45" customHeight="1" spans="2:12">
      <c r="B622" s="591"/>
      <c r="C622" s="712"/>
      <c r="D622" s="758" t="s">
        <v>335</v>
      </c>
      <c r="E622" s="596" t="s">
        <v>54</v>
      </c>
      <c r="F622" s="664" t="s">
        <v>369</v>
      </c>
      <c r="G622" s="596"/>
      <c r="H622" s="597"/>
      <c r="I622" s="637">
        <v>10</v>
      </c>
      <c r="J622" s="636" t="s">
        <v>159</v>
      </c>
      <c r="K622" s="597"/>
      <c r="L622" s="623"/>
    </row>
    <row r="623" ht="18.45" customHeight="1" spans="2:12">
      <c r="B623" s="591"/>
      <c r="C623" s="712"/>
      <c r="D623" s="758" t="s">
        <v>336</v>
      </c>
      <c r="E623" s="596" t="s">
        <v>54</v>
      </c>
      <c r="F623" s="664" t="s">
        <v>369</v>
      </c>
      <c r="G623" s="596"/>
      <c r="H623" s="597"/>
      <c r="I623" s="637">
        <v>10</v>
      </c>
      <c r="J623" s="636" t="s">
        <v>159</v>
      </c>
      <c r="K623" s="597"/>
      <c r="L623" s="623"/>
    </row>
    <row r="624" ht="18.45" customHeight="1" spans="2:12">
      <c r="B624" s="591"/>
      <c r="C624" s="712"/>
      <c r="D624" s="758" t="s">
        <v>337</v>
      </c>
      <c r="E624" s="596" t="s">
        <v>54</v>
      </c>
      <c r="F624" s="664" t="s">
        <v>369</v>
      </c>
      <c r="G624" s="596"/>
      <c r="H624" s="597"/>
      <c r="I624" s="637">
        <v>10</v>
      </c>
      <c r="J624" s="636" t="s">
        <v>159</v>
      </c>
      <c r="K624" s="597"/>
      <c r="L624" s="623"/>
    </row>
    <row r="625" ht="18.45" customHeight="1" spans="2:12">
      <c r="B625" s="591"/>
      <c r="C625" s="712"/>
      <c r="D625" s="758" t="s">
        <v>338</v>
      </c>
      <c r="E625" s="596" t="s">
        <v>54</v>
      </c>
      <c r="F625" s="664" t="s">
        <v>369</v>
      </c>
      <c r="G625" s="596"/>
      <c r="H625" s="597"/>
      <c r="I625" s="637">
        <v>10</v>
      </c>
      <c r="J625" s="636" t="s">
        <v>159</v>
      </c>
      <c r="K625" s="597"/>
      <c r="L625" s="623"/>
    </row>
    <row r="626" ht="18.45" customHeight="1" spans="2:12">
      <c r="B626" s="591"/>
      <c r="C626" s="712"/>
      <c r="D626" s="758" t="s">
        <v>339</v>
      </c>
      <c r="E626" s="596" t="s">
        <v>54</v>
      </c>
      <c r="F626" s="664" t="s">
        <v>369</v>
      </c>
      <c r="G626" s="596"/>
      <c r="H626" s="597"/>
      <c r="I626" s="637">
        <v>10</v>
      </c>
      <c r="J626" s="636" t="s">
        <v>159</v>
      </c>
      <c r="K626" s="597"/>
      <c r="L626" s="623"/>
    </row>
    <row r="627" ht="18.45" customHeight="1" spans="2:12">
      <c r="B627" s="591"/>
      <c r="C627" s="712"/>
      <c r="D627" s="758" t="s">
        <v>340</v>
      </c>
      <c r="E627" s="596" t="s">
        <v>54</v>
      </c>
      <c r="F627" s="664" t="s">
        <v>369</v>
      </c>
      <c r="G627" s="596"/>
      <c r="H627" s="597"/>
      <c r="I627" s="637">
        <v>10</v>
      </c>
      <c r="J627" s="636" t="s">
        <v>159</v>
      </c>
      <c r="K627" s="597"/>
      <c r="L627" s="623"/>
    </row>
    <row r="628" ht="18.45" customHeight="1" spans="2:12">
      <c r="B628" s="591"/>
      <c r="C628" s="712"/>
      <c r="D628" s="758" t="s">
        <v>341</v>
      </c>
      <c r="E628" s="596" t="s">
        <v>54</v>
      </c>
      <c r="F628" s="664" t="s">
        <v>369</v>
      </c>
      <c r="G628" s="596"/>
      <c r="H628" s="597"/>
      <c r="I628" s="637">
        <v>10</v>
      </c>
      <c r="J628" s="636" t="s">
        <v>159</v>
      </c>
      <c r="K628" s="597"/>
      <c r="L628" s="623"/>
    </row>
    <row r="629" ht="18.45" customHeight="1" spans="2:12">
      <c r="B629" s="591"/>
      <c r="C629" s="712"/>
      <c r="D629" s="758" t="s">
        <v>342</v>
      </c>
      <c r="E629" s="596" t="s">
        <v>54</v>
      </c>
      <c r="F629" s="664" t="s">
        <v>369</v>
      </c>
      <c r="G629" s="596"/>
      <c r="H629" s="597"/>
      <c r="I629" s="637">
        <v>10</v>
      </c>
      <c r="J629" s="636" t="s">
        <v>159</v>
      </c>
      <c r="K629" s="597"/>
      <c r="L629" s="623"/>
    </row>
    <row r="630" ht="18.45" customHeight="1" spans="2:12">
      <c r="B630" s="591"/>
      <c r="C630" s="712"/>
      <c r="D630" s="758" t="s">
        <v>343</v>
      </c>
      <c r="E630" s="596" t="s">
        <v>54</v>
      </c>
      <c r="F630" s="664" t="s">
        <v>369</v>
      </c>
      <c r="G630" s="596"/>
      <c r="H630" s="597"/>
      <c r="I630" s="637">
        <v>10</v>
      </c>
      <c r="J630" s="636" t="s">
        <v>159</v>
      </c>
      <c r="K630" s="597"/>
      <c r="L630" s="623"/>
    </row>
    <row r="631" ht="18.45" customHeight="1" spans="2:12">
      <c r="B631" s="591"/>
      <c r="C631" s="712"/>
      <c r="D631" s="758" t="s">
        <v>344</v>
      </c>
      <c r="E631" s="596" t="s">
        <v>54</v>
      </c>
      <c r="F631" s="664" t="s">
        <v>369</v>
      </c>
      <c r="G631" s="596"/>
      <c r="H631" s="597"/>
      <c r="I631" s="637">
        <v>10</v>
      </c>
      <c r="J631" s="636" t="s">
        <v>159</v>
      </c>
      <c r="K631" s="597"/>
      <c r="L631" s="623"/>
    </row>
    <row r="632" ht="18.45" customHeight="1" spans="2:12">
      <c r="B632" s="591"/>
      <c r="C632" s="712"/>
      <c r="D632" s="758" t="s">
        <v>345</v>
      </c>
      <c r="E632" s="596" t="s">
        <v>54</v>
      </c>
      <c r="F632" s="664" t="s">
        <v>369</v>
      </c>
      <c r="G632" s="596"/>
      <c r="H632" s="597"/>
      <c r="I632" s="637">
        <v>10</v>
      </c>
      <c r="J632" s="636" t="s">
        <v>159</v>
      </c>
      <c r="K632" s="597"/>
      <c r="L632" s="623"/>
    </row>
    <row r="633" ht="18.45" customHeight="1" spans="2:12">
      <c r="B633" s="591"/>
      <c r="C633" s="712"/>
      <c r="D633" s="758" t="s">
        <v>346</v>
      </c>
      <c r="E633" s="596" t="s">
        <v>54</v>
      </c>
      <c r="F633" s="664" t="s">
        <v>369</v>
      </c>
      <c r="G633" s="596"/>
      <c r="H633" s="597"/>
      <c r="I633" s="637">
        <v>10</v>
      </c>
      <c r="J633" s="636" t="s">
        <v>159</v>
      </c>
      <c r="K633" s="597"/>
      <c r="L633" s="623"/>
    </row>
    <row r="634" ht="18.45" customHeight="1" spans="2:12">
      <c r="B634" s="591"/>
      <c r="C634" s="712"/>
      <c r="D634" s="758" t="s">
        <v>347</v>
      </c>
      <c r="E634" s="596" t="s">
        <v>54</v>
      </c>
      <c r="F634" s="664" t="s">
        <v>369</v>
      </c>
      <c r="G634" s="596"/>
      <c r="H634" s="597"/>
      <c r="I634" s="637">
        <v>10</v>
      </c>
      <c r="J634" s="636" t="s">
        <v>159</v>
      </c>
      <c r="K634" s="597"/>
      <c r="L634" s="623"/>
    </row>
    <row r="635" ht="18.45" customHeight="1" spans="2:12">
      <c r="B635" s="591"/>
      <c r="C635" s="712"/>
      <c r="D635" s="758" t="s">
        <v>348</v>
      </c>
      <c r="E635" s="596" t="s">
        <v>54</v>
      </c>
      <c r="F635" s="664" t="s">
        <v>369</v>
      </c>
      <c r="G635" s="596"/>
      <c r="H635" s="597"/>
      <c r="I635" s="637">
        <v>10</v>
      </c>
      <c r="J635" s="636" t="s">
        <v>159</v>
      </c>
      <c r="K635" s="597"/>
      <c r="L635" s="623"/>
    </row>
    <row r="636" ht="18.45" customHeight="1" spans="2:12">
      <c r="B636" s="591"/>
      <c r="C636" s="712"/>
      <c r="D636" s="758" t="s">
        <v>349</v>
      </c>
      <c r="E636" s="596" t="s">
        <v>54</v>
      </c>
      <c r="F636" s="664" t="s">
        <v>369</v>
      </c>
      <c r="G636" s="596"/>
      <c r="H636" s="597"/>
      <c r="I636" s="637">
        <v>10</v>
      </c>
      <c r="J636" s="636" t="s">
        <v>159</v>
      </c>
      <c r="K636" s="597"/>
      <c r="L636" s="623"/>
    </row>
    <row r="637" ht="18.45" customHeight="1" spans="2:12">
      <c r="B637" s="591"/>
      <c r="C637" s="712"/>
      <c r="D637" s="758" t="s">
        <v>350</v>
      </c>
      <c r="E637" s="596" t="s">
        <v>54</v>
      </c>
      <c r="F637" s="664" t="s">
        <v>369</v>
      </c>
      <c r="G637" s="596"/>
      <c r="H637" s="597"/>
      <c r="I637" s="637">
        <v>10</v>
      </c>
      <c r="J637" s="636" t="s">
        <v>159</v>
      </c>
      <c r="K637" s="597"/>
      <c r="L637" s="623"/>
    </row>
    <row r="638" ht="18.45" customHeight="1" spans="2:12">
      <c r="B638" s="591"/>
      <c r="C638" s="712"/>
      <c r="D638" s="758" t="s">
        <v>351</v>
      </c>
      <c r="E638" s="596" t="s">
        <v>54</v>
      </c>
      <c r="F638" s="664" t="s">
        <v>369</v>
      </c>
      <c r="G638" s="596"/>
      <c r="H638" s="597"/>
      <c r="I638" s="637">
        <v>10</v>
      </c>
      <c r="J638" s="636" t="s">
        <v>159</v>
      </c>
      <c r="K638" s="597"/>
      <c r="L638" s="623"/>
    </row>
    <row r="639" ht="18.45" customHeight="1" spans="2:12">
      <c r="B639" s="591"/>
      <c r="C639" s="712"/>
      <c r="D639" s="758" t="s">
        <v>352</v>
      </c>
      <c r="E639" s="596" t="s">
        <v>54</v>
      </c>
      <c r="F639" s="664" t="s">
        <v>369</v>
      </c>
      <c r="G639" s="596"/>
      <c r="H639" s="597"/>
      <c r="I639" s="637">
        <v>10</v>
      </c>
      <c r="J639" s="636" t="s">
        <v>159</v>
      </c>
      <c r="K639" s="597"/>
      <c r="L639" s="623"/>
    </row>
    <row r="640" ht="18.45" customHeight="1" spans="2:12">
      <c r="B640" s="591"/>
      <c r="C640" s="712"/>
      <c r="D640" s="758" t="s">
        <v>353</v>
      </c>
      <c r="E640" s="596" t="s">
        <v>54</v>
      </c>
      <c r="F640" s="664" t="s">
        <v>369</v>
      </c>
      <c r="G640" s="596"/>
      <c r="H640" s="597"/>
      <c r="I640" s="637">
        <v>10</v>
      </c>
      <c r="J640" s="636" t="s">
        <v>159</v>
      </c>
      <c r="K640" s="597"/>
      <c r="L640" s="623"/>
    </row>
    <row r="641" ht="18.45" customHeight="1" spans="2:12">
      <c r="B641" s="591"/>
      <c r="C641" s="712"/>
      <c r="D641" s="758" t="s">
        <v>354</v>
      </c>
      <c r="E641" s="596" t="s">
        <v>54</v>
      </c>
      <c r="F641" s="664" t="s">
        <v>369</v>
      </c>
      <c r="G641" s="596"/>
      <c r="H641" s="597"/>
      <c r="I641" s="637">
        <v>10</v>
      </c>
      <c r="J641" s="636" t="s">
        <v>159</v>
      </c>
      <c r="K641" s="597"/>
      <c r="L641" s="623"/>
    </row>
    <row r="642" ht="18.45" customHeight="1" spans="2:12">
      <c r="B642" s="591"/>
      <c r="C642" s="712"/>
      <c r="D642" s="758" t="s">
        <v>355</v>
      </c>
      <c r="E642" s="596" t="s">
        <v>54</v>
      </c>
      <c r="F642" s="664" t="s">
        <v>369</v>
      </c>
      <c r="G642" s="596"/>
      <c r="H642" s="597"/>
      <c r="I642" s="637">
        <v>0</v>
      </c>
      <c r="J642" s="636" t="s">
        <v>159</v>
      </c>
      <c r="K642" s="597"/>
      <c r="L642" s="623"/>
    </row>
    <row r="643" ht="18.45" customHeight="1" spans="2:12">
      <c r="B643" s="591" t="s">
        <v>406</v>
      </c>
      <c r="C643" s="592">
        <v>1</v>
      </c>
      <c r="D643" s="593" t="s">
        <v>407</v>
      </c>
      <c r="E643" s="596"/>
      <c r="F643" s="664"/>
      <c r="G643" s="596"/>
      <c r="H643" s="597"/>
      <c r="I643" s="637"/>
      <c r="J643" s="636"/>
      <c r="K643" s="597"/>
      <c r="L643" s="623"/>
    </row>
    <row r="644" ht="18.45" customHeight="1" spans="2:12">
      <c r="B644" s="591"/>
      <c r="C644" s="598">
        <v>1.1</v>
      </c>
      <c r="D644" s="771" t="s">
        <v>408</v>
      </c>
      <c r="E644" s="596" t="s">
        <v>54</v>
      </c>
      <c r="F644" s="664" t="s">
        <v>249</v>
      </c>
      <c r="G644" s="596"/>
      <c r="H644" s="597"/>
      <c r="I644" s="776">
        <f>'表10-资产负债表(标准格式)'!H30</f>
        <v>2439.04878</v>
      </c>
      <c r="J644" s="636" t="s">
        <v>24</v>
      </c>
      <c r="K644" s="597"/>
      <c r="L644" s="623"/>
    </row>
    <row r="645" ht="22.95" customHeight="1" spans="2:12">
      <c r="B645" s="591"/>
      <c r="C645" s="598">
        <v>1.2</v>
      </c>
      <c r="D645" s="771" t="s">
        <v>409</v>
      </c>
      <c r="E645" s="596" t="s">
        <v>91</v>
      </c>
      <c r="F645" s="664" t="s">
        <v>176</v>
      </c>
      <c r="G645" s="596"/>
      <c r="H645" s="665" t="s">
        <v>410</v>
      </c>
      <c r="I645" s="637"/>
      <c r="J645" s="596"/>
      <c r="K645" s="623"/>
      <c r="L645" s="623"/>
    </row>
    <row r="646" ht="22.95" customHeight="1" spans="2:12">
      <c r="B646" s="591"/>
      <c r="C646" s="612"/>
      <c r="D646" s="697" t="s">
        <v>411</v>
      </c>
      <c r="E646" s="596" t="s">
        <v>412</v>
      </c>
      <c r="F646" s="664" t="s">
        <v>176</v>
      </c>
      <c r="G646" s="596"/>
      <c r="H646" s="665"/>
      <c r="I646" s="637">
        <v>0</v>
      </c>
      <c r="J646" s="596" t="s">
        <v>78</v>
      </c>
      <c r="K646" s="623" t="s">
        <v>413</v>
      </c>
      <c r="L646" s="623"/>
    </row>
    <row r="647" ht="22.95" customHeight="1" spans="2:12">
      <c r="B647" s="591"/>
      <c r="C647" s="612"/>
      <c r="D647" s="697" t="s">
        <v>414</v>
      </c>
      <c r="E647" s="596" t="s">
        <v>415</v>
      </c>
      <c r="F647" s="664" t="s">
        <v>176</v>
      </c>
      <c r="G647" s="596"/>
      <c r="H647" s="665"/>
      <c r="I647" s="644" t="s">
        <v>416</v>
      </c>
      <c r="J647" s="596" t="s">
        <v>78</v>
      </c>
      <c r="K647" s="623"/>
      <c r="L647" s="623"/>
    </row>
    <row r="648" ht="70" spans="2:12">
      <c r="B648" s="591"/>
      <c r="C648" s="612">
        <v>2</v>
      </c>
      <c r="D648" s="692" t="s">
        <v>417</v>
      </c>
      <c r="E648" s="772" t="s">
        <v>418</v>
      </c>
      <c r="F648" s="664" t="s">
        <v>176</v>
      </c>
      <c r="G648" s="772"/>
      <c r="H648" s="665" t="s">
        <v>419</v>
      </c>
      <c r="I648" s="644" t="s">
        <v>420</v>
      </c>
      <c r="J648" s="636"/>
      <c r="K648" s="597" t="s">
        <v>421</v>
      </c>
      <c r="L648" s="623"/>
    </row>
    <row r="649" spans="2:12">
      <c r="B649" s="591"/>
      <c r="C649" s="612"/>
      <c r="D649" s="697" t="s">
        <v>411</v>
      </c>
      <c r="E649" s="596" t="s">
        <v>412</v>
      </c>
      <c r="F649" s="664" t="s">
        <v>176</v>
      </c>
      <c r="G649" s="596"/>
      <c r="H649" s="665" t="s">
        <v>422</v>
      </c>
      <c r="I649" s="644">
        <v>0.25</v>
      </c>
      <c r="J649" s="636" t="s">
        <v>78</v>
      </c>
      <c r="K649" s="597"/>
      <c r="L649" s="623"/>
    </row>
    <row r="650" spans="2:12">
      <c r="B650" s="591"/>
      <c r="C650" s="612"/>
      <c r="D650" s="697" t="s">
        <v>423</v>
      </c>
      <c r="E650" s="596" t="s">
        <v>412</v>
      </c>
      <c r="F650" s="664" t="s">
        <v>176</v>
      </c>
      <c r="G650" s="596"/>
      <c r="H650" s="665" t="s">
        <v>424</v>
      </c>
      <c r="I650" s="644">
        <v>0.25</v>
      </c>
      <c r="J650" s="636" t="s">
        <v>78</v>
      </c>
      <c r="K650" s="597" t="s">
        <v>425</v>
      </c>
      <c r="L650" s="623"/>
    </row>
    <row r="651" spans="2:12">
      <c r="B651" s="591"/>
      <c r="C651" s="612"/>
      <c r="D651" s="697" t="s">
        <v>426</v>
      </c>
      <c r="E651" s="596" t="s">
        <v>412</v>
      </c>
      <c r="F651" s="664" t="s">
        <v>176</v>
      </c>
      <c r="G651" s="596"/>
      <c r="H651" s="665" t="s">
        <v>427</v>
      </c>
      <c r="I651" s="644">
        <v>0.15</v>
      </c>
      <c r="J651" s="636" t="s">
        <v>78</v>
      </c>
      <c r="K651" s="597" t="s">
        <v>428</v>
      </c>
      <c r="L651" s="623"/>
    </row>
    <row r="652" spans="2:12">
      <c r="B652" s="591"/>
      <c r="C652" s="612"/>
      <c r="D652" s="692" t="s">
        <v>429</v>
      </c>
      <c r="E652" s="596"/>
      <c r="F652" s="664"/>
      <c r="G652" s="596"/>
      <c r="H652" s="665"/>
      <c r="I652" s="644"/>
      <c r="J652" s="636"/>
      <c r="K652" s="597"/>
      <c r="L652" s="623"/>
    </row>
    <row r="653" ht="15.5" spans="2:12">
      <c r="B653" s="591"/>
      <c r="C653" s="612"/>
      <c r="D653" s="758" t="s">
        <v>328</v>
      </c>
      <c r="E653" s="599" t="s">
        <v>430</v>
      </c>
      <c r="F653" s="664"/>
      <c r="G653" s="596"/>
      <c r="H653" s="665"/>
      <c r="I653" s="777">
        <f>折现率、非经营、长投计算表!$D$11</f>
        <v>0</v>
      </c>
      <c r="J653" s="636"/>
      <c r="K653" s="597"/>
      <c r="L653" s="623"/>
    </row>
    <row r="654" ht="15.5" spans="2:12">
      <c r="B654" s="591"/>
      <c r="C654" s="612"/>
      <c r="D654" s="758" t="s">
        <v>330</v>
      </c>
      <c r="E654" s="599" t="s">
        <v>430</v>
      </c>
      <c r="F654" s="664"/>
      <c r="G654" s="596"/>
      <c r="H654" s="665"/>
      <c r="I654" s="777">
        <f>折现率、非经营、长投计算表!$E$11</f>
        <v>0</v>
      </c>
      <c r="J654" s="636"/>
      <c r="K654" s="597"/>
      <c r="L654" s="623"/>
    </row>
    <row r="655" ht="15.5" spans="2:12">
      <c r="B655" s="591"/>
      <c r="C655" s="612"/>
      <c r="D655" s="758" t="s">
        <v>331</v>
      </c>
      <c r="E655" s="599" t="s">
        <v>430</v>
      </c>
      <c r="F655" s="664"/>
      <c r="G655" s="596"/>
      <c r="H655" s="665"/>
      <c r="I655" s="777">
        <f>折现率、非经营、长投计算表!$F$11</f>
        <v>0</v>
      </c>
      <c r="J655" s="636"/>
      <c r="K655" s="597"/>
      <c r="L655" s="623"/>
    </row>
    <row r="656" ht="15.5" spans="2:12">
      <c r="B656" s="591"/>
      <c r="C656" s="612"/>
      <c r="D656" s="758" t="s">
        <v>332</v>
      </c>
      <c r="E656" s="599" t="s">
        <v>430</v>
      </c>
      <c r="F656" s="664"/>
      <c r="G656" s="596"/>
      <c r="H656" s="665"/>
      <c r="I656" s="777">
        <f>折现率、非经营、长投计算表!$G$11</f>
        <v>0.075</v>
      </c>
      <c r="J656" s="636"/>
      <c r="K656" s="597"/>
      <c r="L656" s="623"/>
    </row>
    <row r="657" ht="15.5" spans="2:12">
      <c r="B657" s="591"/>
      <c r="C657" s="612"/>
      <c r="D657" s="758" t="s">
        <v>333</v>
      </c>
      <c r="E657" s="599" t="s">
        <v>430</v>
      </c>
      <c r="F657" s="664"/>
      <c r="G657" s="596"/>
      <c r="H657" s="665"/>
      <c r="I657" s="777">
        <f>折现率、非经营、长投计算表!$H$11</f>
        <v>0.075</v>
      </c>
      <c r="J657" s="636"/>
      <c r="K657" s="597"/>
      <c r="L657" s="623"/>
    </row>
    <row r="658" ht="15.5" spans="2:12">
      <c r="B658" s="591"/>
      <c r="C658" s="612"/>
      <c r="D658" s="758" t="s">
        <v>334</v>
      </c>
      <c r="E658" s="599" t="s">
        <v>430</v>
      </c>
      <c r="F658" s="664"/>
      <c r="G658" s="596"/>
      <c r="H658" s="665"/>
      <c r="I658" s="777">
        <f>折现率、非经营、长投计算表!$I$11</f>
        <v>0.075</v>
      </c>
      <c r="J658" s="636"/>
      <c r="K658" s="597"/>
      <c r="L658" s="623"/>
    </row>
    <row r="659" ht="15.5" spans="2:12">
      <c r="B659" s="591"/>
      <c r="C659" s="612"/>
      <c r="D659" s="758" t="s">
        <v>335</v>
      </c>
      <c r="E659" s="599" t="s">
        <v>430</v>
      </c>
      <c r="F659" s="664"/>
      <c r="G659" s="596"/>
      <c r="H659" s="665"/>
      <c r="I659" s="777">
        <f>折现率、非经营、长投计算表!$J$11</f>
        <v>0.075</v>
      </c>
      <c r="J659" s="636"/>
      <c r="K659" s="597"/>
      <c r="L659" s="623"/>
    </row>
    <row r="660" ht="15.5" spans="2:12">
      <c r="B660" s="591"/>
      <c r="C660" s="612"/>
      <c r="D660" s="758" t="s">
        <v>336</v>
      </c>
      <c r="E660" s="599" t="s">
        <v>430</v>
      </c>
      <c r="F660" s="664"/>
      <c r="G660" s="596"/>
      <c r="H660" s="665"/>
      <c r="I660" s="777">
        <f>折现率、非经营、长投计算表!$K$11</f>
        <v>0.15</v>
      </c>
      <c r="J660" s="636"/>
      <c r="K660" s="597"/>
      <c r="L660" s="623"/>
    </row>
    <row r="661" ht="15.5" spans="2:12">
      <c r="B661" s="591"/>
      <c r="C661" s="612"/>
      <c r="D661" s="758" t="s">
        <v>337</v>
      </c>
      <c r="E661" s="599" t="s">
        <v>430</v>
      </c>
      <c r="F661" s="664"/>
      <c r="G661" s="596"/>
      <c r="H661" s="665"/>
      <c r="I661" s="777">
        <f>折现率、非经营、长投计算表!$L$11</f>
        <v>0.15</v>
      </c>
      <c r="J661" s="636"/>
      <c r="K661" s="597"/>
      <c r="L661" s="623"/>
    </row>
    <row r="662" ht="15.5" spans="2:12">
      <c r="B662" s="591"/>
      <c r="C662" s="612"/>
      <c r="D662" s="758" t="s">
        <v>338</v>
      </c>
      <c r="E662" s="599" t="s">
        <v>430</v>
      </c>
      <c r="F662" s="664"/>
      <c r="G662" s="596"/>
      <c r="H662" s="665"/>
      <c r="I662" s="777">
        <f>折现率、非经营、长投计算表!$M$11</f>
        <v>0.15</v>
      </c>
      <c r="J662" s="636"/>
      <c r="K662" s="597"/>
      <c r="L662" s="623"/>
    </row>
    <row r="663" ht="15.5" spans="2:12">
      <c r="B663" s="591"/>
      <c r="C663" s="612"/>
      <c r="D663" s="758" t="s">
        <v>339</v>
      </c>
      <c r="E663" s="599" t="s">
        <v>430</v>
      </c>
      <c r="F663" s="664"/>
      <c r="G663" s="596"/>
      <c r="H663" s="665"/>
      <c r="I663" s="777">
        <f>折现率、非经营、长投计算表!$N$11</f>
        <v>0.15</v>
      </c>
      <c r="J663" s="636"/>
      <c r="K663" s="597"/>
      <c r="L663" s="623"/>
    </row>
    <row r="664" ht="15.5" spans="2:12">
      <c r="B664" s="591"/>
      <c r="C664" s="612"/>
      <c r="D664" s="758" t="s">
        <v>340</v>
      </c>
      <c r="E664" s="599" t="s">
        <v>430</v>
      </c>
      <c r="F664" s="664"/>
      <c r="G664" s="596"/>
      <c r="H664" s="665"/>
      <c r="I664" s="777">
        <f>折现率、非经营、长投计算表!$O$11</f>
        <v>0.15</v>
      </c>
      <c r="J664" s="636"/>
      <c r="K664" s="597"/>
      <c r="L664" s="623"/>
    </row>
    <row r="665" ht="15.5" spans="2:12">
      <c r="B665" s="591"/>
      <c r="C665" s="612"/>
      <c r="D665" s="758" t="s">
        <v>341</v>
      </c>
      <c r="E665" s="599" t="s">
        <v>430</v>
      </c>
      <c r="F665" s="664"/>
      <c r="G665" s="596"/>
      <c r="H665" s="665"/>
      <c r="I665" s="777">
        <f>折现率、非经营、长投计算表!$P$11</f>
        <v>0.25</v>
      </c>
      <c r="J665" s="636"/>
      <c r="K665" s="597"/>
      <c r="L665" s="623"/>
    </row>
    <row r="666" ht="15.5" spans="2:12">
      <c r="B666" s="591"/>
      <c r="C666" s="612"/>
      <c r="D666" s="758" t="s">
        <v>342</v>
      </c>
      <c r="E666" s="599" t="s">
        <v>430</v>
      </c>
      <c r="F666" s="664"/>
      <c r="G666" s="596"/>
      <c r="H666" s="665"/>
      <c r="I666" s="777">
        <f>折现率、非经营、长投计算表!$Q$11</f>
        <v>0.25</v>
      </c>
      <c r="J666" s="636"/>
      <c r="K666" s="597"/>
      <c r="L666" s="623"/>
    </row>
    <row r="667" ht="15.5" spans="2:12">
      <c r="B667" s="591"/>
      <c r="C667" s="612"/>
      <c r="D667" s="758" t="s">
        <v>343</v>
      </c>
      <c r="E667" s="599" t="s">
        <v>430</v>
      </c>
      <c r="F667" s="664"/>
      <c r="G667" s="596"/>
      <c r="H667" s="665"/>
      <c r="I667" s="777">
        <f>折现率、非经营、长投计算表!$R$11</f>
        <v>0.25</v>
      </c>
      <c r="J667" s="636"/>
      <c r="K667" s="597"/>
      <c r="L667" s="623"/>
    </row>
    <row r="668" ht="15.5" spans="2:12">
      <c r="B668" s="591"/>
      <c r="C668" s="612"/>
      <c r="D668" s="758" t="s">
        <v>344</v>
      </c>
      <c r="E668" s="599" t="s">
        <v>430</v>
      </c>
      <c r="F668" s="664"/>
      <c r="G668" s="596"/>
      <c r="H668" s="665"/>
      <c r="I668" s="777">
        <f>折现率、非经营、长投计算表!$S$11</f>
        <v>0.25</v>
      </c>
      <c r="J668" s="636"/>
      <c r="K668" s="597"/>
      <c r="L668" s="623"/>
    </row>
    <row r="669" ht="15.5" spans="2:12">
      <c r="B669" s="591"/>
      <c r="C669" s="612"/>
      <c r="D669" s="758" t="s">
        <v>345</v>
      </c>
      <c r="E669" s="599" t="s">
        <v>430</v>
      </c>
      <c r="F669" s="664"/>
      <c r="G669" s="596"/>
      <c r="H669" s="665"/>
      <c r="I669" s="777">
        <f>折现率、非经营、长投计算表!$T$11</f>
        <v>0.25</v>
      </c>
      <c r="J669" s="636"/>
      <c r="K669" s="597"/>
      <c r="L669" s="623"/>
    </row>
    <row r="670" ht="15.5" spans="2:12">
      <c r="B670" s="591"/>
      <c r="C670" s="612"/>
      <c r="D670" s="758" t="s">
        <v>346</v>
      </c>
      <c r="E670" s="599" t="s">
        <v>430</v>
      </c>
      <c r="F670" s="664"/>
      <c r="G670" s="596"/>
      <c r="H670" s="665"/>
      <c r="I670" s="777">
        <f>折现率、非经营、长投计算表!$U$11</f>
        <v>0.25</v>
      </c>
      <c r="J670" s="636"/>
      <c r="K670" s="597"/>
      <c r="L670" s="623"/>
    </row>
    <row r="671" ht="15.5" spans="2:12">
      <c r="B671" s="591"/>
      <c r="C671" s="612"/>
      <c r="D671" s="758" t="s">
        <v>347</v>
      </c>
      <c r="E671" s="599" t="s">
        <v>430</v>
      </c>
      <c r="F671" s="664"/>
      <c r="G671" s="596"/>
      <c r="H671" s="665"/>
      <c r="I671" s="777">
        <f>折现率、非经营、长投计算表!$V$11</f>
        <v>0.25</v>
      </c>
      <c r="J671" s="636"/>
      <c r="K671" s="597"/>
      <c r="L671" s="623"/>
    </row>
    <row r="672" ht="15.5" spans="2:12">
      <c r="B672" s="591"/>
      <c r="C672" s="612"/>
      <c r="D672" s="758" t="s">
        <v>348</v>
      </c>
      <c r="E672" s="599" t="s">
        <v>430</v>
      </c>
      <c r="F672" s="664"/>
      <c r="G672" s="596"/>
      <c r="H672" s="665"/>
      <c r="I672" s="777">
        <f>折现率、非经营、长投计算表!$W$11</f>
        <v>0.25</v>
      </c>
      <c r="J672" s="636"/>
      <c r="K672" s="597"/>
      <c r="L672" s="623"/>
    </row>
    <row r="673" ht="15.5" spans="2:12">
      <c r="B673" s="591"/>
      <c r="C673" s="612"/>
      <c r="D673" s="758" t="s">
        <v>349</v>
      </c>
      <c r="E673" s="599" t="s">
        <v>430</v>
      </c>
      <c r="F673" s="664"/>
      <c r="G673" s="596"/>
      <c r="H673" s="665"/>
      <c r="I673" s="777">
        <f>折现率、非经营、长投计算表!$X$11</f>
        <v>0.25</v>
      </c>
      <c r="J673" s="636"/>
      <c r="K673" s="597"/>
      <c r="L673" s="623"/>
    </row>
    <row r="674" ht="15.5" spans="2:12">
      <c r="B674" s="591"/>
      <c r="C674" s="612"/>
      <c r="D674" s="758" t="s">
        <v>350</v>
      </c>
      <c r="E674" s="599" t="s">
        <v>430</v>
      </c>
      <c r="F674" s="664"/>
      <c r="G674" s="596"/>
      <c r="H674" s="665"/>
      <c r="I674" s="777">
        <f>折现率、非经营、长投计算表!$Y$11</f>
        <v>0.25</v>
      </c>
      <c r="J674" s="636"/>
      <c r="K674" s="597"/>
      <c r="L674" s="623"/>
    </row>
    <row r="675" ht="15.5" spans="2:12">
      <c r="B675" s="591"/>
      <c r="C675" s="612"/>
      <c r="D675" s="758" t="s">
        <v>351</v>
      </c>
      <c r="E675" s="599" t="s">
        <v>430</v>
      </c>
      <c r="F675" s="664"/>
      <c r="G675" s="596"/>
      <c r="H675" s="665"/>
      <c r="I675" s="777">
        <f>折现率、非经营、长投计算表!$Z$11</f>
        <v>0.25</v>
      </c>
      <c r="J675" s="636"/>
      <c r="K675" s="597"/>
      <c r="L675" s="623"/>
    </row>
    <row r="676" ht="15.5" spans="2:12">
      <c r="B676" s="591"/>
      <c r="C676" s="612"/>
      <c r="D676" s="758" t="s">
        <v>352</v>
      </c>
      <c r="E676" s="599" t="s">
        <v>430</v>
      </c>
      <c r="F676" s="664"/>
      <c r="G676" s="596"/>
      <c r="H676" s="665"/>
      <c r="I676" s="777">
        <f>折现率、非经营、长投计算表!$AA$11</f>
        <v>0.25</v>
      </c>
      <c r="J676" s="636"/>
      <c r="K676" s="597"/>
      <c r="L676" s="623"/>
    </row>
    <row r="677" ht="15.5" spans="2:12">
      <c r="B677" s="591"/>
      <c r="C677" s="612"/>
      <c r="D677" s="758" t="s">
        <v>353</v>
      </c>
      <c r="E677" s="599" t="s">
        <v>430</v>
      </c>
      <c r="F677" s="664"/>
      <c r="G677" s="596"/>
      <c r="H677" s="665"/>
      <c r="I677" s="777">
        <f>折现率、非经营、长投计算表!$AB$11</f>
        <v>0.25</v>
      </c>
      <c r="J677" s="636"/>
      <c r="K677" s="597"/>
      <c r="L677" s="623"/>
    </row>
    <row r="678" ht="15.5" spans="2:12">
      <c r="B678" s="591"/>
      <c r="C678" s="612"/>
      <c r="D678" s="758" t="s">
        <v>354</v>
      </c>
      <c r="E678" s="599" t="s">
        <v>430</v>
      </c>
      <c r="F678" s="664"/>
      <c r="G678" s="596"/>
      <c r="H678" s="665"/>
      <c r="I678" s="777">
        <f>折现率、非经营、长投计算表!$AC$11</f>
        <v>0.25</v>
      </c>
      <c r="J678" s="636"/>
      <c r="K678" s="597"/>
      <c r="L678" s="623"/>
    </row>
    <row r="679" ht="15.5" spans="2:12">
      <c r="B679" s="591"/>
      <c r="C679" s="612"/>
      <c r="D679" s="758" t="s">
        <v>355</v>
      </c>
      <c r="E679" s="599" t="s">
        <v>430</v>
      </c>
      <c r="F679" s="664"/>
      <c r="G679" s="596"/>
      <c r="H679" s="665"/>
      <c r="I679" s="777">
        <f>折现率、非经营、长投计算表!$AD$11</f>
        <v>0.25</v>
      </c>
      <c r="J679" s="636"/>
      <c r="K679" s="597"/>
      <c r="L679" s="623"/>
    </row>
    <row r="680" ht="42" spans="2:12">
      <c r="B680" s="591"/>
      <c r="C680" s="612">
        <v>3</v>
      </c>
      <c r="D680" s="692" t="s">
        <v>431</v>
      </c>
      <c r="E680" s="596" t="s">
        <v>91</v>
      </c>
      <c r="F680" s="595"/>
      <c r="G680" s="596"/>
      <c r="H680" s="665"/>
      <c r="I680" s="637"/>
      <c r="J680" s="636" t="s">
        <v>78</v>
      </c>
      <c r="K680" s="597" t="s">
        <v>432</v>
      </c>
      <c r="L680" s="623"/>
    </row>
    <row r="681" spans="2:12">
      <c r="B681" s="591"/>
      <c r="C681" s="612"/>
      <c r="D681" s="697" t="s">
        <v>433</v>
      </c>
      <c r="E681" s="596" t="s">
        <v>412</v>
      </c>
      <c r="F681" s="664" t="s">
        <v>365</v>
      </c>
      <c r="G681" s="596"/>
      <c r="H681" s="773">
        <v>0.07</v>
      </c>
      <c r="I681" s="644">
        <v>0.07</v>
      </c>
      <c r="J681" s="636" t="s">
        <v>78</v>
      </c>
      <c r="K681" s="597"/>
      <c r="L681" s="623"/>
    </row>
    <row r="682" spans="2:12">
      <c r="B682" s="591"/>
      <c r="C682" s="612"/>
      <c r="D682" s="697" t="s">
        <v>434</v>
      </c>
      <c r="E682" s="596" t="s">
        <v>412</v>
      </c>
      <c r="F682" s="664" t="s">
        <v>365</v>
      </c>
      <c r="G682" s="596"/>
      <c r="H682" s="773">
        <v>0.05</v>
      </c>
      <c r="I682" s="644">
        <v>0.05</v>
      </c>
      <c r="J682" s="636" t="s">
        <v>78</v>
      </c>
      <c r="K682" s="597"/>
      <c r="L682" s="623"/>
    </row>
    <row r="683" spans="2:12">
      <c r="B683" s="591"/>
      <c r="C683" s="612"/>
      <c r="D683" s="697" t="s">
        <v>435</v>
      </c>
      <c r="E683" s="596" t="s">
        <v>412</v>
      </c>
      <c r="F683" s="664" t="s">
        <v>365</v>
      </c>
      <c r="G683" s="596"/>
      <c r="H683" s="773">
        <v>0.01</v>
      </c>
      <c r="I683" s="644">
        <v>0.01</v>
      </c>
      <c r="J683" s="636" t="s">
        <v>78</v>
      </c>
      <c r="K683" s="597"/>
      <c r="L683" s="623"/>
    </row>
    <row r="684" ht="30.5" spans="2:12">
      <c r="B684" s="591"/>
      <c r="C684" s="612">
        <v>4</v>
      </c>
      <c r="D684" s="692" t="s">
        <v>436</v>
      </c>
      <c r="E684" s="596" t="s">
        <v>91</v>
      </c>
      <c r="F684" s="595"/>
      <c r="G684" s="596"/>
      <c r="H684" s="665"/>
      <c r="I684" s="637"/>
      <c r="J684" s="636" t="s">
        <v>78</v>
      </c>
      <c r="K684" s="665" t="s">
        <v>437</v>
      </c>
      <c r="L684" s="623"/>
    </row>
    <row r="685" spans="2:12">
      <c r="B685" s="591"/>
      <c r="C685" s="612"/>
      <c r="D685" s="697" t="s">
        <v>438</v>
      </c>
      <c r="E685" s="596" t="s">
        <v>412</v>
      </c>
      <c r="F685" s="664" t="s">
        <v>365</v>
      </c>
      <c r="G685" s="596"/>
      <c r="H685" s="773">
        <v>0.03</v>
      </c>
      <c r="I685" s="644">
        <v>0.03</v>
      </c>
      <c r="J685" s="636" t="s">
        <v>78</v>
      </c>
      <c r="K685" s="623"/>
      <c r="L685" s="623"/>
    </row>
    <row r="686" spans="2:12">
      <c r="B686" s="591"/>
      <c r="C686" s="612"/>
      <c r="D686" s="697" t="s">
        <v>439</v>
      </c>
      <c r="E686" s="596" t="s">
        <v>412</v>
      </c>
      <c r="F686" s="664" t="s">
        <v>365</v>
      </c>
      <c r="G686" s="596"/>
      <c r="H686" s="773">
        <v>0.02</v>
      </c>
      <c r="I686" s="644">
        <v>0.02</v>
      </c>
      <c r="J686" s="636" t="s">
        <v>78</v>
      </c>
      <c r="K686" s="623"/>
      <c r="L686" s="623"/>
    </row>
    <row r="687" spans="2:12">
      <c r="B687" s="591"/>
      <c r="C687" s="612">
        <v>5</v>
      </c>
      <c r="D687" s="692" t="s">
        <v>440</v>
      </c>
      <c r="E687" s="596"/>
      <c r="F687" s="595" t="s">
        <v>245</v>
      </c>
      <c r="G687" s="596"/>
      <c r="H687" s="597"/>
      <c r="I687" s="637"/>
      <c r="J687" s="636"/>
      <c r="K687" s="597"/>
      <c r="L687" s="623"/>
    </row>
    <row r="688" spans="2:12">
      <c r="B688" s="591"/>
      <c r="C688" s="712">
        <v>5.1</v>
      </c>
      <c r="D688" s="697" t="s">
        <v>441</v>
      </c>
      <c r="E688" s="596" t="s">
        <v>54</v>
      </c>
      <c r="F688" s="664" t="s">
        <v>249</v>
      </c>
      <c r="G688" s="596"/>
      <c r="H688" s="597"/>
      <c r="I688" s="637">
        <v>0</v>
      </c>
      <c r="J688" s="636" t="s">
        <v>442</v>
      </c>
      <c r="K688" s="597"/>
      <c r="L688" s="623"/>
    </row>
    <row r="689" spans="2:12">
      <c r="B689" s="676"/>
      <c r="C689" s="712">
        <v>5.2</v>
      </c>
      <c r="D689" s="697" t="s">
        <v>443</v>
      </c>
      <c r="E689" s="596" t="s">
        <v>54</v>
      </c>
      <c r="F689" s="664" t="s">
        <v>251</v>
      </c>
      <c r="G689" s="596"/>
      <c r="H689" s="597"/>
      <c r="I689" s="637">
        <v>0</v>
      </c>
      <c r="J689" s="636" t="s">
        <v>444</v>
      </c>
      <c r="K689" s="597"/>
      <c r="L689" s="623"/>
    </row>
    <row r="690" spans="2:12">
      <c r="B690" s="774" t="s">
        <v>445</v>
      </c>
      <c r="C690" s="612">
        <v>1</v>
      </c>
      <c r="D690" s="692" t="s">
        <v>446</v>
      </c>
      <c r="E690" s="599" t="s">
        <v>430</v>
      </c>
      <c r="F690" s="664"/>
      <c r="G690" s="596"/>
      <c r="H690" s="597"/>
      <c r="I690" s="645"/>
      <c r="J690" s="636"/>
      <c r="K690" s="597"/>
      <c r="L690" s="623"/>
    </row>
    <row r="691" spans="2:12">
      <c r="B691" s="775"/>
      <c r="C691" s="712"/>
      <c r="D691" s="758" t="s">
        <v>328</v>
      </c>
      <c r="F691" s="664"/>
      <c r="G691" s="596"/>
      <c r="H691" s="597"/>
      <c r="I691" s="645" t="e">
        <f>折现率、非经营、长投计算表!D6</f>
        <v>#DIV/0!</v>
      </c>
      <c r="J691" s="636"/>
      <c r="K691" s="597"/>
      <c r="L691" s="623"/>
    </row>
    <row r="692" spans="2:12">
      <c r="B692" s="775"/>
      <c r="C692" s="712"/>
      <c r="D692" s="758" t="s">
        <v>330</v>
      </c>
      <c r="E692" s="596"/>
      <c r="F692" s="664"/>
      <c r="G692" s="596"/>
      <c r="H692" s="597"/>
      <c r="I692" s="645" t="e">
        <f>折现率、非经营、长投计算表!E6</f>
        <v>#DIV/0!</v>
      </c>
      <c r="J692" s="636"/>
      <c r="K692" s="597"/>
      <c r="L692" s="623"/>
    </row>
    <row r="693" spans="2:12">
      <c r="B693" s="775"/>
      <c r="C693" s="712"/>
      <c r="D693" s="758" t="s">
        <v>331</v>
      </c>
      <c r="E693" s="596"/>
      <c r="F693" s="664"/>
      <c r="G693" s="596"/>
      <c r="H693" s="597"/>
      <c r="I693" s="645" t="e">
        <f>折现率、非经营、长投计算表!F6</f>
        <v>#DIV/0!</v>
      </c>
      <c r="J693" s="636"/>
      <c r="K693" s="597"/>
      <c r="L693" s="623"/>
    </row>
    <row r="694" spans="2:12">
      <c r="B694" s="775"/>
      <c r="C694" s="712"/>
      <c r="D694" s="758" t="s">
        <v>332</v>
      </c>
      <c r="E694" s="599"/>
      <c r="F694" s="664"/>
      <c r="G694" s="596"/>
      <c r="H694" s="597"/>
      <c r="I694" s="645">
        <f>折现率、非经营、长投计算表!G6</f>
        <v>0.0717</v>
      </c>
      <c r="J694" s="636"/>
      <c r="K694" s="597"/>
      <c r="L694" s="623"/>
    </row>
    <row r="695" spans="2:12">
      <c r="B695" s="775"/>
      <c r="C695" s="712"/>
      <c r="D695" s="758" t="s">
        <v>333</v>
      </c>
      <c r="E695" s="596"/>
      <c r="F695" s="664"/>
      <c r="G695" s="596"/>
      <c r="H695" s="597"/>
      <c r="I695" s="645">
        <f ca="1">折现率、非经营、长投计算表!H6</f>
        <v>0.0723</v>
      </c>
      <c r="J695" s="636"/>
      <c r="K695" s="597"/>
      <c r="L695" s="623"/>
    </row>
    <row r="696" spans="2:12">
      <c r="B696" s="775"/>
      <c r="C696" s="712"/>
      <c r="D696" s="758" t="s">
        <v>334</v>
      </c>
      <c r="E696" s="596"/>
      <c r="F696" s="664"/>
      <c r="G696" s="596"/>
      <c r="H696" s="597"/>
      <c r="I696" s="645">
        <f ca="1">折现率、非经营、长投计算表!I6</f>
        <v>0.0726</v>
      </c>
      <c r="J696" s="636"/>
      <c r="K696" s="597"/>
      <c r="L696" s="623"/>
    </row>
    <row r="697" spans="2:12">
      <c r="B697" s="775"/>
      <c r="C697" s="712"/>
      <c r="D697" s="758" t="s">
        <v>335</v>
      </c>
      <c r="E697" s="596"/>
      <c r="F697" s="664"/>
      <c r="G697" s="596"/>
      <c r="H697" s="597"/>
      <c r="I697" s="645">
        <f ca="1">折现率、非经营、长投计算表!J6</f>
        <v>0.0728</v>
      </c>
      <c r="J697" s="636"/>
      <c r="K697" s="597"/>
      <c r="L697" s="623"/>
    </row>
    <row r="698" spans="2:12">
      <c r="B698" s="775"/>
      <c r="C698" s="712"/>
      <c r="D698" s="758" t="s">
        <v>336</v>
      </c>
      <c r="E698" s="596"/>
      <c r="F698" s="664"/>
      <c r="G698" s="596"/>
      <c r="H698" s="597"/>
      <c r="I698" s="645">
        <f ca="1">折现率、非经营、长投计算表!K6</f>
        <v>0.0688</v>
      </c>
      <c r="J698" s="636"/>
      <c r="K698" s="597"/>
      <c r="L698" s="623"/>
    </row>
    <row r="699" spans="2:12">
      <c r="B699" s="775"/>
      <c r="C699" s="712"/>
      <c r="D699" s="758" t="s">
        <v>337</v>
      </c>
      <c r="E699" s="596"/>
      <c r="F699" s="664"/>
      <c r="G699" s="596"/>
      <c r="H699" s="597"/>
      <c r="I699" s="645">
        <f ca="1">折现率、非经营、长投计算表!L6</f>
        <v>0.0691</v>
      </c>
      <c r="J699" s="636"/>
      <c r="K699" s="597"/>
      <c r="L699" s="623"/>
    </row>
    <row r="700" spans="2:12">
      <c r="B700" s="775"/>
      <c r="C700" s="712"/>
      <c r="D700" s="758" t="s">
        <v>338</v>
      </c>
      <c r="E700" s="596"/>
      <c r="F700" s="664"/>
      <c r="G700" s="596"/>
      <c r="H700" s="597"/>
      <c r="I700" s="645">
        <f ca="1">折现率、非经营、长投计算表!M6</f>
        <v>0.0694</v>
      </c>
      <c r="J700" s="636"/>
      <c r="K700" s="597"/>
      <c r="L700" s="623"/>
    </row>
    <row r="701" spans="2:12">
      <c r="B701" s="775"/>
      <c r="C701" s="712"/>
      <c r="D701" s="758" t="s">
        <v>339</v>
      </c>
      <c r="E701" s="596"/>
      <c r="F701" s="664"/>
      <c r="G701" s="596"/>
      <c r="H701" s="597"/>
      <c r="I701" s="645">
        <f ca="1">折现率、非经营、长投计算表!N6</f>
        <v>0.0698</v>
      </c>
      <c r="J701" s="636"/>
      <c r="K701" s="597"/>
      <c r="L701" s="623"/>
    </row>
    <row r="702" spans="2:12">
      <c r="B702" s="775"/>
      <c r="C702" s="712"/>
      <c r="D702" s="758" t="s">
        <v>340</v>
      </c>
      <c r="E702" s="596"/>
      <c r="F702" s="664"/>
      <c r="G702" s="596"/>
      <c r="H702" s="597"/>
      <c r="I702" s="645">
        <f ca="1">折现率、非经营、长投计算表!O6</f>
        <v>0.0702</v>
      </c>
      <c r="J702" s="636"/>
      <c r="K702" s="597"/>
      <c r="L702" s="623"/>
    </row>
    <row r="703" spans="2:12">
      <c r="B703" s="775"/>
      <c r="C703" s="712"/>
      <c r="D703" s="758" t="s">
        <v>341</v>
      </c>
      <c r="E703" s="596"/>
      <c r="F703" s="664"/>
      <c r="G703" s="596"/>
      <c r="H703" s="597"/>
      <c r="I703" s="645">
        <f ca="1">折现率、非经营、长投计算表!P6</f>
        <v>0.0659</v>
      </c>
      <c r="J703" s="636"/>
      <c r="K703" s="597"/>
      <c r="L703" s="623"/>
    </row>
    <row r="704" spans="2:12">
      <c r="B704" s="775"/>
      <c r="C704" s="712"/>
      <c r="D704" s="758" t="s">
        <v>342</v>
      </c>
      <c r="E704" s="596"/>
      <c r="F704" s="664"/>
      <c r="G704" s="596"/>
      <c r="H704" s="597"/>
      <c r="I704" s="645">
        <f ca="1">折现率、非经营、长投计算表!Q6</f>
        <v>0.0667</v>
      </c>
      <c r="J704" s="636"/>
      <c r="K704" s="597"/>
      <c r="L704" s="623"/>
    </row>
    <row r="705" spans="2:12">
      <c r="B705" s="775"/>
      <c r="C705" s="712"/>
      <c r="D705" s="758" t="s">
        <v>343</v>
      </c>
      <c r="E705" s="596"/>
      <c r="F705" s="664"/>
      <c r="G705" s="596"/>
      <c r="H705" s="597"/>
      <c r="I705" s="645">
        <f ca="1">折现率、非经营、长投计算表!R6</f>
        <v>0.0677</v>
      </c>
      <c r="J705" s="636"/>
      <c r="K705" s="597"/>
      <c r="L705" s="623"/>
    </row>
    <row r="706" spans="2:12">
      <c r="B706" s="775"/>
      <c r="C706" s="712"/>
      <c r="D706" s="758" t="s">
        <v>344</v>
      </c>
      <c r="E706" s="596"/>
      <c r="F706" s="664"/>
      <c r="G706" s="596"/>
      <c r="H706" s="597"/>
      <c r="I706" s="645">
        <f ca="1">折现率、非经营、长投计算表!S6</f>
        <v>0.0686</v>
      </c>
      <c r="J706" s="636"/>
      <c r="K706" s="597"/>
      <c r="L706" s="623"/>
    </row>
    <row r="707" spans="2:12">
      <c r="B707" s="775"/>
      <c r="C707" s="712"/>
      <c r="D707" s="758" t="s">
        <v>345</v>
      </c>
      <c r="E707" s="596"/>
      <c r="F707" s="664"/>
      <c r="G707" s="596"/>
      <c r="H707" s="597"/>
      <c r="I707" s="645">
        <f ca="1">折现率、非经营、长投计算表!T6</f>
        <v>0.0697</v>
      </c>
      <c r="J707" s="636"/>
      <c r="K707" s="597"/>
      <c r="L707" s="623"/>
    </row>
    <row r="708" spans="2:12">
      <c r="B708" s="775"/>
      <c r="C708" s="712"/>
      <c r="D708" s="758" t="s">
        <v>346</v>
      </c>
      <c r="E708" s="596"/>
      <c r="F708" s="664"/>
      <c r="G708" s="596"/>
      <c r="H708" s="597"/>
      <c r="I708" s="645">
        <f ca="1">折现率、非经营、长投计算表!U6</f>
        <v>0.071</v>
      </c>
      <c r="J708" s="636"/>
      <c r="K708" s="597"/>
      <c r="L708" s="623"/>
    </row>
    <row r="709" spans="2:12">
      <c r="B709" s="775"/>
      <c r="C709" s="712"/>
      <c r="D709" s="758" t="s">
        <v>347</v>
      </c>
      <c r="E709" s="596"/>
      <c r="F709" s="664"/>
      <c r="G709" s="596"/>
      <c r="H709" s="597"/>
      <c r="I709" s="645">
        <f ca="1">折现率、非经营、长投计算表!V6</f>
        <v>0.0727</v>
      </c>
      <c r="J709" s="636"/>
      <c r="K709" s="597"/>
      <c r="L709" s="623"/>
    </row>
    <row r="710" spans="2:12">
      <c r="B710" s="775"/>
      <c r="C710" s="712"/>
      <c r="D710" s="758" t="s">
        <v>348</v>
      </c>
      <c r="E710" s="596"/>
      <c r="F710" s="664"/>
      <c r="G710" s="596"/>
      <c r="H710" s="597"/>
      <c r="I710" s="645">
        <f ca="1">折现率、非经营、长投计算表!W6</f>
        <v>0.0749</v>
      </c>
      <c r="J710" s="636"/>
      <c r="K710" s="597"/>
      <c r="L710" s="623"/>
    </row>
    <row r="711" spans="2:12">
      <c r="B711" s="775"/>
      <c r="C711" s="712"/>
      <c r="D711" s="758" t="s">
        <v>349</v>
      </c>
      <c r="E711" s="596"/>
      <c r="F711" s="664"/>
      <c r="G711" s="596"/>
      <c r="H711" s="597"/>
      <c r="I711" s="645">
        <f ca="1">折现率、非经营、长投计算表!X6</f>
        <v>0.0779</v>
      </c>
      <c r="J711" s="636"/>
      <c r="K711" s="597"/>
      <c r="L711" s="623"/>
    </row>
    <row r="712" spans="2:12">
      <c r="B712" s="775"/>
      <c r="C712" s="712"/>
      <c r="D712" s="758" t="s">
        <v>350</v>
      </c>
      <c r="E712" s="596"/>
      <c r="F712" s="664"/>
      <c r="G712" s="596"/>
      <c r="H712" s="597"/>
      <c r="I712" s="645">
        <f ca="1">折现率、非经营、长投计算表!Y6</f>
        <v>0.0779</v>
      </c>
      <c r="J712" s="636"/>
      <c r="K712" s="597"/>
      <c r="L712" s="623"/>
    </row>
    <row r="713" spans="2:12">
      <c r="B713" s="775"/>
      <c r="C713" s="712"/>
      <c r="D713" s="758" t="s">
        <v>351</v>
      </c>
      <c r="E713" s="596"/>
      <c r="F713" s="664"/>
      <c r="G713" s="596"/>
      <c r="H713" s="597"/>
      <c r="I713" s="645">
        <f ca="1">折现率、非经营、长投计算表!Z6</f>
        <v>0.083</v>
      </c>
      <c r="J713" s="636"/>
      <c r="K713" s="597"/>
      <c r="L713" s="623"/>
    </row>
    <row r="714" spans="2:12">
      <c r="B714" s="775"/>
      <c r="C714" s="712"/>
      <c r="D714" s="758" t="s">
        <v>352</v>
      </c>
      <c r="E714" s="596"/>
      <c r="F714" s="664"/>
      <c r="G714" s="596"/>
      <c r="H714" s="597"/>
      <c r="I714" s="645">
        <f ca="1">折现率、非经营、长投计算表!AA6</f>
        <v>0.083</v>
      </c>
      <c r="J714" s="636"/>
      <c r="K714" s="597"/>
      <c r="L714" s="623"/>
    </row>
    <row r="715" spans="2:12">
      <c r="B715" s="775"/>
      <c r="C715" s="712"/>
      <c r="D715" s="758" t="s">
        <v>353</v>
      </c>
      <c r="E715" s="596"/>
      <c r="F715" s="664"/>
      <c r="G715" s="596"/>
      <c r="H715" s="597"/>
      <c r="I715" s="645">
        <f ca="1">折现率、非经营、长投计算表!AB6</f>
        <v>0.083</v>
      </c>
      <c r="J715" s="636"/>
      <c r="K715" s="597"/>
      <c r="L715" s="623"/>
    </row>
    <row r="716" spans="2:12">
      <c r="B716" s="775"/>
      <c r="C716" s="712"/>
      <c r="D716" s="758" t="s">
        <v>354</v>
      </c>
      <c r="E716" s="596"/>
      <c r="F716" s="664"/>
      <c r="G716" s="596"/>
      <c r="H716" s="597"/>
      <c r="I716" s="645">
        <f ca="1">折现率、非经营、长投计算表!AC6</f>
        <v>0.083</v>
      </c>
      <c r="J716" s="636"/>
      <c r="K716" s="597"/>
      <c r="L716" s="623"/>
    </row>
    <row r="717" spans="2:12">
      <c r="B717" s="775"/>
      <c r="C717" s="712"/>
      <c r="D717" s="758" t="s">
        <v>355</v>
      </c>
      <c r="E717" s="596"/>
      <c r="F717" s="664"/>
      <c r="G717" s="596"/>
      <c r="H717" s="597"/>
      <c r="I717" s="645">
        <f ca="1">折现率、非经营、长投计算表!AD6</f>
        <v>0.083</v>
      </c>
      <c r="J717" s="636"/>
      <c r="K717" s="597"/>
      <c r="L717" s="623"/>
    </row>
    <row r="718" spans="2:12">
      <c r="B718" s="775"/>
      <c r="C718" s="612">
        <v>2</v>
      </c>
      <c r="D718" s="709" t="s">
        <v>447</v>
      </c>
      <c r="E718" s="599" t="s">
        <v>143</v>
      </c>
      <c r="F718" s="664" t="s">
        <v>369</v>
      </c>
      <c r="G718" s="596"/>
      <c r="H718" s="597"/>
      <c r="I718" s="754">
        <f>折现率、非经营、长投计算表!E22</f>
        <v>32.587999</v>
      </c>
      <c r="J718" s="636" t="s">
        <v>24</v>
      </c>
      <c r="K718" s="597"/>
      <c r="L718" s="623"/>
    </row>
    <row r="719" spans="2:12">
      <c r="B719" s="775"/>
      <c r="C719" s="612">
        <v>3</v>
      </c>
      <c r="D719" s="709" t="s">
        <v>448</v>
      </c>
      <c r="E719" s="599" t="s">
        <v>143</v>
      </c>
      <c r="F719" s="664" t="s">
        <v>369</v>
      </c>
      <c r="G719" s="596"/>
      <c r="H719" s="597"/>
      <c r="I719" s="754">
        <f>折现率、非经营、长投计算表!E40</f>
        <v>0</v>
      </c>
      <c r="J719" s="636" t="s">
        <v>24</v>
      </c>
      <c r="K719" s="597"/>
      <c r="L719" s="623"/>
    </row>
    <row r="720" spans="2:12">
      <c r="B720" s="775"/>
      <c r="C720" s="612">
        <v>4</v>
      </c>
      <c r="D720" s="709" t="s">
        <v>449</v>
      </c>
      <c r="E720" s="599" t="s">
        <v>143</v>
      </c>
      <c r="F720" s="664" t="s">
        <v>369</v>
      </c>
      <c r="G720" s="596"/>
      <c r="H720" s="597"/>
      <c r="I720" s="754">
        <f>折现率、非经营、长投计算表!F80</f>
        <v>0</v>
      </c>
      <c r="J720" s="636" t="s">
        <v>24</v>
      </c>
      <c r="K720" s="597"/>
      <c r="L720" s="623"/>
    </row>
    <row r="721" ht="15.5" spans="2:12">
      <c r="B721" s="775"/>
      <c r="C721" s="712">
        <v>5</v>
      </c>
      <c r="D721" s="709" t="s">
        <v>450</v>
      </c>
      <c r="E721" s="596" t="s">
        <v>240</v>
      </c>
      <c r="F721" s="664"/>
      <c r="G721" s="596"/>
      <c r="H721" s="639" t="s">
        <v>451</v>
      </c>
      <c r="I721" s="596" t="s">
        <v>86</v>
      </c>
      <c r="J721" s="636"/>
      <c r="K721" s="597"/>
      <c r="L721" s="623"/>
    </row>
    <row r="722" ht="15.5" spans="2:12">
      <c r="B722" s="775"/>
      <c r="C722" s="778">
        <v>6</v>
      </c>
      <c r="D722" s="779" t="s">
        <v>452</v>
      </c>
      <c r="E722" s="780" t="s">
        <v>240</v>
      </c>
      <c r="F722" s="664" t="s">
        <v>369</v>
      </c>
      <c r="G722" s="596"/>
      <c r="H722" s="781" t="s">
        <v>451</v>
      </c>
      <c r="I722" s="794" t="s">
        <v>57</v>
      </c>
      <c r="J722" s="795"/>
      <c r="K722" s="597"/>
      <c r="L722" s="623"/>
    </row>
    <row r="723" spans="2:12">
      <c r="B723" s="775"/>
      <c r="C723" s="712"/>
      <c r="D723" s="697"/>
      <c r="E723" s="596"/>
      <c r="F723" s="664"/>
      <c r="G723" s="596"/>
      <c r="H723" s="597"/>
      <c r="I723" s="753">
        <v>3000</v>
      </c>
      <c r="J723" s="795" t="s">
        <v>24</v>
      </c>
      <c r="K723" s="597"/>
      <c r="L723" s="623"/>
    </row>
    <row r="724" spans="2:12">
      <c r="B724" s="775"/>
      <c r="C724" s="712"/>
      <c r="D724" s="697"/>
      <c r="E724" s="596"/>
      <c r="F724" s="664"/>
      <c r="G724" s="596"/>
      <c r="H724" s="597"/>
      <c r="I724" s="637"/>
      <c r="J724" s="636"/>
      <c r="K724" s="597"/>
      <c r="L724" s="623"/>
    </row>
    <row r="725" spans="2:12">
      <c r="B725" s="775"/>
      <c r="C725" s="712"/>
      <c r="D725" s="697"/>
      <c r="E725" s="596"/>
      <c r="F725" s="664"/>
      <c r="G725" s="596"/>
      <c r="H725" s="597"/>
      <c r="I725" s="637"/>
      <c r="J725" s="636"/>
      <c r="K725" s="597"/>
      <c r="L725" s="623"/>
    </row>
    <row r="726" spans="2:12">
      <c r="B726" s="775"/>
      <c r="C726" s="712"/>
      <c r="D726" s="697"/>
      <c r="E726" s="596"/>
      <c r="F726" s="664"/>
      <c r="G726" s="596"/>
      <c r="H726" s="597"/>
      <c r="I726" s="637"/>
      <c r="J726" s="636"/>
      <c r="K726" s="597"/>
      <c r="L726" s="623"/>
    </row>
    <row r="727" spans="2:12">
      <c r="B727" s="775"/>
      <c r="C727" s="712"/>
      <c r="D727" s="697"/>
      <c r="E727" s="596"/>
      <c r="F727" s="664"/>
      <c r="G727" s="596"/>
      <c r="H727" s="597"/>
      <c r="I727" s="637"/>
      <c r="J727" s="636"/>
      <c r="K727" s="597"/>
      <c r="L727" s="623"/>
    </row>
    <row r="728" spans="2:12">
      <c r="B728" s="775"/>
      <c r="C728" s="712"/>
      <c r="D728" s="697"/>
      <c r="E728" s="596"/>
      <c r="F728" s="664"/>
      <c r="G728" s="596"/>
      <c r="H728" s="597"/>
      <c r="I728" s="637"/>
      <c r="J728" s="636"/>
      <c r="K728" s="597"/>
      <c r="L728" s="623"/>
    </row>
    <row r="729" spans="2:12">
      <c r="B729" s="782"/>
      <c r="C729" s="712"/>
      <c r="D729" s="697"/>
      <c r="E729" s="596"/>
      <c r="F729" s="664"/>
      <c r="G729" s="596"/>
      <c r="H729" s="597"/>
      <c r="I729" s="637"/>
      <c r="J729" s="636"/>
      <c r="K729" s="597"/>
      <c r="L729" s="623"/>
    </row>
    <row r="730" spans="2:4">
      <c r="B730" s="783"/>
      <c r="D730" s="784"/>
    </row>
    <row r="731" ht="15.5" spans="2:12">
      <c r="B731" s="585"/>
      <c r="C731" s="785"/>
      <c r="E731" s="785"/>
      <c r="F731" s="786"/>
      <c r="G731" s="785"/>
      <c r="H731" s="585"/>
      <c r="I731" s="785"/>
      <c r="J731" s="785"/>
      <c r="K731" s="585"/>
      <c r="L731" s="585"/>
    </row>
    <row r="732" ht="15.5" spans="2:12">
      <c r="B732" s="589" t="s">
        <v>40</v>
      </c>
      <c r="C732" s="589" t="s">
        <v>41</v>
      </c>
      <c r="D732" s="589" t="s">
        <v>42</v>
      </c>
      <c r="E732" s="589" t="s">
        <v>43</v>
      </c>
      <c r="F732" s="787"/>
      <c r="G732" s="589"/>
      <c r="H732" s="589"/>
      <c r="I732" s="589" t="s">
        <v>47</v>
      </c>
      <c r="J732" s="589"/>
      <c r="K732" s="585"/>
      <c r="L732" s="585"/>
    </row>
    <row r="733" ht="15.5" spans="2:12">
      <c r="B733" s="788" t="s">
        <v>453</v>
      </c>
      <c r="C733" s="789">
        <v>1</v>
      </c>
      <c r="D733" s="622" t="s">
        <v>21</v>
      </c>
      <c r="E733" s="596"/>
      <c r="F733" s="595"/>
      <c r="G733" s="596"/>
      <c r="H733" s="790"/>
      <c r="I733" s="708"/>
      <c r="J733" s="708"/>
      <c r="K733" s="585"/>
      <c r="L733" s="585"/>
    </row>
    <row r="734" ht="15.5" spans="2:12">
      <c r="B734" s="791"/>
      <c r="C734" s="789"/>
      <c r="D734" s="613"/>
      <c r="E734" s="596" t="s">
        <v>91</v>
      </c>
      <c r="F734" s="595"/>
      <c r="G734" s="596"/>
      <c r="H734" s="790"/>
      <c r="I734" s="654">
        <v>0.13</v>
      </c>
      <c r="J734" s="708"/>
      <c r="K734" s="585"/>
      <c r="L734" s="585"/>
    </row>
    <row r="735" ht="15.5" spans="2:12">
      <c r="B735" s="791"/>
      <c r="C735" s="789"/>
      <c r="D735" s="613"/>
      <c r="E735" s="596" t="s">
        <v>91</v>
      </c>
      <c r="F735" s="595"/>
      <c r="G735" s="596"/>
      <c r="H735" s="790"/>
      <c r="I735" s="654">
        <v>0.09</v>
      </c>
      <c r="J735" s="708"/>
      <c r="K735" s="585"/>
      <c r="L735" s="585"/>
    </row>
    <row r="736" ht="15.5" spans="2:12">
      <c r="B736" s="791"/>
      <c r="C736" s="789"/>
      <c r="D736" s="613"/>
      <c r="E736" s="596" t="s">
        <v>91</v>
      </c>
      <c r="F736" s="595"/>
      <c r="G736" s="596"/>
      <c r="H736" s="790"/>
      <c r="I736" s="654">
        <v>0.06</v>
      </c>
      <c r="J736" s="708"/>
      <c r="K736" s="585"/>
      <c r="L736" s="585"/>
    </row>
    <row r="737" ht="15.5" spans="2:12">
      <c r="B737" s="791"/>
      <c r="C737" s="789"/>
      <c r="D737" s="613"/>
      <c r="E737" s="596" t="s">
        <v>91</v>
      </c>
      <c r="F737" s="595"/>
      <c r="G737" s="596"/>
      <c r="H737" s="790"/>
      <c r="I737" s="654">
        <v>0</v>
      </c>
      <c r="J737" s="708"/>
      <c r="K737" s="585"/>
      <c r="L737" s="585"/>
    </row>
    <row r="738" ht="15.5" spans="2:12">
      <c r="B738" s="791"/>
      <c r="C738" s="789">
        <v>2</v>
      </c>
      <c r="D738" s="670" t="s">
        <v>454</v>
      </c>
      <c r="E738" s="596"/>
      <c r="F738" s="595"/>
      <c r="G738" s="596"/>
      <c r="H738" s="790"/>
      <c r="I738" s="654"/>
      <c r="J738" s="708"/>
      <c r="K738" s="585"/>
      <c r="L738" s="585"/>
    </row>
    <row r="739" ht="15.5" spans="2:12">
      <c r="B739" s="791"/>
      <c r="C739" s="789"/>
      <c r="D739" s="615" t="s">
        <v>241</v>
      </c>
      <c r="E739" s="596" t="s">
        <v>91</v>
      </c>
      <c r="F739" s="595"/>
      <c r="G739" s="708"/>
      <c r="H739" s="790"/>
      <c r="I739" s="708"/>
      <c r="J739" s="708"/>
      <c r="K739" s="585"/>
      <c r="L739" s="585"/>
    </row>
    <row r="740" ht="15.5" spans="2:12">
      <c r="B740" s="791"/>
      <c r="C740" s="789"/>
      <c r="D740" s="615" t="s">
        <v>455</v>
      </c>
      <c r="E740" s="596" t="s">
        <v>91</v>
      </c>
      <c r="F740" s="595"/>
      <c r="G740" s="708"/>
      <c r="H740" s="790"/>
      <c r="I740" s="708"/>
      <c r="J740" s="708"/>
      <c r="K740" s="585"/>
      <c r="L740" s="585"/>
    </row>
    <row r="741" ht="15.5" spans="2:12">
      <c r="B741" s="791"/>
      <c r="C741" s="708">
        <v>3</v>
      </c>
      <c r="D741" s="670" t="s">
        <v>456</v>
      </c>
      <c r="E741" s="596"/>
      <c r="F741" s="595"/>
      <c r="G741" s="708"/>
      <c r="H741" s="790"/>
      <c r="I741" s="708"/>
      <c r="J741" s="708"/>
      <c r="K741" s="585"/>
      <c r="L741" s="585"/>
    </row>
    <row r="742" ht="15.5" spans="2:12">
      <c r="B742" s="791"/>
      <c r="C742" s="708"/>
      <c r="D742" s="792" t="s">
        <v>457</v>
      </c>
      <c r="E742" s="596"/>
      <c r="F742" s="595"/>
      <c r="G742" s="708"/>
      <c r="H742" s="790"/>
      <c r="I742" s="708"/>
      <c r="J742" s="708"/>
      <c r="K742" s="585"/>
      <c r="L742" s="585"/>
    </row>
    <row r="743" ht="15.5" spans="2:12">
      <c r="B743" s="791"/>
      <c r="C743" s="708"/>
      <c r="D743" s="792" t="s">
        <v>458</v>
      </c>
      <c r="E743" s="596"/>
      <c r="F743" s="595"/>
      <c r="G743" s="708"/>
      <c r="H743" s="790"/>
      <c r="I743" s="708"/>
      <c r="J743" s="708"/>
      <c r="K743" s="585"/>
      <c r="L743" s="585"/>
    </row>
    <row r="744" ht="15.5" spans="2:12">
      <c r="B744" s="791"/>
      <c r="C744" s="708"/>
      <c r="D744" s="615" t="s">
        <v>459</v>
      </c>
      <c r="E744" s="596"/>
      <c r="F744" s="595"/>
      <c r="G744" s="708"/>
      <c r="H744" s="790"/>
      <c r="I744" s="708"/>
      <c r="J744" s="708"/>
      <c r="K744" s="585"/>
      <c r="L744" s="585"/>
    </row>
    <row r="745" ht="15.5" spans="2:12">
      <c r="B745" s="585"/>
      <c r="C745" s="785"/>
      <c r="E745" s="785"/>
      <c r="F745" s="786"/>
      <c r="G745" s="785"/>
      <c r="H745" s="585"/>
      <c r="I745" s="785"/>
      <c r="J745" s="785"/>
      <c r="K745" s="585"/>
      <c r="L745" s="585"/>
    </row>
    <row r="746" ht="17.5" spans="2:12">
      <c r="B746" s="585"/>
      <c r="C746" s="785"/>
      <c r="D746" s="793" t="s">
        <v>460</v>
      </c>
      <c r="E746" s="785"/>
      <c r="F746" s="786"/>
      <c r="G746" s="785"/>
      <c r="H746" s="585"/>
      <c r="I746" s="785"/>
      <c r="J746" s="785"/>
      <c r="K746" s="585"/>
      <c r="L746" s="585"/>
    </row>
    <row r="747" ht="17.5" spans="2:12">
      <c r="B747" s="585"/>
      <c r="C747" s="785"/>
      <c r="D747" s="793" t="s">
        <v>461</v>
      </c>
      <c r="E747" s="785"/>
      <c r="F747" s="786"/>
      <c r="G747" s="785"/>
      <c r="H747" s="585"/>
      <c r="I747" s="785"/>
      <c r="J747" s="785"/>
      <c r="K747" s="585"/>
      <c r="L747" s="585"/>
    </row>
    <row r="748" ht="15.5" spans="2:12">
      <c r="B748" s="585"/>
      <c r="C748" s="785"/>
      <c r="E748" s="785"/>
      <c r="F748" s="786"/>
      <c r="G748" s="785"/>
      <c r="H748" s="585"/>
      <c r="I748" s="785"/>
      <c r="J748" s="785"/>
      <c r="K748" s="585"/>
      <c r="L748" s="585"/>
    </row>
    <row r="749" ht="15.5" spans="2:12">
      <c r="B749" s="585"/>
      <c r="C749" s="785"/>
      <c r="E749" s="785"/>
      <c r="F749" s="786"/>
      <c r="G749" s="785"/>
      <c r="H749" s="585"/>
      <c r="I749" s="785"/>
      <c r="J749" s="785"/>
      <c r="K749" s="585"/>
      <c r="L749" s="585"/>
    </row>
    <row r="750" ht="15.5" spans="2:12">
      <c r="B750" s="585"/>
      <c r="C750" s="785"/>
      <c r="E750" s="785"/>
      <c r="F750" s="786"/>
      <c r="G750" s="785"/>
      <c r="H750" s="585"/>
      <c r="I750" s="785"/>
      <c r="J750" s="785"/>
      <c r="K750" s="585"/>
      <c r="L750" s="585"/>
    </row>
  </sheetData>
  <mergeCells count="10">
    <mergeCell ref="B14:B29"/>
    <mergeCell ref="B30:B132"/>
    <mergeCell ref="B134:B153"/>
    <mergeCell ref="B288:B556"/>
    <mergeCell ref="B557:B642"/>
    <mergeCell ref="B643:B689"/>
    <mergeCell ref="B690:B729"/>
    <mergeCell ref="B733:B740"/>
    <mergeCell ref="K15:K16"/>
    <mergeCell ref="K381:K390"/>
  </mergeCells>
  <dataValidations count="3">
    <dataValidation type="list" allowBlank="1" showInputMessage="1" showErrorMessage="1" sqref="I149">
      <formula1>"单位千瓦指标计算,手动输入"</formula1>
    </dataValidation>
    <dataValidation type="list" allowBlank="1" showInputMessage="1" showErrorMessage="1" sqref="I287">
      <formula1>$D$739:$D$740</formula1>
    </dataValidation>
    <dataValidation type="list" allowBlank="1" showInputMessage="1" showErrorMessage="1" sqref="I721">
      <formula1>"手动输入,自动计算"</formula1>
    </dataValidation>
  </dataValidations>
  <pageMargins left="0.7" right="0.7" top="0.75" bottom="0.75" header="0.3" footer="0.3"/>
  <pageSetup paperSize="9" orientation="portrait"/>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FF0000"/>
  </sheetPr>
  <dimension ref="B2:AF114"/>
  <sheetViews>
    <sheetView showGridLines="0" zoomScale="80" zoomScaleNormal="80" workbookViewId="0">
      <pane xSplit="5" topLeftCell="F1" activePane="topRight" state="frozenSplit"/>
      <selection/>
      <selection pane="topRight" activeCell="A91" sqref="$A91:$XFD91"/>
    </sheetView>
  </sheetViews>
  <sheetFormatPr defaultColWidth="8.78181818181818" defaultRowHeight="16.5"/>
  <cols>
    <col min="1" max="1" width="2.78181818181818" style="4" customWidth="1"/>
    <col min="2" max="2" width="8.78181818181818" style="4"/>
    <col min="3" max="3" width="33.4454545454545" style="4" customWidth="1"/>
    <col min="4" max="4" width="18.4454545454545" style="4" customWidth="1"/>
    <col min="5" max="5" width="8.78181818181818" style="4"/>
    <col min="6" max="6" width="11.7818181818182" style="4" customWidth="1"/>
    <col min="7" max="9" width="13" style="4" customWidth="1"/>
    <col min="10" max="10" width="14.7818181818182" style="4" customWidth="1"/>
    <col min="11" max="21" width="13" style="4" customWidth="1"/>
    <col min="22" max="22" width="11.6636363636364" style="4" customWidth="1"/>
    <col min="23" max="25" width="11.3363636363636" style="4" customWidth="1"/>
    <col min="26" max="31" width="9.33636363636364" style="4" customWidth="1"/>
    <col min="32" max="32" width="13.2181818181818" style="4" customWidth="1"/>
    <col min="33" max="16384" width="8.78181818181818" style="4"/>
  </cols>
  <sheetData>
    <row r="2" spans="2:32">
      <c r="B2" s="527" t="s">
        <v>462</v>
      </c>
      <c r="C2" s="528"/>
      <c r="D2" s="529"/>
      <c r="E2" s="529"/>
      <c r="F2" s="529"/>
      <c r="G2" s="529"/>
      <c r="H2" s="529"/>
      <c r="I2" s="529"/>
      <c r="J2" s="529"/>
      <c r="K2" s="529"/>
      <c r="L2" s="529"/>
      <c r="M2" s="529"/>
      <c r="N2" s="529"/>
      <c r="O2" s="529"/>
      <c r="P2" s="529"/>
      <c r="Q2" s="529"/>
      <c r="R2" s="529"/>
      <c r="S2" s="529"/>
      <c r="T2" s="529"/>
      <c r="U2" s="529"/>
      <c r="V2" s="529"/>
      <c r="W2" s="529"/>
      <c r="X2" s="529"/>
      <c r="Y2" s="529"/>
      <c r="Z2" s="529"/>
      <c r="AA2" s="529"/>
      <c r="AB2" s="529"/>
      <c r="AC2" s="529"/>
      <c r="AD2" s="529"/>
      <c r="AE2" s="529"/>
      <c r="AF2" s="529"/>
    </row>
    <row r="3" spans="2:32">
      <c r="B3" s="530" t="s">
        <v>15</v>
      </c>
      <c r="C3" s="531" t="s">
        <v>463</v>
      </c>
      <c r="D3" s="531" t="s">
        <v>17</v>
      </c>
      <c r="E3" s="532" t="s">
        <v>18</v>
      </c>
      <c r="F3" s="10" t="s">
        <v>464</v>
      </c>
      <c r="G3" s="10" t="s">
        <v>465</v>
      </c>
      <c r="H3" s="10" t="s">
        <v>466</v>
      </c>
      <c r="I3" s="37">
        <v>45107</v>
      </c>
      <c r="J3" s="37">
        <v>45261</v>
      </c>
      <c r="K3" s="10" t="s">
        <v>20</v>
      </c>
      <c r="L3" s="10" t="s">
        <v>467</v>
      </c>
      <c r="M3" s="10" t="s">
        <v>468</v>
      </c>
      <c r="N3" s="10" t="s">
        <v>469</v>
      </c>
      <c r="O3" s="10" t="s">
        <v>470</v>
      </c>
      <c r="P3" s="10" t="s">
        <v>471</v>
      </c>
      <c r="Q3" s="10" t="s">
        <v>472</v>
      </c>
      <c r="R3" s="10" t="s">
        <v>473</v>
      </c>
      <c r="S3" s="10" t="s">
        <v>474</v>
      </c>
      <c r="T3" s="10" t="s">
        <v>475</v>
      </c>
      <c r="U3" s="10" t="s">
        <v>476</v>
      </c>
      <c r="V3" s="10" t="s">
        <v>477</v>
      </c>
      <c r="W3" s="10" t="s">
        <v>478</v>
      </c>
      <c r="X3" s="10" t="s">
        <v>479</v>
      </c>
      <c r="Y3" s="10" t="s">
        <v>480</v>
      </c>
      <c r="Z3" s="10" t="s">
        <v>481</v>
      </c>
      <c r="AA3" s="10" t="s">
        <v>482</v>
      </c>
      <c r="AB3" s="10" t="s">
        <v>483</v>
      </c>
      <c r="AC3" s="10" t="s">
        <v>484</v>
      </c>
      <c r="AD3" s="10" t="s">
        <v>485</v>
      </c>
      <c r="AE3" s="10" t="s">
        <v>486</v>
      </c>
      <c r="AF3" s="37">
        <v>53051</v>
      </c>
    </row>
    <row r="4" spans="2:32">
      <c r="B4" s="533"/>
      <c r="C4" s="534"/>
      <c r="D4" s="534"/>
      <c r="E4" s="531"/>
      <c r="F4" s="14">
        <v>1</v>
      </c>
      <c r="G4" s="14">
        <v>2</v>
      </c>
      <c r="H4" s="14">
        <v>3</v>
      </c>
      <c r="I4" s="14">
        <v>4</v>
      </c>
      <c r="J4" s="38">
        <v>5</v>
      </c>
      <c r="K4" s="38">
        <v>6</v>
      </c>
      <c r="L4" s="38">
        <v>7</v>
      </c>
      <c r="M4" s="38">
        <v>8</v>
      </c>
      <c r="N4" s="38">
        <v>9</v>
      </c>
      <c r="O4" s="38">
        <v>10</v>
      </c>
      <c r="P4" s="38">
        <v>11</v>
      </c>
      <c r="Q4" s="38">
        <v>12</v>
      </c>
      <c r="R4" s="38">
        <v>13</v>
      </c>
      <c r="S4" s="38">
        <v>14</v>
      </c>
      <c r="T4" s="38">
        <v>15</v>
      </c>
      <c r="U4" s="38">
        <v>16</v>
      </c>
      <c r="V4" s="38">
        <v>17</v>
      </c>
      <c r="W4" s="38">
        <v>18</v>
      </c>
      <c r="X4" s="38">
        <v>19</v>
      </c>
      <c r="Y4" s="38">
        <v>20</v>
      </c>
      <c r="Z4" s="38">
        <v>21</v>
      </c>
      <c r="AA4" s="38">
        <v>22</v>
      </c>
      <c r="AB4" s="38">
        <v>23</v>
      </c>
      <c r="AC4" s="38">
        <v>24</v>
      </c>
      <c r="AD4" s="38">
        <v>25</v>
      </c>
      <c r="AE4" s="38">
        <v>26</v>
      </c>
      <c r="AF4" s="38">
        <v>27</v>
      </c>
    </row>
    <row r="5" spans="2:32">
      <c r="B5" s="535"/>
      <c r="C5" s="536" t="s">
        <v>487</v>
      </c>
      <c r="D5" s="537">
        <f t="shared" ref="D5:D10" si="0">SUM(F5:AF5)</f>
        <v>1</v>
      </c>
      <c r="E5" s="538"/>
      <c r="F5" s="539"/>
      <c r="G5" s="539"/>
      <c r="H5" s="540"/>
      <c r="I5" s="540"/>
      <c r="J5" s="574">
        <f>参数输入表!I18</f>
        <v>0.3</v>
      </c>
      <c r="K5" s="574">
        <f>参数输入表!I19</f>
        <v>0.7</v>
      </c>
      <c r="L5" s="540"/>
      <c r="M5" s="540"/>
      <c r="N5" s="575"/>
      <c r="O5" s="575"/>
      <c r="P5" s="575"/>
      <c r="Q5" s="575"/>
      <c r="R5" s="575"/>
      <c r="S5" s="575"/>
      <c r="T5" s="575"/>
      <c r="U5" s="575"/>
      <c r="V5" s="575"/>
      <c r="W5" s="575"/>
      <c r="X5" s="575"/>
      <c r="Y5" s="575"/>
      <c r="Z5" s="575"/>
      <c r="AA5" s="575"/>
      <c r="AB5" s="575"/>
      <c r="AC5" s="575"/>
      <c r="AD5" s="575"/>
      <c r="AE5" s="575"/>
      <c r="AF5" s="575"/>
    </row>
    <row r="6" spans="2:32">
      <c r="B6" s="541"/>
      <c r="C6" s="542" t="s">
        <v>488</v>
      </c>
      <c r="D6" s="537"/>
      <c r="E6" s="543"/>
      <c r="F6" s="544"/>
      <c r="G6" s="544"/>
      <c r="H6" s="540"/>
      <c r="I6" s="540"/>
      <c r="J6" s="540">
        <f>参数输入表!I35</f>
        <v>0.15</v>
      </c>
      <c r="K6" s="576">
        <f>参数输入表!I36+J6</f>
        <v>0.9</v>
      </c>
      <c r="L6" s="540"/>
      <c r="M6" s="540"/>
      <c r="N6" s="575"/>
      <c r="O6" s="575"/>
      <c r="P6" s="575"/>
      <c r="Q6" s="575"/>
      <c r="R6" s="575"/>
      <c r="S6" s="575"/>
      <c r="T6" s="575"/>
      <c r="U6" s="575"/>
      <c r="V6" s="575"/>
      <c r="W6" s="575"/>
      <c r="X6" s="575"/>
      <c r="Y6" s="575"/>
      <c r="Z6" s="575"/>
      <c r="AA6" s="575"/>
      <c r="AB6" s="575"/>
      <c r="AC6" s="575"/>
      <c r="AD6" s="575"/>
      <c r="AE6" s="575"/>
      <c r="AF6" s="575"/>
    </row>
    <row r="7" spans="2:32">
      <c r="B7" s="15">
        <v>1</v>
      </c>
      <c r="C7" s="545" t="s">
        <v>489</v>
      </c>
      <c r="D7" s="546">
        <f ca="1">D8+D9+D10</f>
        <v>140377.265231325</v>
      </c>
      <c r="E7" s="18" t="s">
        <v>24</v>
      </c>
      <c r="F7" s="547"/>
      <c r="G7" s="547"/>
      <c r="H7" s="547"/>
      <c r="I7" s="547"/>
      <c r="J7" s="546">
        <f ca="1">SUM(J8:J10)</f>
        <v>41985.1239824027</v>
      </c>
      <c r="K7" s="546">
        <f ca="1">SUM(K8:K10)</f>
        <v>97592.141248922</v>
      </c>
      <c r="L7" s="546">
        <f t="shared" ref="L7:AF7" si="1">SUM(L8:L10)</f>
        <v>800</v>
      </c>
      <c r="M7" s="546">
        <f t="shared" si="1"/>
        <v>0</v>
      </c>
      <c r="N7" s="546">
        <f t="shared" si="1"/>
        <v>0</v>
      </c>
      <c r="O7" s="546">
        <f t="shared" si="1"/>
        <v>0</v>
      </c>
      <c r="P7" s="546">
        <f t="shared" si="1"/>
        <v>0</v>
      </c>
      <c r="Q7" s="546">
        <f t="shared" si="1"/>
        <v>0</v>
      </c>
      <c r="R7" s="546">
        <f t="shared" si="1"/>
        <v>0</v>
      </c>
      <c r="S7" s="546">
        <f t="shared" si="1"/>
        <v>0</v>
      </c>
      <c r="T7" s="546">
        <f t="shared" si="1"/>
        <v>0</v>
      </c>
      <c r="U7" s="546">
        <f t="shared" si="1"/>
        <v>0</v>
      </c>
      <c r="V7" s="546">
        <f t="shared" si="1"/>
        <v>0</v>
      </c>
      <c r="W7" s="546">
        <f t="shared" si="1"/>
        <v>0</v>
      </c>
      <c r="X7" s="546">
        <f t="shared" si="1"/>
        <v>0</v>
      </c>
      <c r="Y7" s="546">
        <f t="shared" si="1"/>
        <v>0</v>
      </c>
      <c r="Z7" s="546">
        <f t="shared" si="1"/>
        <v>0</v>
      </c>
      <c r="AA7" s="546">
        <f t="shared" si="1"/>
        <v>0</v>
      </c>
      <c r="AB7" s="546">
        <f t="shared" si="1"/>
        <v>0</v>
      </c>
      <c r="AC7" s="546">
        <f t="shared" si="1"/>
        <v>0</v>
      </c>
      <c r="AD7" s="546">
        <f t="shared" si="1"/>
        <v>0</v>
      </c>
      <c r="AE7" s="546">
        <f t="shared" si="1"/>
        <v>0</v>
      </c>
      <c r="AF7" s="546">
        <f t="shared" si="1"/>
        <v>0</v>
      </c>
    </row>
    <row r="8" spans="2:32">
      <c r="B8" s="20">
        <v>1.1</v>
      </c>
      <c r="C8" s="25" t="s">
        <v>168</v>
      </c>
      <c r="D8" s="548">
        <f t="shared" si="0"/>
        <v>139000</v>
      </c>
      <c r="E8" s="18" t="s">
        <v>24</v>
      </c>
      <c r="F8" s="548"/>
      <c r="G8" s="548"/>
      <c r="H8" s="548"/>
      <c r="I8" s="548"/>
      <c r="J8" s="577">
        <f>参数输入表!$I$145*J5</f>
        <v>41700</v>
      </c>
      <c r="K8" s="577">
        <f>参数输入表!$I$145*K5</f>
        <v>97300</v>
      </c>
      <c r="L8" s="577">
        <f>IF(L$4-参数输入表!$I$14-参数输入表!$I$7&gt;0,0)</f>
        <v>0</v>
      </c>
      <c r="M8" s="577">
        <f>IF(M$4-参数输入表!$I$14-参数输入表!$I$7&gt;0,0)</f>
        <v>0</v>
      </c>
      <c r="N8" s="577">
        <f>IF(N$4-参数输入表!$I$14-参数输入表!$I$7&gt;0,0)</f>
        <v>0</v>
      </c>
      <c r="O8" s="577">
        <f>IF(O$4-参数输入表!$I$14-参数输入表!$I$7&gt;0,0)</f>
        <v>0</v>
      </c>
      <c r="P8" s="577">
        <f>IF(P$4-参数输入表!$I$14-参数输入表!$I$7&gt;0,0)</f>
        <v>0</v>
      </c>
      <c r="Q8" s="577">
        <f>IF(Q$4-参数输入表!$I$14-参数输入表!$I$7&gt;0,0)</f>
        <v>0</v>
      </c>
      <c r="R8" s="577">
        <f>IF(R$4-参数输入表!$I$14-参数输入表!$I$7&gt;0,0)</f>
        <v>0</v>
      </c>
      <c r="S8" s="577">
        <f>IF(S$4-参数输入表!$I$14-参数输入表!$I$7&gt;0,0)</f>
        <v>0</v>
      </c>
      <c r="T8" s="577">
        <f>IF(T$4-参数输入表!$I$14-参数输入表!$I$7&gt;0,0)</f>
        <v>0</v>
      </c>
      <c r="U8" s="577">
        <f>IF(U$4-参数输入表!$I$14-参数输入表!$I$7&gt;0,0)</f>
        <v>0</v>
      </c>
      <c r="V8" s="577">
        <f>IF(V$4-参数输入表!$I$14-参数输入表!$I$7&gt;0,0)</f>
        <v>0</v>
      </c>
      <c r="W8" s="577">
        <f>IF(W$4-参数输入表!$I$14-参数输入表!$I$7&gt;0,0)</f>
        <v>0</v>
      </c>
      <c r="X8" s="577">
        <f>IF(X$4-参数输入表!$I$14-参数输入表!$I$7&gt;0,0)</f>
        <v>0</v>
      </c>
      <c r="Y8" s="577">
        <f>IF(Y$4-参数输入表!$I$14-参数输入表!$I$7&gt;0,0)</f>
        <v>0</v>
      </c>
      <c r="Z8" s="577">
        <f>IF(Z$4-参数输入表!$I$14-参数输入表!$I$7&gt;0,0)</f>
        <v>0</v>
      </c>
      <c r="AA8" s="577">
        <f>IF(AA$4-参数输入表!$I$14-参数输入表!$I$7&gt;0,0)</f>
        <v>0</v>
      </c>
      <c r="AB8" s="577">
        <f>IF(AB$4-参数输入表!$I$14-参数输入表!$I$7&gt;0,0)</f>
        <v>0</v>
      </c>
      <c r="AC8" s="577">
        <f>IF(AC$4-参数输入表!$I$14-参数输入表!$I$7&gt;0,0)</f>
        <v>0</v>
      </c>
      <c r="AD8" s="577">
        <f>IF(AD$4-参数输入表!$I$14-参数输入表!$I$7&gt;0,0)</f>
        <v>0</v>
      </c>
      <c r="AE8" s="577">
        <f>IF(AE$4-参数输入表!$I$14-参数输入表!$I$7&gt;0,0)</f>
        <v>0</v>
      </c>
      <c r="AF8" s="577">
        <f>IF(AF$4-参数输入表!$I$14-参数输入表!$I$7&gt;0,0)</f>
        <v>0</v>
      </c>
    </row>
    <row r="9" spans="2:32">
      <c r="B9" s="20">
        <v>1.2</v>
      </c>
      <c r="C9" s="25" t="s">
        <v>490</v>
      </c>
      <c r="D9" s="548">
        <f ca="1" t="shared" si="0"/>
        <v>577.265231324652</v>
      </c>
      <c r="E9" s="18" t="s">
        <v>24</v>
      </c>
      <c r="F9" s="548"/>
      <c r="G9" s="548"/>
      <c r="H9" s="548"/>
      <c r="I9" s="548"/>
      <c r="J9" s="577">
        <f ca="1" t="shared" ref="J9:AF9" si="2">J17</f>
        <v>285.123982402699</v>
      </c>
      <c r="K9" s="577">
        <f ca="1" t="shared" si="2"/>
        <v>292.141248921953</v>
      </c>
      <c r="L9" s="548">
        <f t="shared" si="2"/>
        <v>0</v>
      </c>
      <c r="M9" s="548">
        <f t="shared" si="2"/>
        <v>0</v>
      </c>
      <c r="N9" s="548">
        <f t="shared" si="2"/>
        <v>0</v>
      </c>
      <c r="O9" s="548">
        <f t="shared" si="2"/>
        <v>0</v>
      </c>
      <c r="P9" s="548">
        <f t="shared" si="2"/>
        <v>0</v>
      </c>
      <c r="Q9" s="548">
        <f t="shared" si="2"/>
        <v>0</v>
      </c>
      <c r="R9" s="548">
        <f t="shared" si="2"/>
        <v>0</v>
      </c>
      <c r="S9" s="548">
        <f t="shared" si="2"/>
        <v>0</v>
      </c>
      <c r="T9" s="548">
        <f t="shared" si="2"/>
        <v>0</v>
      </c>
      <c r="U9" s="548">
        <f t="shared" si="2"/>
        <v>0</v>
      </c>
      <c r="V9" s="548">
        <f t="shared" si="2"/>
        <v>0</v>
      </c>
      <c r="W9" s="548">
        <f t="shared" si="2"/>
        <v>0</v>
      </c>
      <c r="X9" s="548">
        <f t="shared" si="2"/>
        <v>0</v>
      </c>
      <c r="Y9" s="548">
        <f t="shared" si="2"/>
        <v>0</v>
      </c>
      <c r="Z9" s="548">
        <f t="shared" si="2"/>
        <v>0</v>
      </c>
      <c r="AA9" s="548">
        <f t="shared" si="2"/>
        <v>0</v>
      </c>
      <c r="AB9" s="548">
        <f t="shared" si="2"/>
        <v>0</v>
      </c>
      <c r="AC9" s="548">
        <f t="shared" si="2"/>
        <v>0</v>
      </c>
      <c r="AD9" s="548">
        <f t="shared" si="2"/>
        <v>0</v>
      </c>
      <c r="AE9" s="548">
        <f t="shared" si="2"/>
        <v>0</v>
      </c>
      <c r="AF9" s="548">
        <f t="shared" si="2"/>
        <v>0</v>
      </c>
    </row>
    <row r="10" spans="2:32">
      <c r="B10" s="549">
        <v>1.3</v>
      </c>
      <c r="C10" s="550" t="s">
        <v>180</v>
      </c>
      <c r="D10" s="551">
        <f t="shared" si="0"/>
        <v>800</v>
      </c>
      <c r="E10" s="249" t="s">
        <v>24</v>
      </c>
      <c r="F10" s="548"/>
      <c r="G10" s="548"/>
      <c r="H10" s="548"/>
      <c r="I10" s="548"/>
      <c r="J10" s="551">
        <f>IF(AND(J4-参数输入表!$I$21=0,参数输入表!$I$149="手动输入"),参数输入表!$I$151,IF(AND(J4-参数输入表!$I$21=0,参数输入表!$I$149="单位千瓦指标计算"),参数输入表!$I$150*参数输入表!$I$32/10,0))</f>
        <v>0</v>
      </c>
      <c r="K10" s="551">
        <f>IF(AND(K4-参数输入表!$I$21=0,参数输入表!$I$149="手动输入"),参数输入表!$I$151,IF(AND(K4-参数输入表!$I$21=0,参数输入表!$I$149="单位千瓦指标计算"),参数输入表!$I$150*参数输入表!$I$32/10,0))</f>
        <v>0</v>
      </c>
      <c r="L10" s="551">
        <f>IF(AND(L4-参数输入表!$I$21=0,参数输入表!$I$149="手动输入"),参数输入表!$I$151,IF(AND(L4-参数输入表!$I$21=0,参数输入表!$I$149="单位千瓦指标计算"),参数输入表!$I$150*参数输入表!$I$32/10,0))</f>
        <v>800</v>
      </c>
      <c r="M10" s="551">
        <f>IF(AND(M4-参数输入表!$I$21=0,参数输入表!$I$149="手动输入"),参数输入表!$I$151,IF(AND(M4-参数输入表!$I$21=0,参数输入表!$I$149="单位千瓦指标计算"),参数输入表!$I$150*参数输入表!$I$32/10,0))</f>
        <v>0</v>
      </c>
      <c r="N10" s="551">
        <f>IF(AND(N4-参数输入表!$I$21=0,参数输入表!$I$149="手动输入"),参数输入表!$I$151,IF(AND(N4-参数输入表!$I$21=0,参数输入表!$I$149="单位千瓦指标计算"),参数输入表!$I$150*参数输入表!$I$32/10,0))</f>
        <v>0</v>
      </c>
      <c r="O10" s="551">
        <f>IF(AND(O4-参数输入表!$I$21=0,参数输入表!$I$149="手动输入"),参数输入表!$I$151,IF(AND(O4-参数输入表!$I$21=0,参数输入表!$I$149="单位千瓦指标计算"),参数输入表!$I$150*参数输入表!$I$32/10,0))</f>
        <v>0</v>
      </c>
      <c r="P10" s="551">
        <f>IF(AND(P4-参数输入表!$I$21=0,参数输入表!$I$149="手动输入"),参数输入表!$I$151,IF(AND(P4-参数输入表!$I$21=0,参数输入表!$I$149="单位千瓦指标计算"),参数输入表!$I$150*参数输入表!$I$32/10,0))</f>
        <v>0</v>
      </c>
      <c r="Q10" s="551">
        <f>IF(AND(Q4-参数输入表!$I$21=0,参数输入表!$I$149="手动输入"),参数输入表!$I$151,IF(AND(Q4-参数输入表!$I$21=0,参数输入表!$I$149="单位千瓦指标计算"),参数输入表!$I$150*参数输入表!$I$32/10,0))</f>
        <v>0</v>
      </c>
      <c r="R10" s="551">
        <f>IF(AND(R4-参数输入表!$I$21=0,参数输入表!$I$149="手动输入"),参数输入表!$I$151,IF(AND(R4-参数输入表!$I$21=0,参数输入表!$I$149="单位千瓦指标计算"),参数输入表!$I$150*参数输入表!$I$32/10,0))</f>
        <v>0</v>
      </c>
      <c r="S10" s="551">
        <f>IF(AND(S4-参数输入表!$I$21=0,参数输入表!$I$149="手动输入"),参数输入表!$I$151,IF(AND(S4-参数输入表!$I$21=0,参数输入表!$I$149="单位千瓦指标计算"),参数输入表!$I$150*参数输入表!$I$32/10,0))</f>
        <v>0</v>
      </c>
      <c r="T10" s="551">
        <f>IF(AND(T4-参数输入表!$I$21=0,参数输入表!$I$149="手动输入"),参数输入表!$I$151,IF(AND(T4-参数输入表!$I$21=0,参数输入表!$I$149="单位千瓦指标计算"),参数输入表!$I$150*参数输入表!$I$32/10,0))</f>
        <v>0</v>
      </c>
      <c r="U10" s="551">
        <f>IF(AND(U4-参数输入表!$I$21=0,参数输入表!$I$149="手动输入"),参数输入表!$I$151,IF(AND(U4-参数输入表!$I$21=0,参数输入表!$I$149="单位千瓦指标计算"),参数输入表!$I$150*参数输入表!$I$32/10,0))</f>
        <v>0</v>
      </c>
      <c r="V10" s="551">
        <f>IF(AND(V4-参数输入表!$I$21=0,参数输入表!$I$149="手动输入"),参数输入表!$I$151,IF(AND(V4-参数输入表!$I$21=0,参数输入表!$I$149="单位千瓦指标计算"),参数输入表!$I$150*参数输入表!$I$32/10,0))</f>
        <v>0</v>
      </c>
      <c r="W10" s="551">
        <f>IF(AND(W4-参数输入表!$I$21=0,参数输入表!$I$149="手动输入"),参数输入表!$I$151,IF(AND(W4-参数输入表!$I$21=0,参数输入表!$I$149="单位千瓦指标计算"),参数输入表!$I$150*参数输入表!$I$32/10,0))</f>
        <v>0</v>
      </c>
      <c r="X10" s="551">
        <f>IF(AND(X4-参数输入表!$I$21=0,参数输入表!$I$149="手动输入"),参数输入表!$I$151,IF(AND(X4-参数输入表!$I$21=0,参数输入表!$I$149="单位千瓦指标计算"),参数输入表!$I$150*参数输入表!$I$32/10,0))</f>
        <v>0</v>
      </c>
      <c r="Y10" s="551">
        <f>IF(AND(Y4-参数输入表!$I$21=0,参数输入表!$I$149="手动输入"),参数输入表!$I$151,IF(AND(Y4-参数输入表!$I$21=0,参数输入表!$I$149="单位千瓦指标计算"),参数输入表!$I$150*参数输入表!$I$32/10,0))</f>
        <v>0</v>
      </c>
      <c r="Z10" s="551">
        <f>IF(AND(Z4-参数输入表!$I$21=0,参数输入表!$I$149="手动输入"),参数输入表!$I$151,IF(AND(Z4-参数输入表!$I$21=0,参数输入表!$I$149="单位千瓦指标计算"),参数输入表!$I$150*参数输入表!$I$32/10,0))</f>
        <v>0</v>
      </c>
      <c r="AA10" s="551">
        <f>IF(AND(AA4-参数输入表!$I$21=0,参数输入表!$I$149="手动输入"),参数输入表!$I$151,IF(AND(AA4-参数输入表!$I$21=0,参数输入表!$I$149="单位千瓦指标计算"),参数输入表!$I$150*参数输入表!$I$32/10,0))</f>
        <v>0</v>
      </c>
      <c r="AB10" s="551">
        <f>IF(AND(AB4-参数输入表!$I$21=0,参数输入表!$I$149="手动输入"),参数输入表!$I$151,IF(AND(AB4-参数输入表!$I$21=0,参数输入表!$I$149="单位千瓦指标计算"),参数输入表!$I$150*参数输入表!$I$32/10,0))</f>
        <v>0</v>
      </c>
      <c r="AC10" s="551">
        <f>IF(AND(AC4-参数输入表!$I$21=0,参数输入表!$I$149="手动输入"),参数输入表!$I$151,IF(AND(AC4-参数输入表!$I$21=0,参数输入表!$I$149="单位千瓦指标计算"),参数输入表!$I$150*参数输入表!$I$32/10,0))</f>
        <v>0</v>
      </c>
      <c r="AD10" s="551">
        <f>IF(AND(AD4-参数输入表!$I$21=0,参数输入表!$I$149="手动输入"),参数输入表!$I$151,IF(AND(AD4-参数输入表!$I$21=0,参数输入表!$I$149="单位千瓦指标计算"),参数输入表!$I$150*参数输入表!$I$32/10,0))</f>
        <v>0</v>
      </c>
      <c r="AE10" s="551">
        <f>IF(AND(AE4-参数输入表!$I$21=0,参数输入表!$I$149="手动输入"),参数输入表!$I$151,IF(AND(AE4-参数输入表!$I$21=0,参数输入表!$I$149="单位千瓦指标计算"),参数输入表!$I$150*参数输入表!$I$32/10,0))</f>
        <v>0</v>
      </c>
      <c r="AF10" s="551">
        <f>IF(AND(AF4-参数输入表!$I$21=0,参数输入表!$I$149="手动输入"),参数输入表!$I$151,IF(AND(AF4-参数输入表!$I$21=0,参数输入表!$I$149="单位千瓦指标计算"),参数输入表!$I$150*参数输入表!$I$32/10,0))</f>
        <v>0</v>
      </c>
    </row>
    <row r="11" spans="2:32">
      <c r="B11" s="15">
        <v>2</v>
      </c>
      <c r="C11" s="552" t="s">
        <v>491</v>
      </c>
      <c r="D11" s="552"/>
      <c r="E11" s="224"/>
      <c r="F11" s="548"/>
      <c r="G11" s="548"/>
      <c r="H11" s="548"/>
      <c r="I11" s="224"/>
      <c r="J11" s="224"/>
      <c r="K11" s="224"/>
      <c r="L11" s="224"/>
      <c r="M11" s="224"/>
      <c r="N11" s="21"/>
      <c r="O11" s="21"/>
      <c r="P11" s="21"/>
      <c r="Q11" s="21"/>
      <c r="R11" s="21"/>
      <c r="S11" s="21"/>
      <c r="T11" s="21"/>
      <c r="U11" s="21"/>
      <c r="V11" s="21"/>
      <c r="W11" s="21"/>
      <c r="X11" s="21"/>
      <c r="Y11" s="21"/>
      <c r="Z11" s="21"/>
      <c r="AA11" s="21"/>
      <c r="AB11" s="21"/>
      <c r="AC11" s="21"/>
      <c r="AD11" s="21"/>
      <c r="AE11" s="21"/>
      <c r="AF11" s="21"/>
    </row>
    <row r="12" spans="2:32">
      <c r="B12" s="15">
        <v>2.1</v>
      </c>
      <c r="C12" s="552" t="s">
        <v>492</v>
      </c>
      <c r="D12" s="547">
        <f ca="1">SUM(F12:AF12)</f>
        <v>35134.3163078312</v>
      </c>
      <c r="E12" s="18" t="s">
        <v>24</v>
      </c>
      <c r="F12" s="547"/>
      <c r="G12" s="547"/>
      <c r="H12" s="547"/>
      <c r="I12" s="547"/>
      <c r="J12" s="547">
        <f ca="1">SUM(J13:J14)</f>
        <v>10496.2809956007</v>
      </c>
      <c r="K12" s="547">
        <f ca="1" t="shared" ref="K12:AF12" si="3">SUM(K13:K14)</f>
        <v>24398.0353122305</v>
      </c>
      <c r="L12" s="547">
        <f t="shared" si="3"/>
        <v>240</v>
      </c>
      <c r="M12" s="547">
        <f t="shared" si="3"/>
        <v>0</v>
      </c>
      <c r="N12" s="547">
        <f t="shared" si="3"/>
        <v>0</v>
      </c>
      <c r="O12" s="547">
        <f t="shared" si="3"/>
        <v>0</v>
      </c>
      <c r="P12" s="547">
        <f t="shared" si="3"/>
        <v>0</v>
      </c>
      <c r="Q12" s="547">
        <f t="shared" si="3"/>
        <v>0</v>
      </c>
      <c r="R12" s="547">
        <f t="shared" si="3"/>
        <v>0</v>
      </c>
      <c r="S12" s="547">
        <f t="shared" si="3"/>
        <v>0</v>
      </c>
      <c r="T12" s="547">
        <f t="shared" si="3"/>
        <v>0</v>
      </c>
      <c r="U12" s="547">
        <f t="shared" si="3"/>
        <v>0</v>
      </c>
      <c r="V12" s="547">
        <f t="shared" si="3"/>
        <v>0</v>
      </c>
      <c r="W12" s="547">
        <f t="shared" si="3"/>
        <v>0</v>
      </c>
      <c r="X12" s="547">
        <f t="shared" si="3"/>
        <v>0</v>
      </c>
      <c r="Y12" s="547">
        <f t="shared" si="3"/>
        <v>0</v>
      </c>
      <c r="Z12" s="547">
        <f t="shared" si="3"/>
        <v>0</v>
      </c>
      <c r="AA12" s="547">
        <f t="shared" si="3"/>
        <v>0</v>
      </c>
      <c r="AB12" s="547">
        <f t="shared" si="3"/>
        <v>0</v>
      </c>
      <c r="AC12" s="547">
        <f t="shared" si="3"/>
        <v>0</v>
      </c>
      <c r="AD12" s="547">
        <f t="shared" si="3"/>
        <v>0</v>
      </c>
      <c r="AE12" s="547">
        <f t="shared" si="3"/>
        <v>0</v>
      </c>
      <c r="AF12" s="547">
        <f t="shared" si="3"/>
        <v>0</v>
      </c>
    </row>
    <row r="13" spans="2:32">
      <c r="B13" s="20" t="s">
        <v>493</v>
      </c>
      <c r="C13" s="25" t="s">
        <v>494</v>
      </c>
      <c r="D13" s="548">
        <f ca="1">SUM(F13:AF13)</f>
        <v>34894.3163078312</v>
      </c>
      <c r="E13" s="18" t="s">
        <v>24</v>
      </c>
      <c r="F13" s="548"/>
      <c r="G13" s="548"/>
      <c r="H13" s="548"/>
      <c r="I13" s="548"/>
      <c r="J13" s="551">
        <f ca="1">(J8+J9)*参数输入表!$I$215</f>
        <v>10496.2809956007</v>
      </c>
      <c r="K13" s="551">
        <f ca="1">(K8+K9)*参数输入表!$I$215</f>
        <v>24398.0353122305</v>
      </c>
      <c r="L13" s="551">
        <f>(L8+L9)*参数输入表!$I$215</f>
        <v>0</v>
      </c>
      <c r="M13" s="551">
        <f>(M8+M9)*参数输入表!$I$215</f>
        <v>0</v>
      </c>
      <c r="N13" s="551">
        <f>(N8+N9)*参数输入表!$I$215</f>
        <v>0</v>
      </c>
      <c r="O13" s="551">
        <f>(O8+O9)*参数输入表!$I$215</f>
        <v>0</v>
      </c>
      <c r="P13" s="551">
        <f>(P8+P9)*参数输入表!$I$215</f>
        <v>0</v>
      </c>
      <c r="Q13" s="551">
        <f>(Q8+Q9)*参数输入表!$I$215</f>
        <v>0</v>
      </c>
      <c r="R13" s="551">
        <f>(R8+R9)*参数输入表!$I$215</f>
        <v>0</v>
      </c>
      <c r="S13" s="551">
        <f>(S8+S9)*参数输入表!$I$215</f>
        <v>0</v>
      </c>
      <c r="T13" s="551">
        <f>(T8+T9)*参数输入表!$I$215</f>
        <v>0</v>
      </c>
      <c r="U13" s="551">
        <f>(U8+U9)*参数输入表!$I$215</f>
        <v>0</v>
      </c>
      <c r="V13" s="551">
        <f>(V8+V9)*参数输入表!$I$215</f>
        <v>0</v>
      </c>
      <c r="W13" s="551">
        <f>(W8+W9)*参数输入表!$I$215</f>
        <v>0</v>
      </c>
      <c r="X13" s="551">
        <f>(X8+X9)*参数输入表!$I$215</f>
        <v>0</v>
      </c>
      <c r="Y13" s="551">
        <f>(Y8+Y9)*参数输入表!$I$215</f>
        <v>0</v>
      </c>
      <c r="Z13" s="551">
        <f>(Z8+Z9)*参数输入表!$I$215</f>
        <v>0</v>
      </c>
      <c r="AA13" s="551">
        <f>(AA8+AA9)*参数输入表!$I$215</f>
        <v>0</v>
      </c>
      <c r="AB13" s="551">
        <f>(AB8+AB9)*参数输入表!$I$215</f>
        <v>0</v>
      </c>
      <c r="AC13" s="551">
        <f>(AC8+AC9)*参数输入表!$I$215</f>
        <v>0</v>
      </c>
      <c r="AD13" s="551">
        <f>(AD8+AD9)*参数输入表!$I$215</f>
        <v>0</v>
      </c>
      <c r="AE13" s="551">
        <f>(AE8+AE9)*参数输入表!$I$215</f>
        <v>0</v>
      </c>
      <c r="AF13" s="551">
        <f>(AF8+AF9)*参数输入表!$I$215</f>
        <v>0</v>
      </c>
    </row>
    <row r="14" spans="2:32">
      <c r="B14" s="20" t="s">
        <v>495</v>
      </c>
      <c r="C14" s="25" t="s">
        <v>496</v>
      </c>
      <c r="D14" s="548">
        <f t="shared" ref="D14:D19" si="4">SUM(F14:AF14)</f>
        <v>240</v>
      </c>
      <c r="E14" s="18" t="s">
        <v>24</v>
      </c>
      <c r="F14" s="548"/>
      <c r="G14" s="548"/>
      <c r="H14" s="548"/>
      <c r="I14" s="548"/>
      <c r="J14" s="551">
        <f>IF(AND(J4-参数输入表!$I$21=0,参数输入表!$I$149="手动输入"),参数输入表!$I$151*参数输入表!$I$223,IF(AND(J4-参数输入表!$I$21=0,参数输入表!$I$149="单位千瓦指标计算"),参数输入表!$I$150*参数输入表!$I$32/10*参数输入表!$I$223,0))</f>
        <v>0</v>
      </c>
      <c r="K14" s="551">
        <f>IF(AND(K4-参数输入表!$I$21=0,参数输入表!$I$149="手动输入"),参数输入表!$I$151*参数输入表!$I$223,IF(AND(K4-参数输入表!$I$21=0,参数输入表!$I$149="单位千瓦指标计算"),参数输入表!$I$150*参数输入表!$I$32/10*参数输入表!$I$223,0))</f>
        <v>0</v>
      </c>
      <c r="L14" s="551">
        <f>IF(AND(L4-参数输入表!$I$21=0,参数输入表!$I$149="手动输入"),参数输入表!$I$151*参数输入表!$I$223,IF(AND(L4-参数输入表!$I$21=0,参数输入表!$I$149="单位千瓦指标计算"),参数输入表!$I$150*参数输入表!$I$32/10*参数输入表!$I$223,0))</f>
        <v>240</v>
      </c>
      <c r="M14" s="551">
        <f>IF(AND(M4-参数输入表!$I$21=0,参数输入表!$I$149="手动输入"),参数输入表!$I$151*参数输入表!$I$223,IF(AND(M4-参数输入表!$I$21=0,参数输入表!$I$149="单位千瓦指标计算"),参数输入表!$I$150*参数输入表!$I$32/10*参数输入表!$I$223,0))</f>
        <v>0</v>
      </c>
      <c r="N14" s="551">
        <f>IF(AND(N4-参数输入表!$I$21=0,参数输入表!$I$149="手动输入"),参数输入表!$I$151*参数输入表!$I$223,IF(AND(N4-参数输入表!$I$21=0,参数输入表!$I$149="单位千瓦指标计算"),参数输入表!$I$150*参数输入表!$I$32/10*参数输入表!$I$223,0))</f>
        <v>0</v>
      </c>
      <c r="O14" s="551">
        <f>IF(AND(O4-参数输入表!$I$21=0,参数输入表!$I$149="手动输入"),参数输入表!$I$151*参数输入表!$I$223,IF(AND(O4-参数输入表!$I$21=0,参数输入表!$I$149="单位千瓦指标计算"),参数输入表!$I$150*参数输入表!$I$32/10*参数输入表!$I$223,0))</f>
        <v>0</v>
      </c>
      <c r="P14" s="551">
        <f>IF(AND(P4-参数输入表!$I$21=0,参数输入表!$I$149="手动输入"),参数输入表!$I$151*参数输入表!$I$223,IF(AND(P4-参数输入表!$I$21=0,参数输入表!$I$149="单位千瓦指标计算"),参数输入表!$I$150*参数输入表!$I$32/10*参数输入表!$I$223,0))</f>
        <v>0</v>
      </c>
      <c r="Q14" s="551">
        <f>IF(AND(Q4-参数输入表!$I$21=0,参数输入表!$I$149="手动输入"),参数输入表!$I$151*参数输入表!$I$223,IF(AND(Q4-参数输入表!$I$21=0,参数输入表!$I$149="单位千瓦指标计算"),参数输入表!$I$150*参数输入表!$I$32/10*参数输入表!$I$223,0))</f>
        <v>0</v>
      </c>
      <c r="R14" s="551">
        <f>IF(AND(R4-参数输入表!$I$21=0,参数输入表!$I$149="手动输入"),参数输入表!$I$151*参数输入表!$I$223,IF(AND(R4-参数输入表!$I$21=0,参数输入表!$I$149="单位千瓦指标计算"),参数输入表!$I$150*参数输入表!$I$32/10*参数输入表!$I$223,0))</f>
        <v>0</v>
      </c>
      <c r="S14" s="551">
        <f>IF(AND(S4-参数输入表!$I$21=0,参数输入表!$I$149="手动输入"),参数输入表!$I$151*参数输入表!$I$223,IF(AND(S4-参数输入表!$I$21=0,参数输入表!$I$149="单位千瓦指标计算"),参数输入表!$I$150*参数输入表!$I$32/10*参数输入表!$I$223,0))</f>
        <v>0</v>
      </c>
      <c r="T14" s="551">
        <f>IF(AND(T4-参数输入表!$I$21=0,参数输入表!$I$149="手动输入"),参数输入表!$I$151*参数输入表!$I$223,IF(AND(T4-参数输入表!$I$21=0,参数输入表!$I$149="单位千瓦指标计算"),参数输入表!$I$150*参数输入表!$I$32/10*参数输入表!$I$223,0))</f>
        <v>0</v>
      </c>
      <c r="U14" s="551">
        <f>IF(AND(U4-参数输入表!$I$21=0,参数输入表!$I$149="手动输入"),参数输入表!$I$151*参数输入表!$I$223,IF(AND(U4-参数输入表!$I$21=0,参数输入表!$I$149="单位千瓦指标计算"),参数输入表!$I$150*参数输入表!$I$32/10*参数输入表!$I$223,0))</f>
        <v>0</v>
      </c>
      <c r="V14" s="551">
        <f>IF(AND(V4-参数输入表!$I$21=0,参数输入表!$I$149="手动输入"),参数输入表!$I$151*参数输入表!$I$223,IF(AND(V4-参数输入表!$I$21=0,参数输入表!$I$149="单位千瓦指标计算"),参数输入表!$I$150*参数输入表!$I$32/10*参数输入表!$I$223,0))</f>
        <v>0</v>
      </c>
      <c r="W14" s="551">
        <f>IF(AND(W4-参数输入表!$I$21=0,参数输入表!$I$149="手动输入"),参数输入表!$I$151*参数输入表!$I$223,IF(AND(W4-参数输入表!$I$21=0,参数输入表!$I$149="单位千瓦指标计算"),参数输入表!$I$150*参数输入表!$I$32/10*参数输入表!$I$223,0))</f>
        <v>0</v>
      </c>
      <c r="X14" s="551">
        <f>IF(AND(X4-参数输入表!$I$21=0,参数输入表!$I$149="手动输入"),参数输入表!$I$151*参数输入表!$I$223,IF(AND(X4-参数输入表!$I$21=0,参数输入表!$I$149="单位千瓦指标计算"),参数输入表!$I$150*参数输入表!$I$32/10*参数输入表!$I$223,0))</f>
        <v>0</v>
      </c>
      <c r="Y14" s="551">
        <f>IF(AND(Y4-参数输入表!$I$21=0,参数输入表!$I$149="手动输入"),参数输入表!$I$151*参数输入表!$I$223,IF(AND(Y4-参数输入表!$I$21=0,参数输入表!$I$149="单位千瓦指标计算"),参数输入表!$I$150*参数输入表!$I$32/10*参数输入表!$I$223,0))</f>
        <v>0</v>
      </c>
      <c r="Z14" s="551">
        <f>IF(AND(Z4-参数输入表!$I$21=0,参数输入表!$I$149="手动输入"),参数输入表!$I$151*参数输入表!$I$223,IF(AND(Z4-参数输入表!$I$21=0,参数输入表!$I$149="单位千瓦指标计算"),参数输入表!$I$150*参数输入表!$I$32/10*参数输入表!$I$223,0))</f>
        <v>0</v>
      </c>
      <c r="AA14" s="551">
        <f>IF(AND(AA4-参数输入表!$I$21=0,参数输入表!$I$149="手动输入"),参数输入表!$I$151*参数输入表!$I$223,IF(AND(AA4-参数输入表!$I$21=0,参数输入表!$I$149="单位千瓦指标计算"),参数输入表!$I$150*参数输入表!$I$32/10*参数输入表!$I$223,0))</f>
        <v>0</v>
      </c>
      <c r="AB14" s="551">
        <f>IF(AND(AB4-参数输入表!$I$21=0,参数输入表!$I$149="手动输入"),参数输入表!$I$151*参数输入表!$I$223,IF(AND(AB4-参数输入表!$I$21=0,参数输入表!$I$149="单位千瓦指标计算"),参数输入表!$I$150*参数输入表!$I$32/10*参数输入表!$I$223,0))</f>
        <v>0</v>
      </c>
      <c r="AC14" s="551">
        <f>IF(AND(AC4-参数输入表!$I$21=0,参数输入表!$I$149="手动输入"),参数输入表!$I$151*参数输入表!$I$223,IF(AND(AC4-参数输入表!$I$21=0,参数输入表!$I$149="单位千瓦指标计算"),参数输入表!$I$150*参数输入表!$I$32/10*参数输入表!$I$223,0))</f>
        <v>0</v>
      </c>
      <c r="AD14" s="551">
        <f>IF(AND(AD4-参数输入表!$I$21=0,参数输入表!$I$149="手动输入"),参数输入表!$I$151*参数输入表!$I$223,IF(AND(AD4-参数输入表!$I$21=0,参数输入表!$I$149="单位千瓦指标计算"),参数输入表!$I$150*参数输入表!$I$32/10*参数输入表!$I$223,0))</f>
        <v>0</v>
      </c>
      <c r="AE14" s="551">
        <f>IF(AND(AE4-参数输入表!$I$21=0,参数输入表!$I$149="手动输入"),参数输入表!$I$151*参数输入表!$I$223,IF(AND(AE4-参数输入表!$I$21=0,参数输入表!$I$149="单位千瓦指标计算"),参数输入表!$I$150*参数输入表!$I$32/10*参数输入表!$I$223,0))</f>
        <v>0</v>
      </c>
      <c r="AF14" s="551">
        <f>IF(AND(AF4-参数输入表!$I$21=0,参数输入表!$I$149="手动输入"),参数输入表!$I$151*参数输入表!$I$223,IF(AND(AF4-参数输入表!$I$21=0,参数输入表!$I$149="单位千瓦指标计算"),参数输入表!$I$150*参数输入表!$I$32/10*参数输入表!$I$223,0))</f>
        <v>0</v>
      </c>
    </row>
    <row r="15" spans="2:32">
      <c r="B15" s="15">
        <v>2.2</v>
      </c>
      <c r="C15" s="552" t="s">
        <v>497</v>
      </c>
      <c r="D15" s="547">
        <f ca="1" t="shared" si="4"/>
        <v>105242.948923493</v>
      </c>
      <c r="E15" s="18" t="s">
        <v>24</v>
      </c>
      <c r="F15" s="547"/>
      <c r="G15" s="547"/>
      <c r="H15" s="547"/>
      <c r="I15" s="547"/>
      <c r="J15" s="546">
        <f ca="1">SUM(J16:J17)+J19</f>
        <v>31488.842986802</v>
      </c>
      <c r="K15" s="546">
        <f ca="1" t="shared" ref="K15:AF15" si="5">SUM(K16:K17)+K19</f>
        <v>73194.1059366915</v>
      </c>
      <c r="L15" s="546">
        <f t="shared" si="5"/>
        <v>560</v>
      </c>
      <c r="M15" s="546">
        <f t="shared" si="5"/>
        <v>0</v>
      </c>
      <c r="N15" s="546">
        <f t="shared" si="5"/>
        <v>0</v>
      </c>
      <c r="O15" s="546">
        <f t="shared" si="5"/>
        <v>0</v>
      </c>
      <c r="P15" s="546">
        <f t="shared" si="5"/>
        <v>0</v>
      </c>
      <c r="Q15" s="546">
        <f t="shared" si="5"/>
        <v>0</v>
      </c>
      <c r="R15" s="546">
        <f t="shared" si="5"/>
        <v>0</v>
      </c>
      <c r="S15" s="546">
        <f t="shared" si="5"/>
        <v>0</v>
      </c>
      <c r="T15" s="546">
        <f t="shared" si="5"/>
        <v>0</v>
      </c>
      <c r="U15" s="546">
        <f t="shared" si="5"/>
        <v>0</v>
      </c>
      <c r="V15" s="546">
        <f t="shared" si="5"/>
        <v>0</v>
      </c>
      <c r="W15" s="546">
        <f t="shared" si="5"/>
        <v>0</v>
      </c>
      <c r="X15" s="546">
        <f t="shared" si="5"/>
        <v>0</v>
      </c>
      <c r="Y15" s="546">
        <f t="shared" si="5"/>
        <v>0</v>
      </c>
      <c r="Z15" s="546">
        <f t="shared" si="5"/>
        <v>0</v>
      </c>
      <c r="AA15" s="546">
        <f t="shared" si="5"/>
        <v>0</v>
      </c>
      <c r="AB15" s="546">
        <f t="shared" si="5"/>
        <v>0</v>
      </c>
      <c r="AC15" s="546">
        <f t="shared" si="5"/>
        <v>0</v>
      </c>
      <c r="AD15" s="546">
        <f t="shared" si="5"/>
        <v>0</v>
      </c>
      <c r="AE15" s="546">
        <f t="shared" si="5"/>
        <v>0</v>
      </c>
      <c r="AF15" s="546">
        <f t="shared" si="5"/>
        <v>0</v>
      </c>
    </row>
    <row r="16" spans="2:32">
      <c r="B16" s="20" t="s">
        <v>498</v>
      </c>
      <c r="C16" s="25" t="s">
        <v>494</v>
      </c>
      <c r="D16" s="548">
        <f ca="1" t="shared" si="4"/>
        <v>104105.683692169</v>
      </c>
      <c r="E16" s="18" t="s">
        <v>24</v>
      </c>
      <c r="F16" s="548"/>
      <c r="G16" s="548"/>
      <c r="H16" s="548"/>
      <c r="I16" s="548"/>
      <c r="J16" s="577">
        <f ca="1">J8-J13</f>
        <v>31203.7190043993</v>
      </c>
      <c r="K16" s="577">
        <f ca="1">K8-K13</f>
        <v>72901.9646877695</v>
      </c>
      <c r="L16" s="577">
        <f>IF(L$4-参数输入表!$I$14-参数输入表!$I$7&gt;0,0)</f>
        <v>0</v>
      </c>
      <c r="M16" s="577">
        <f>IF(M$4-参数输入表!$I$14-参数输入表!$I$7&gt;0,0)</f>
        <v>0</v>
      </c>
      <c r="N16" s="577">
        <f>IF(N$4-参数输入表!$I$14-参数输入表!$I$7&gt;0,0)</f>
        <v>0</v>
      </c>
      <c r="O16" s="577">
        <f>IF(O$4-参数输入表!$I$14-参数输入表!$I$7&gt;0,0)</f>
        <v>0</v>
      </c>
      <c r="P16" s="577">
        <f>IF(P$4-参数输入表!$I$14-参数输入表!$I$7&gt;0,0)</f>
        <v>0</v>
      </c>
      <c r="Q16" s="577">
        <f>IF(Q$4-参数输入表!$I$14-参数输入表!$I$7&gt;0,0)</f>
        <v>0</v>
      </c>
      <c r="R16" s="577">
        <f>IF(R$4-参数输入表!$I$14-参数输入表!$I$7&gt;0,0)</f>
        <v>0</v>
      </c>
      <c r="S16" s="577">
        <f>IF(S$4-参数输入表!$I$14-参数输入表!$I$7&gt;0,0)</f>
        <v>0</v>
      </c>
      <c r="T16" s="577">
        <f>IF(T$4-参数输入表!$I$14-参数输入表!$I$7&gt;0,0)</f>
        <v>0</v>
      </c>
      <c r="U16" s="577">
        <f>IF(U$4-参数输入表!$I$14-参数输入表!$I$7&gt;0,0)</f>
        <v>0</v>
      </c>
      <c r="V16" s="577">
        <f>IF(V$4-参数输入表!$I$14-参数输入表!$I$7&gt;0,0)</f>
        <v>0</v>
      </c>
      <c r="W16" s="577">
        <f>IF(W$4-参数输入表!$I$14-参数输入表!$I$7&gt;0,0)</f>
        <v>0</v>
      </c>
      <c r="X16" s="577">
        <f>IF(X$4-参数输入表!$I$14-参数输入表!$I$7&gt;0,0)</f>
        <v>0</v>
      </c>
      <c r="Y16" s="577">
        <f>IF(Y$4-参数输入表!$I$14-参数输入表!$I$7&gt;0,0)</f>
        <v>0</v>
      </c>
      <c r="Z16" s="577">
        <f>IF(Z$4-参数输入表!$I$14-参数输入表!$I$7&gt;0,0)</f>
        <v>0</v>
      </c>
      <c r="AA16" s="577">
        <f>IF(AA$4-参数输入表!$I$14-参数输入表!$I$7&gt;0,0)</f>
        <v>0</v>
      </c>
      <c r="AB16" s="577">
        <f>IF(AB$4-参数输入表!$I$14-参数输入表!$I$7&gt;0,0)</f>
        <v>0</v>
      </c>
      <c r="AC16" s="577">
        <f>IF(AC$4-参数输入表!$I$14-参数输入表!$I$7&gt;0,0)</f>
        <v>0</v>
      </c>
      <c r="AD16" s="577">
        <f>IF(AD$4-参数输入表!$I$14-参数输入表!$I$7&gt;0,0)</f>
        <v>0</v>
      </c>
      <c r="AE16" s="577">
        <f>IF(AE$4-参数输入表!$I$14-参数输入表!$I$7&gt;0,0)</f>
        <v>0</v>
      </c>
      <c r="AF16" s="577">
        <f>IF(AF$4-参数输入表!$I$14-参数输入表!$I$7&gt;0,0)</f>
        <v>0</v>
      </c>
    </row>
    <row r="17" spans="2:32">
      <c r="B17" s="20" t="s">
        <v>499</v>
      </c>
      <c r="C17" s="25" t="s">
        <v>500</v>
      </c>
      <c r="D17" s="548">
        <f ca="1" t="shared" si="4"/>
        <v>577.265231324652</v>
      </c>
      <c r="E17" s="18" t="s">
        <v>24</v>
      </c>
      <c r="F17" s="548"/>
      <c r="G17" s="548"/>
      <c r="H17" s="548"/>
      <c r="I17" s="548"/>
      <c r="J17" s="577">
        <f ca="1">J16/2*参数输入表!$I$218*(12-MONTH(参数输入表!I8))/12*(1-J6)</f>
        <v>285.123982402699</v>
      </c>
      <c r="K17" s="577">
        <f ca="1">(J16+J17+K16/2)*参数输入表!$I$218*(1-K6)</f>
        <v>292.141248921953</v>
      </c>
      <c r="L17" s="577">
        <f>IF(L$4-参数输入表!$I$14-参数输入表!$I$7&gt;0,0)</f>
        <v>0</v>
      </c>
      <c r="M17" s="577">
        <f>IF(M$4-参数输入表!$I$14-参数输入表!$I$7&gt;0,0)</f>
        <v>0</v>
      </c>
      <c r="N17" s="577">
        <f>IF(N$4-参数输入表!$I$14-参数输入表!$I$7&gt;0,0)</f>
        <v>0</v>
      </c>
      <c r="O17" s="577">
        <f>IF(O$4-参数输入表!$I$14-参数输入表!$I$7&gt;0,0)</f>
        <v>0</v>
      </c>
      <c r="P17" s="577">
        <f>IF(P$4-参数输入表!$I$14-参数输入表!$I$7&gt;0,0)</f>
        <v>0</v>
      </c>
      <c r="Q17" s="577">
        <f>IF(Q$4-参数输入表!$I$14-参数输入表!$I$7&gt;0,0)</f>
        <v>0</v>
      </c>
      <c r="R17" s="577">
        <f>IF(R$4-参数输入表!$I$14-参数输入表!$I$7&gt;0,0)</f>
        <v>0</v>
      </c>
      <c r="S17" s="577">
        <f>IF(S$4-参数输入表!$I$14-参数输入表!$I$7&gt;0,0)</f>
        <v>0</v>
      </c>
      <c r="T17" s="577">
        <f>IF(T$4-参数输入表!$I$14-参数输入表!$I$7&gt;0,0)</f>
        <v>0</v>
      </c>
      <c r="U17" s="577">
        <f>IF(U$4-参数输入表!$I$14-参数输入表!$I$7&gt;0,0)</f>
        <v>0</v>
      </c>
      <c r="V17" s="577">
        <f>IF(V$4-参数输入表!$I$14-参数输入表!$I$7&gt;0,0)</f>
        <v>0</v>
      </c>
      <c r="W17" s="577">
        <f>IF(W$4-参数输入表!$I$14-参数输入表!$I$7&gt;0,0)</f>
        <v>0</v>
      </c>
      <c r="X17" s="577">
        <f>IF(X$4-参数输入表!$I$14-参数输入表!$I$7&gt;0,0)</f>
        <v>0</v>
      </c>
      <c r="Y17" s="577">
        <f>IF(Y$4-参数输入表!$I$14-参数输入表!$I$7&gt;0,0)</f>
        <v>0</v>
      </c>
      <c r="Z17" s="577">
        <f>IF(Z$4-参数输入表!$I$14-参数输入表!$I$7&gt;0,0)</f>
        <v>0</v>
      </c>
      <c r="AA17" s="577">
        <f>IF(AA$4-参数输入表!$I$14-参数输入表!$I$7&gt;0,0)</f>
        <v>0</v>
      </c>
      <c r="AB17" s="577">
        <f>IF(AB$4-参数输入表!$I$14-参数输入表!$I$7&gt;0,0)</f>
        <v>0</v>
      </c>
      <c r="AC17" s="577">
        <f>IF(AC$4-参数输入表!$I$14-参数输入表!$I$7&gt;0,0)</f>
        <v>0</v>
      </c>
      <c r="AD17" s="577">
        <f>IF(AD$4-参数输入表!$I$14-参数输入表!$I$7&gt;0,0)</f>
        <v>0</v>
      </c>
      <c r="AE17" s="577">
        <f>IF(AE$4-参数输入表!$I$14-参数输入表!$I$7&gt;0,0)</f>
        <v>0</v>
      </c>
      <c r="AF17" s="577">
        <f>IF(AF$4-参数输入表!$I$14-参数输入表!$I$7&gt;0,0)</f>
        <v>0</v>
      </c>
    </row>
    <row r="18" spans="2:32">
      <c r="B18" s="535"/>
      <c r="C18" s="553" t="s">
        <v>501</v>
      </c>
      <c r="D18" s="554">
        <f ca="1" t="shared" si="4"/>
        <v>3256.85246851682</v>
      </c>
      <c r="E18" s="555" t="s">
        <v>24</v>
      </c>
      <c r="F18" s="554"/>
      <c r="G18" s="554"/>
      <c r="H18" s="554"/>
      <c r="I18" s="554"/>
      <c r="J18" s="577">
        <f ca="1">J16/2*参数输入表!$I$218*(12-MONTH(参数输入表!I8))/12</f>
        <v>335.439979297293</v>
      </c>
      <c r="K18" s="551">
        <f ca="1">(J16+J17+K16/2)*参数输入表!$I$218</f>
        <v>2921.41248921953</v>
      </c>
      <c r="L18" s="551">
        <f>IF(L$4-参数输入表!$I$14-参数输入表!$I$7&gt;0,0)</f>
        <v>0</v>
      </c>
      <c r="M18" s="551">
        <f>IF(M$4-参数输入表!$I$14-参数输入表!$I$7&gt;0,0)</f>
        <v>0</v>
      </c>
      <c r="N18" s="551">
        <f>IF(N$4-参数输入表!$I$14-参数输入表!$I$7&gt;0,0)</f>
        <v>0</v>
      </c>
      <c r="O18" s="551">
        <f>IF(O$4-参数输入表!$I$14-参数输入表!$I$7&gt;0,0)</f>
        <v>0</v>
      </c>
      <c r="P18" s="551">
        <f>IF(P$4-参数输入表!$I$14-参数输入表!$I$7&gt;0,0)</f>
        <v>0</v>
      </c>
      <c r="Q18" s="551">
        <f>IF(Q$4-参数输入表!$I$14-参数输入表!$I$7&gt;0,0)</f>
        <v>0</v>
      </c>
      <c r="R18" s="551">
        <f>IF(R$4-参数输入表!$I$14-参数输入表!$I$7&gt;0,0)</f>
        <v>0</v>
      </c>
      <c r="S18" s="551">
        <f>IF(S$4-参数输入表!$I$14-参数输入表!$I$7&gt;0,0)</f>
        <v>0</v>
      </c>
      <c r="T18" s="551">
        <f>IF(T$4-参数输入表!$I$14-参数输入表!$I$7&gt;0,0)</f>
        <v>0</v>
      </c>
      <c r="U18" s="551">
        <f>IF(U$4-参数输入表!$I$14-参数输入表!$I$7&gt;0,0)</f>
        <v>0</v>
      </c>
      <c r="V18" s="551">
        <f>IF(V$4-参数输入表!$I$14-参数输入表!$I$7&gt;0,0)</f>
        <v>0</v>
      </c>
      <c r="W18" s="551">
        <f>IF(W$4-参数输入表!$I$14-参数输入表!$I$7&gt;0,0)</f>
        <v>0</v>
      </c>
      <c r="X18" s="551">
        <f>IF(X$4-参数输入表!$I$14-参数输入表!$I$7&gt;0,0)</f>
        <v>0</v>
      </c>
      <c r="Y18" s="551">
        <f>IF(Y$4-参数输入表!$I$14-参数输入表!$I$7&gt;0,0)</f>
        <v>0</v>
      </c>
      <c r="Z18" s="551">
        <f>IF(Z$4-参数输入表!$I$14-参数输入表!$I$7&gt;0,0)</f>
        <v>0</v>
      </c>
      <c r="AA18" s="551">
        <f>IF(AA$4-参数输入表!$I$14-参数输入表!$I$7&gt;0,0)</f>
        <v>0</v>
      </c>
      <c r="AB18" s="551">
        <f>IF(AB$4-参数输入表!$I$14-参数输入表!$I$7&gt;0,0)</f>
        <v>0</v>
      </c>
      <c r="AC18" s="551">
        <f>IF(AC$4-参数输入表!$I$14-参数输入表!$I$7&gt;0,0)</f>
        <v>0</v>
      </c>
      <c r="AD18" s="551">
        <f>IF(AD$4-参数输入表!$I$14-参数输入表!$I$7&gt;0,0)</f>
        <v>0</v>
      </c>
      <c r="AE18" s="551">
        <f>IF(AE$4-参数输入表!$I$14-参数输入表!$I$7&gt;0,0)</f>
        <v>0</v>
      </c>
      <c r="AF18" s="551">
        <f>IF(AF$4-参数输入表!$I$14-参数输入表!$I$7&gt;0,0)</f>
        <v>0</v>
      </c>
    </row>
    <row r="19" ht="17.25" spans="2:32">
      <c r="B19" s="556" t="s">
        <v>502</v>
      </c>
      <c r="C19" s="557" t="s">
        <v>496</v>
      </c>
      <c r="D19" s="551">
        <f t="shared" si="4"/>
        <v>560</v>
      </c>
      <c r="E19" s="249" t="s">
        <v>24</v>
      </c>
      <c r="F19" s="558"/>
      <c r="G19" s="558"/>
      <c r="H19" s="558"/>
      <c r="I19" s="558"/>
      <c r="J19" s="578">
        <f>J10-J14</f>
        <v>0</v>
      </c>
      <c r="K19" s="578">
        <f t="shared" ref="K19:AF19" si="6">K10-K14</f>
        <v>0</v>
      </c>
      <c r="L19" s="578">
        <f t="shared" si="6"/>
        <v>560</v>
      </c>
      <c r="M19" s="578">
        <f t="shared" si="6"/>
        <v>0</v>
      </c>
      <c r="N19" s="578">
        <f t="shared" si="6"/>
        <v>0</v>
      </c>
      <c r="O19" s="578">
        <f t="shared" si="6"/>
        <v>0</v>
      </c>
      <c r="P19" s="578">
        <f t="shared" si="6"/>
        <v>0</v>
      </c>
      <c r="Q19" s="578">
        <f t="shared" si="6"/>
        <v>0</v>
      </c>
      <c r="R19" s="578">
        <f t="shared" si="6"/>
        <v>0</v>
      </c>
      <c r="S19" s="578">
        <f t="shared" si="6"/>
        <v>0</v>
      </c>
      <c r="T19" s="578">
        <f t="shared" si="6"/>
        <v>0</v>
      </c>
      <c r="U19" s="578">
        <f t="shared" si="6"/>
        <v>0</v>
      </c>
      <c r="V19" s="578">
        <f t="shared" si="6"/>
        <v>0</v>
      </c>
      <c r="W19" s="578">
        <f t="shared" si="6"/>
        <v>0</v>
      </c>
      <c r="X19" s="578">
        <f t="shared" si="6"/>
        <v>0</v>
      </c>
      <c r="Y19" s="578">
        <f t="shared" si="6"/>
        <v>0</v>
      </c>
      <c r="Z19" s="578">
        <f t="shared" si="6"/>
        <v>0</v>
      </c>
      <c r="AA19" s="578">
        <f t="shared" si="6"/>
        <v>0</v>
      </c>
      <c r="AB19" s="578">
        <f t="shared" si="6"/>
        <v>0</v>
      </c>
      <c r="AC19" s="578">
        <f t="shared" si="6"/>
        <v>0</v>
      </c>
      <c r="AD19" s="578">
        <f t="shared" si="6"/>
        <v>0</v>
      </c>
      <c r="AE19" s="578">
        <f t="shared" si="6"/>
        <v>0</v>
      </c>
      <c r="AF19" s="578">
        <f t="shared" si="6"/>
        <v>0</v>
      </c>
    </row>
    <row r="20" spans="2:13">
      <c r="B20" s="5"/>
      <c r="C20" s="559"/>
      <c r="D20" s="560"/>
      <c r="E20" s="5"/>
      <c r="F20" s="560"/>
      <c r="G20" s="560"/>
      <c r="H20" s="560"/>
      <c r="I20" s="579"/>
      <c r="J20" s="579"/>
      <c r="K20" s="579"/>
      <c r="L20" s="579"/>
      <c r="M20" s="579"/>
    </row>
    <row r="21" hidden="1" spans="2:32">
      <c r="B21" s="561" t="s">
        <v>503</v>
      </c>
      <c r="C21" s="562"/>
      <c r="D21" s="562"/>
      <c r="E21" s="562"/>
      <c r="F21" s="562"/>
      <c r="G21" s="562"/>
      <c r="H21" s="562"/>
      <c r="I21" s="562"/>
      <c r="J21" s="562"/>
      <c r="K21" s="562"/>
      <c r="L21" s="562"/>
      <c r="M21" s="562"/>
      <c r="N21" s="562"/>
      <c r="O21" s="562"/>
      <c r="P21" s="562"/>
      <c r="Q21" s="562"/>
      <c r="R21" s="562"/>
      <c r="S21" s="562"/>
      <c r="T21" s="562"/>
      <c r="U21" s="562"/>
      <c r="V21" s="562"/>
      <c r="W21" s="562"/>
      <c r="X21" s="562"/>
      <c r="Y21" s="562"/>
      <c r="Z21" s="562"/>
      <c r="AA21" s="562"/>
      <c r="AB21" s="562"/>
      <c r="AC21" s="562"/>
      <c r="AD21" s="562"/>
      <c r="AE21" s="562"/>
      <c r="AF21" s="580"/>
    </row>
    <row r="22" hidden="1" spans="2:32">
      <c r="B22" s="563" t="s">
        <v>15</v>
      </c>
      <c r="C22" s="563" t="s">
        <v>463</v>
      </c>
      <c r="D22" s="563" t="s">
        <v>17</v>
      </c>
      <c r="E22" s="563" t="s">
        <v>18</v>
      </c>
      <c r="F22" s="564" t="s">
        <v>504</v>
      </c>
      <c r="G22" s="564"/>
      <c r="H22" s="38" t="s">
        <v>85</v>
      </c>
      <c r="I22" s="38"/>
      <c r="J22" s="38"/>
      <c r="K22" s="38"/>
      <c r="L22" s="38"/>
      <c r="M22" s="38"/>
      <c r="N22" s="38"/>
      <c r="O22" s="38"/>
      <c r="P22" s="38"/>
      <c r="Q22" s="38"/>
      <c r="R22" s="38"/>
      <c r="S22" s="38"/>
      <c r="T22" s="38"/>
      <c r="U22" s="38"/>
      <c r="V22" s="38"/>
      <c r="W22" s="38"/>
      <c r="X22" s="38"/>
      <c r="Y22" s="38"/>
      <c r="Z22" s="38"/>
      <c r="AA22" s="38"/>
      <c r="AB22" s="38"/>
      <c r="AC22" s="38"/>
      <c r="AD22" s="38"/>
      <c r="AE22" s="38"/>
      <c r="AF22" s="38"/>
    </row>
    <row r="23" hidden="1" spans="2:32">
      <c r="B23" s="563"/>
      <c r="C23" s="563"/>
      <c r="D23" s="563"/>
      <c r="E23" s="563"/>
      <c r="F23" s="564">
        <v>1</v>
      </c>
      <c r="G23" s="564">
        <v>2</v>
      </c>
      <c r="H23" s="38">
        <v>1</v>
      </c>
      <c r="I23" s="38">
        <v>2</v>
      </c>
      <c r="J23" s="38">
        <v>3</v>
      </c>
      <c r="K23" s="38">
        <v>4</v>
      </c>
      <c r="L23" s="38">
        <v>5</v>
      </c>
      <c r="M23" s="38">
        <v>6</v>
      </c>
      <c r="N23" s="38">
        <v>7</v>
      </c>
      <c r="O23" s="38">
        <v>8</v>
      </c>
      <c r="P23" s="38">
        <v>9</v>
      </c>
      <c r="Q23" s="38">
        <v>10</v>
      </c>
      <c r="R23" s="38">
        <v>11</v>
      </c>
      <c r="S23" s="38">
        <v>12</v>
      </c>
      <c r="T23" s="38">
        <v>13</v>
      </c>
      <c r="U23" s="38">
        <v>14</v>
      </c>
      <c r="V23" s="38">
        <v>15</v>
      </c>
      <c r="W23" s="38">
        <v>16</v>
      </c>
      <c r="X23" s="38">
        <v>17</v>
      </c>
      <c r="Y23" s="38">
        <v>18</v>
      </c>
      <c r="Z23" s="38">
        <v>19</v>
      </c>
      <c r="AA23" s="38">
        <v>20</v>
      </c>
      <c r="AB23" s="38">
        <v>21</v>
      </c>
      <c r="AC23" s="38">
        <v>22</v>
      </c>
      <c r="AD23" s="38">
        <v>23</v>
      </c>
      <c r="AE23" s="38">
        <v>24</v>
      </c>
      <c r="AF23" s="38">
        <v>25</v>
      </c>
    </row>
    <row r="24" hidden="1" spans="2:32">
      <c r="B24" s="224">
        <v>1</v>
      </c>
      <c r="C24" s="552" t="s">
        <v>505</v>
      </c>
      <c r="D24" s="547">
        <f t="shared" ref="D24:D29" si="7">SUM(F24:AF24)</f>
        <v>0</v>
      </c>
      <c r="E24" s="18" t="s">
        <v>24</v>
      </c>
      <c r="F24" s="547"/>
      <c r="G24" s="547"/>
      <c r="H24" s="547"/>
      <c r="I24" s="547"/>
      <c r="J24" s="547"/>
      <c r="K24" s="547"/>
      <c r="L24" s="547"/>
      <c r="M24" s="547"/>
      <c r="N24" s="547"/>
      <c r="O24" s="547"/>
      <c r="P24" s="547"/>
      <c r="Q24" s="547"/>
      <c r="R24" s="547"/>
      <c r="S24" s="547"/>
      <c r="T24" s="547"/>
      <c r="U24" s="547"/>
      <c r="V24" s="547"/>
      <c r="W24" s="547"/>
      <c r="X24" s="547"/>
      <c r="Y24" s="547"/>
      <c r="Z24" s="547"/>
      <c r="AA24" s="547"/>
      <c r="AB24" s="547"/>
      <c r="AC24" s="547"/>
      <c r="AD24" s="547"/>
      <c r="AE24" s="547"/>
      <c r="AF24" s="547"/>
    </row>
    <row r="25" hidden="1" spans="2:32">
      <c r="B25" s="18"/>
      <c r="C25" s="25" t="s">
        <v>506</v>
      </c>
      <c r="D25" s="548">
        <f t="shared" si="7"/>
        <v>0</v>
      </c>
      <c r="E25" s="18" t="s">
        <v>24</v>
      </c>
      <c r="F25" s="548"/>
      <c r="G25" s="548"/>
      <c r="H25" s="548"/>
      <c r="I25" s="548"/>
      <c r="J25" s="548"/>
      <c r="K25" s="548"/>
      <c r="L25" s="548"/>
      <c r="M25" s="548"/>
      <c r="N25" s="548"/>
      <c r="O25" s="548"/>
      <c r="P25" s="548"/>
      <c r="Q25" s="548"/>
      <c r="R25" s="548"/>
      <c r="S25" s="548"/>
      <c r="T25" s="548"/>
      <c r="U25" s="548"/>
      <c r="V25" s="548"/>
      <c r="W25" s="548"/>
      <c r="X25" s="548"/>
      <c r="Y25" s="548"/>
      <c r="Z25" s="548"/>
      <c r="AA25" s="548"/>
      <c r="AB25" s="548"/>
      <c r="AC25" s="548"/>
      <c r="AD25" s="548"/>
      <c r="AE25" s="548"/>
      <c r="AF25" s="548"/>
    </row>
    <row r="26" hidden="1" spans="2:32">
      <c r="B26" s="18"/>
      <c r="C26" s="25" t="s">
        <v>507</v>
      </c>
      <c r="D26" s="548">
        <f t="shared" si="7"/>
        <v>0</v>
      </c>
      <c r="E26" s="18" t="s">
        <v>24</v>
      </c>
      <c r="F26" s="548"/>
      <c r="G26" s="548"/>
      <c r="H26" s="548"/>
      <c r="I26" s="548"/>
      <c r="J26" s="548"/>
      <c r="K26" s="548"/>
      <c r="L26" s="548"/>
      <c r="M26" s="548"/>
      <c r="N26" s="548"/>
      <c r="O26" s="548"/>
      <c r="P26" s="548"/>
      <c r="Q26" s="548"/>
      <c r="R26" s="548"/>
      <c r="S26" s="548"/>
      <c r="T26" s="548"/>
      <c r="U26" s="548"/>
      <c r="V26" s="548"/>
      <c r="W26" s="548"/>
      <c r="X26" s="548"/>
      <c r="Y26" s="548"/>
      <c r="Z26" s="548"/>
      <c r="AA26" s="548"/>
      <c r="AB26" s="548"/>
      <c r="AC26" s="548"/>
      <c r="AD26" s="548"/>
      <c r="AE26" s="548"/>
      <c r="AF26" s="548"/>
    </row>
    <row r="27" hidden="1" spans="2:32">
      <c r="B27" s="18"/>
      <c r="C27" s="25" t="s">
        <v>508</v>
      </c>
      <c r="D27" s="548">
        <f t="shared" si="7"/>
        <v>0</v>
      </c>
      <c r="E27" s="18" t="s">
        <v>24</v>
      </c>
      <c r="F27" s="548"/>
      <c r="G27" s="548"/>
      <c r="H27" s="548"/>
      <c r="I27" s="548"/>
      <c r="J27" s="548"/>
      <c r="K27" s="548"/>
      <c r="L27" s="548"/>
      <c r="M27" s="548"/>
      <c r="N27" s="548"/>
      <c r="O27" s="548"/>
      <c r="P27" s="548"/>
      <c r="Q27" s="548"/>
      <c r="R27" s="548"/>
      <c r="S27" s="548"/>
      <c r="T27" s="548"/>
      <c r="U27" s="548"/>
      <c r="V27" s="548"/>
      <c r="W27" s="548"/>
      <c r="X27" s="548"/>
      <c r="Y27" s="548"/>
      <c r="Z27" s="548"/>
      <c r="AA27" s="548"/>
      <c r="AB27" s="548"/>
      <c r="AC27" s="548"/>
      <c r="AD27" s="548"/>
      <c r="AE27" s="548"/>
      <c r="AF27" s="548"/>
    </row>
    <row r="28" hidden="1" spans="2:32">
      <c r="B28" s="18"/>
      <c r="C28" s="25" t="s">
        <v>509</v>
      </c>
      <c r="D28" s="548">
        <f t="shared" si="7"/>
        <v>0</v>
      </c>
      <c r="E28" s="18" t="s">
        <v>24</v>
      </c>
      <c r="F28" s="548"/>
      <c r="G28" s="548"/>
      <c r="H28" s="548"/>
      <c r="I28" s="548"/>
      <c r="J28" s="548"/>
      <c r="K28" s="548"/>
      <c r="L28" s="548"/>
      <c r="M28" s="548"/>
      <c r="N28" s="548"/>
      <c r="O28" s="548"/>
      <c r="P28" s="548"/>
      <c r="Q28" s="548"/>
      <c r="R28" s="548"/>
      <c r="S28" s="548"/>
      <c r="T28" s="548"/>
      <c r="U28" s="548"/>
      <c r="V28" s="548"/>
      <c r="W28" s="548"/>
      <c r="X28" s="548"/>
      <c r="Y28" s="548"/>
      <c r="Z28" s="548"/>
      <c r="AA28" s="548"/>
      <c r="AB28" s="548"/>
      <c r="AC28" s="548"/>
      <c r="AD28" s="548"/>
      <c r="AE28" s="548"/>
      <c r="AF28" s="548"/>
    </row>
    <row r="29" hidden="1" spans="2:32">
      <c r="B29" s="224">
        <v>2</v>
      </c>
      <c r="C29" s="552" t="s">
        <v>510</v>
      </c>
      <c r="D29" s="547">
        <f t="shared" si="7"/>
        <v>0</v>
      </c>
      <c r="E29" s="18" t="s">
        <v>24</v>
      </c>
      <c r="F29" s="547"/>
      <c r="G29" s="547"/>
      <c r="H29" s="547"/>
      <c r="I29" s="547"/>
      <c r="J29" s="547"/>
      <c r="K29" s="547"/>
      <c r="L29" s="547"/>
      <c r="M29" s="547"/>
      <c r="N29" s="547"/>
      <c r="O29" s="547"/>
      <c r="P29" s="547"/>
      <c r="Q29" s="547"/>
      <c r="R29" s="547"/>
      <c r="S29" s="547"/>
      <c r="T29" s="547"/>
      <c r="U29" s="547"/>
      <c r="V29" s="547"/>
      <c r="W29" s="547"/>
      <c r="X29" s="547"/>
      <c r="Y29" s="547"/>
      <c r="Z29" s="547"/>
      <c r="AA29" s="547"/>
      <c r="AB29" s="547"/>
      <c r="AC29" s="547"/>
      <c r="AD29" s="547"/>
      <c r="AE29" s="547"/>
      <c r="AF29" s="547"/>
    </row>
    <row r="30" hidden="1" spans="2:32">
      <c r="B30" s="18"/>
      <c r="C30" s="25" t="s">
        <v>220</v>
      </c>
      <c r="D30" s="548">
        <f t="shared" ref="D30:D35" si="8">SUM(F30:AF30)</f>
        <v>0</v>
      </c>
      <c r="E30" s="18" t="s">
        <v>24</v>
      </c>
      <c r="F30" s="548"/>
      <c r="G30" s="548"/>
      <c r="H30" s="548"/>
      <c r="I30" s="548"/>
      <c r="J30" s="548"/>
      <c r="K30" s="548"/>
      <c r="L30" s="548"/>
      <c r="M30" s="548"/>
      <c r="N30" s="548"/>
      <c r="O30" s="548"/>
      <c r="P30" s="548"/>
      <c r="Q30" s="548"/>
      <c r="R30" s="548"/>
      <c r="S30" s="548"/>
      <c r="T30" s="548"/>
      <c r="U30" s="548"/>
      <c r="V30" s="548"/>
      <c r="W30" s="548"/>
      <c r="X30" s="548"/>
      <c r="Y30" s="548"/>
      <c r="Z30" s="548"/>
      <c r="AA30" s="548"/>
      <c r="AB30" s="548"/>
      <c r="AC30" s="548"/>
      <c r="AD30" s="548"/>
      <c r="AE30" s="548"/>
      <c r="AF30" s="548"/>
    </row>
    <row r="31" hidden="1" spans="2:32">
      <c r="B31" s="18"/>
      <c r="C31" s="25" t="s">
        <v>511</v>
      </c>
      <c r="D31" s="548">
        <f t="shared" si="8"/>
        <v>0</v>
      </c>
      <c r="E31" s="18" t="s">
        <v>24</v>
      </c>
      <c r="F31" s="548"/>
      <c r="G31" s="548"/>
      <c r="H31" s="548"/>
      <c r="I31" s="548"/>
      <c r="J31" s="548"/>
      <c r="K31" s="548"/>
      <c r="L31" s="548"/>
      <c r="M31" s="548"/>
      <c r="N31" s="548"/>
      <c r="O31" s="548"/>
      <c r="P31" s="548"/>
      <c r="Q31" s="548"/>
      <c r="R31" s="548"/>
      <c r="S31" s="548"/>
      <c r="T31" s="548"/>
      <c r="U31" s="548"/>
      <c r="V31" s="548"/>
      <c r="W31" s="548"/>
      <c r="X31" s="548"/>
      <c r="Y31" s="548"/>
      <c r="Z31" s="548"/>
      <c r="AA31" s="548"/>
      <c r="AB31" s="548"/>
      <c r="AC31" s="548"/>
      <c r="AD31" s="548"/>
      <c r="AE31" s="548"/>
      <c r="AF31" s="548"/>
    </row>
    <row r="32" hidden="1" spans="2:32">
      <c r="B32" s="18"/>
      <c r="C32" s="25" t="s">
        <v>512</v>
      </c>
      <c r="D32" s="548">
        <f t="shared" si="8"/>
        <v>0</v>
      </c>
      <c r="E32" s="18" t="s">
        <v>24</v>
      </c>
      <c r="F32" s="548"/>
      <c r="G32" s="548"/>
      <c r="H32" s="548"/>
      <c r="I32" s="548"/>
      <c r="J32" s="548"/>
      <c r="K32" s="548"/>
      <c r="L32" s="548"/>
      <c r="M32" s="548"/>
      <c r="N32" s="548"/>
      <c r="O32" s="548"/>
      <c r="P32" s="548"/>
      <c r="Q32" s="548"/>
      <c r="R32" s="548"/>
      <c r="S32" s="548"/>
      <c r="T32" s="548"/>
      <c r="U32" s="548"/>
      <c r="V32" s="548"/>
      <c r="W32" s="548"/>
      <c r="X32" s="548"/>
      <c r="Y32" s="548"/>
      <c r="Z32" s="548"/>
      <c r="AA32" s="548"/>
      <c r="AB32" s="548"/>
      <c r="AC32" s="548"/>
      <c r="AD32" s="548"/>
      <c r="AE32" s="548"/>
      <c r="AF32" s="548"/>
    </row>
    <row r="33" hidden="1" spans="2:32">
      <c r="B33" s="18"/>
      <c r="C33" s="25" t="s">
        <v>513</v>
      </c>
      <c r="D33" s="548">
        <f t="shared" si="8"/>
        <v>0</v>
      </c>
      <c r="E33" s="18" t="s">
        <v>24</v>
      </c>
      <c r="F33" s="548"/>
      <c r="G33" s="548"/>
      <c r="H33" s="548"/>
      <c r="I33" s="548"/>
      <c r="J33" s="548"/>
      <c r="K33" s="548"/>
      <c r="L33" s="548"/>
      <c r="M33" s="548"/>
      <c r="N33" s="548"/>
      <c r="O33" s="548"/>
      <c r="P33" s="548"/>
      <c r="Q33" s="548"/>
      <c r="R33" s="548"/>
      <c r="S33" s="548"/>
      <c r="T33" s="548"/>
      <c r="U33" s="548"/>
      <c r="V33" s="548"/>
      <c r="W33" s="548"/>
      <c r="X33" s="548"/>
      <c r="Y33" s="548"/>
      <c r="Z33" s="548"/>
      <c r="AA33" s="548"/>
      <c r="AB33" s="548"/>
      <c r="AC33" s="548"/>
      <c r="AD33" s="548"/>
      <c r="AE33" s="548"/>
      <c r="AF33" s="548"/>
    </row>
    <row r="34" hidden="1" spans="2:32">
      <c r="B34" s="18"/>
      <c r="C34" s="25" t="s">
        <v>514</v>
      </c>
      <c r="D34" s="548">
        <f t="shared" si="8"/>
        <v>0</v>
      </c>
      <c r="E34" s="18" t="s">
        <v>24</v>
      </c>
      <c r="F34" s="548"/>
      <c r="G34" s="548"/>
      <c r="H34" s="548"/>
      <c r="I34" s="548"/>
      <c r="J34" s="548"/>
      <c r="K34" s="548"/>
      <c r="L34" s="548"/>
      <c r="M34" s="548"/>
      <c r="N34" s="548"/>
      <c r="O34" s="548"/>
      <c r="P34" s="548"/>
      <c r="Q34" s="548"/>
      <c r="R34" s="548"/>
      <c r="S34" s="548"/>
      <c r="T34" s="548"/>
      <c r="U34" s="548"/>
      <c r="V34" s="548"/>
      <c r="W34" s="548"/>
      <c r="X34" s="548"/>
      <c r="Y34" s="548"/>
      <c r="Z34" s="548"/>
      <c r="AA34" s="548"/>
      <c r="AB34" s="548"/>
      <c r="AC34" s="548"/>
      <c r="AD34" s="548"/>
      <c r="AE34" s="548"/>
      <c r="AF34" s="548"/>
    </row>
    <row r="35" hidden="1" spans="2:32">
      <c r="B35" s="18"/>
      <c r="C35" s="25" t="s">
        <v>515</v>
      </c>
      <c r="D35" s="548">
        <f t="shared" si="8"/>
        <v>0</v>
      </c>
      <c r="E35" s="18" t="s">
        <v>24</v>
      </c>
      <c r="F35" s="548"/>
      <c r="G35" s="548"/>
      <c r="H35" s="548"/>
      <c r="I35" s="548"/>
      <c r="J35" s="548"/>
      <c r="K35" s="548"/>
      <c r="L35" s="548"/>
      <c r="M35" s="548"/>
      <c r="N35" s="548"/>
      <c r="O35" s="548"/>
      <c r="P35" s="548"/>
      <c r="Q35" s="548"/>
      <c r="R35" s="548"/>
      <c r="S35" s="548"/>
      <c r="T35" s="548"/>
      <c r="U35" s="548"/>
      <c r="V35" s="548"/>
      <c r="W35" s="548"/>
      <c r="X35" s="548"/>
      <c r="Y35" s="548"/>
      <c r="Z35" s="548"/>
      <c r="AA35" s="548"/>
      <c r="AB35" s="548"/>
      <c r="AC35" s="548"/>
      <c r="AD35" s="548"/>
      <c r="AE35" s="548"/>
      <c r="AF35" s="548"/>
    </row>
    <row r="36" hidden="1"/>
    <row r="37" ht="19.95" customHeight="1" spans="2:32">
      <c r="B37" s="565" t="s">
        <v>516</v>
      </c>
      <c r="C37" s="566"/>
      <c r="D37" s="567"/>
      <c r="E37" s="567"/>
      <c r="F37" s="567"/>
      <c r="G37" s="567"/>
      <c r="H37" s="567"/>
      <c r="I37" s="567"/>
      <c r="J37" s="567"/>
      <c r="K37" s="567"/>
      <c r="L37" s="567"/>
      <c r="M37" s="567"/>
      <c r="N37" s="567"/>
      <c r="O37" s="567"/>
      <c r="P37" s="567"/>
      <c r="Q37" s="567"/>
      <c r="R37" s="567"/>
      <c r="S37" s="567"/>
      <c r="T37" s="567"/>
      <c r="U37" s="567"/>
      <c r="V37" s="567"/>
      <c r="W37" s="567"/>
      <c r="X37" s="567"/>
      <c r="Y37" s="567"/>
      <c r="Z37" s="567"/>
      <c r="AA37" s="567"/>
      <c r="AB37" s="567"/>
      <c r="AC37" s="567"/>
      <c r="AD37" s="567"/>
      <c r="AE37" s="567"/>
      <c r="AF37" s="567"/>
    </row>
    <row r="38" spans="2:32">
      <c r="B38" s="563" t="s">
        <v>15</v>
      </c>
      <c r="C38" s="563" t="s">
        <v>463</v>
      </c>
      <c r="D38" s="563" t="s">
        <v>17</v>
      </c>
      <c r="E38" s="563" t="s">
        <v>18</v>
      </c>
      <c r="F38" s="10" t="s">
        <v>464</v>
      </c>
      <c r="G38" s="10" t="s">
        <v>465</v>
      </c>
      <c r="H38" s="10" t="s">
        <v>466</v>
      </c>
      <c r="I38" s="37">
        <v>45107</v>
      </c>
      <c r="J38" s="37">
        <v>45261</v>
      </c>
      <c r="K38" s="10" t="s">
        <v>20</v>
      </c>
      <c r="L38" s="10" t="s">
        <v>467</v>
      </c>
      <c r="M38" s="10" t="s">
        <v>468</v>
      </c>
      <c r="N38" s="10" t="s">
        <v>469</v>
      </c>
      <c r="O38" s="10" t="s">
        <v>470</v>
      </c>
      <c r="P38" s="10" t="s">
        <v>471</v>
      </c>
      <c r="Q38" s="10" t="s">
        <v>472</v>
      </c>
      <c r="R38" s="10" t="s">
        <v>473</v>
      </c>
      <c r="S38" s="10" t="s">
        <v>474</v>
      </c>
      <c r="T38" s="10" t="s">
        <v>475</v>
      </c>
      <c r="U38" s="10" t="s">
        <v>476</v>
      </c>
      <c r="V38" s="10" t="s">
        <v>477</v>
      </c>
      <c r="W38" s="10" t="s">
        <v>478</v>
      </c>
      <c r="X38" s="10" t="s">
        <v>479</v>
      </c>
      <c r="Y38" s="10" t="s">
        <v>480</v>
      </c>
      <c r="Z38" s="10" t="s">
        <v>481</v>
      </c>
      <c r="AA38" s="10" t="s">
        <v>482</v>
      </c>
      <c r="AB38" s="10" t="s">
        <v>483</v>
      </c>
      <c r="AC38" s="10" t="s">
        <v>484</v>
      </c>
      <c r="AD38" s="10" t="s">
        <v>485</v>
      </c>
      <c r="AE38" s="10" t="s">
        <v>486</v>
      </c>
      <c r="AF38" s="37">
        <v>53051</v>
      </c>
    </row>
    <row r="39" spans="2:32">
      <c r="B39" s="563"/>
      <c r="C39" s="563"/>
      <c r="D39" s="563"/>
      <c r="E39" s="563"/>
      <c r="F39" s="14">
        <v>1</v>
      </c>
      <c r="G39" s="14">
        <v>2</v>
      </c>
      <c r="H39" s="14">
        <v>3</v>
      </c>
      <c r="I39" s="14">
        <v>4</v>
      </c>
      <c r="J39" s="38">
        <v>5</v>
      </c>
      <c r="K39" s="38">
        <v>6</v>
      </c>
      <c r="L39" s="38">
        <v>7</v>
      </c>
      <c r="M39" s="38">
        <v>8</v>
      </c>
      <c r="N39" s="38">
        <v>9</v>
      </c>
      <c r="O39" s="38">
        <v>10</v>
      </c>
      <c r="P39" s="38">
        <v>11</v>
      </c>
      <c r="Q39" s="38">
        <v>12</v>
      </c>
      <c r="R39" s="38">
        <v>13</v>
      </c>
      <c r="S39" s="38">
        <v>14</v>
      </c>
      <c r="T39" s="38">
        <v>15</v>
      </c>
      <c r="U39" s="38">
        <v>16</v>
      </c>
      <c r="V39" s="38">
        <v>17</v>
      </c>
      <c r="W39" s="38">
        <v>18</v>
      </c>
      <c r="X39" s="38">
        <v>19</v>
      </c>
      <c r="Y39" s="38">
        <v>20</v>
      </c>
      <c r="Z39" s="38">
        <v>21</v>
      </c>
      <c r="AA39" s="38">
        <v>22</v>
      </c>
      <c r="AB39" s="38">
        <v>23</v>
      </c>
      <c r="AC39" s="38">
        <v>24</v>
      </c>
      <c r="AD39" s="38">
        <v>25</v>
      </c>
      <c r="AE39" s="38">
        <v>26</v>
      </c>
      <c r="AF39" s="38">
        <v>27</v>
      </c>
    </row>
    <row r="40" spans="2:32">
      <c r="B40" s="18">
        <v>1</v>
      </c>
      <c r="C40" s="21" t="s">
        <v>517</v>
      </c>
      <c r="D40" s="548"/>
      <c r="E40" s="18" t="s">
        <v>24</v>
      </c>
      <c r="F40" s="548"/>
      <c r="G40" s="548"/>
      <c r="H40" s="548"/>
      <c r="I40" s="548"/>
      <c r="J40" s="577">
        <v>0</v>
      </c>
      <c r="K40" s="548">
        <f ca="1" t="shared" ref="K40:AF40" si="9">J45</f>
        <v>31488.842986802</v>
      </c>
      <c r="L40" s="548">
        <f ca="1" t="shared" si="9"/>
        <v>104682.948923493</v>
      </c>
      <c r="M40" s="548">
        <f ca="1" t="shared" si="9"/>
        <v>99570.4450655732</v>
      </c>
      <c r="N40" s="548">
        <f ca="1" t="shared" si="9"/>
        <v>94238.1035417624</v>
      </c>
      <c r="O40" s="548">
        <f ca="1" t="shared" si="9"/>
        <v>88676.4713324277</v>
      </c>
      <c r="P40" s="548">
        <f ca="1" t="shared" si="9"/>
        <v>82875.6889380917</v>
      </c>
      <c r="Q40" s="548">
        <f ca="1" t="shared" si="9"/>
        <v>76825.4729007992</v>
      </c>
      <c r="R40" s="548">
        <f ca="1" t="shared" si="9"/>
        <v>70515.0975739031</v>
      </c>
      <c r="S40" s="548">
        <f ca="1" t="shared" si="9"/>
        <v>63933.3761079504</v>
      </c>
      <c r="T40" s="548">
        <f ca="1" t="shared" si="9"/>
        <v>57068.6406189618</v>
      </c>
      <c r="U40" s="548">
        <f ca="1" t="shared" si="9"/>
        <v>49908.7215039467</v>
      </c>
      <c r="V40" s="548">
        <f ca="1" t="shared" si="9"/>
        <v>42440.925866986</v>
      </c>
      <c r="W40" s="548">
        <f ca="1" t="shared" si="9"/>
        <v>34652.0150176359</v>
      </c>
      <c r="X40" s="548">
        <f ca="1" t="shared" si="9"/>
        <v>26528.1810017638</v>
      </c>
      <c r="Y40" s="548">
        <f ca="1" t="shared" si="9"/>
        <v>18055.0221232092</v>
      </c>
      <c r="Z40" s="548">
        <f ca="1" t="shared" si="9"/>
        <v>9217.51741287673</v>
      </c>
      <c r="AA40" s="548">
        <f ca="1" t="shared" si="9"/>
        <v>-2.5465851649642e-11</v>
      </c>
      <c r="AB40" s="548">
        <f ca="1" t="shared" si="9"/>
        <v>-1.51776475831866e-11</v>
      </c>
      <c r="AC40" s="548">
        <f ca="1" t="shared" si="9"/>
        <v>-1.58302864292636e-11</v>
      </c>
      <c r="AD40" s="548">
        <f ca="1" t="shared" si="9"/>
        <v>-1.6510988745722e-11</v>
      </c>
      <c r="AE40" s="548">
        <f ca="1" t="shared" si="9"/>
        <v>-1.7220961261788e-11</v>
      </c>
      <c r="AF40" s="548">
        <f ca="1" t="shared" si="9"/>
        <v>-1.79614625960449e-11</v>
      </c>
    </row>
    <row r="41" spans="2:32">
      <c r="B41" s="18">
        <v>2</v>
      </c>
      <c r="C41" s="21" t="s">
        <v>518</v>
      </c>
      <c r="D41" s="548">
        <f ca="1">SUM(F41:AF41)</f>
        <v>104682.948923493</v>
      </c>
      <c r="E41" s="18" t="s">
        <v>24</v>
      </c>
      <c r="F41" s="548"/>
      <c r="G41" s="548"/>
      <c r="H41" s="548"/>
      <c r="I41" s="548"/>
      <c r="J41" s="551">
        <f ca="1">J16+J17</f>
        <v>31488.842986802</v>
      </c>
      <c r="K41" s="551">
        <f ca="1" t="shared" ref="K41:AF41" si="10">K16+K17</f>
        <v>73194.1059366915</v>
      </c>
      <c r="L41" s="551">
        <f t="shared" si="10"/>
        <v>0</v>
      </c>
      <c r="M41" s="551">
        <f t="shared" si="10"/>
        <v>0</v>
      </c>
      <c r="N41" s="551">
        <f t="shared" si="10"/>
        <v>0</v>
      </c>
      <c r="O41" s="551">
        <f t="shared" si="10"/>
        <v>0</v>
      </c>
      <c r="P41" s="551">
        <f t="shared" si="10"/>
        <v>0</v>
      </c>
      <c r="Q41" s="551">
        <f t="shared" si="10"/>
        <v>0</v>
      </c>
      <c r="R41" s="551">
        <f t="shared" si="10"/>
        <v>0</v>
      </c>
      <c r="S41" s="551">
        <f t="shared" si="10"/>
        <v>0</v>
      </c>
      <c r="T41" s="551">
        <f t="shared" si="10"/>
        <v>0</v>
      </c>
      <c r="U41" s="551">
        <f t="shared" si="10"/>
        <v>0</v>
      </c>
      <c r="V41" s="551">
        <f t="shared" si="10"/>
        <v>0</v>
      </c>
      <c r="W41" s="551">
        <f t="shared" si="10"/>
        <v>0</v>
      </c>
      <c r="X41" s="551">
        <f t="shared" si="10"/>
        <v>0</v>
      </c>
      <c r="Y41" s="551">
        <f t="shared" si="10"/>
        <v>0</v>
      </c>
      <c r="Z41" s="551">
        <f t="shared" si="10"/>
        <v>0</v>
      </c>
      <c r="AA41" s="551">
        <f t="shared" si="10"/>
        <v>0</v>
      </c>
      <c r="AB41" s="551">
        <f t="shared" si="10"/>
        <v>0</v>
      </c>
      <c r="AC41" s="551">
        <f t="shared" si="10"/>
        <v>0</v>
      </c>
      <c r="AD41" s="551">
        <f t="shared" si="10"/>
        <v>0</v>
      </c>
      <c r="AE41" s="551">
        <f t="shared" si="10"/>
        <v>0</v>
      </c>
      <c r="AF41" s="551">
        <f t="shared" si="10"/>
        <v>0</v>
      </c>
    </row>
    <row r="42" spans="2:32">
      <c r="B42" s="18">
        <v>3</v>
      </c>
      <c r="C42" s="21" t="s">
        <v>519</v>
      </c>
      <c r="D42" s="548">
        <f ca="1">SUM(F42:AF42)</f>
        <v>146887.647161649</v>
      </c>
      <c r="E42" s="18" t="s">
        <v>24</v>
      </c>
      <c r="F42" s="548"/>
      <c r="G42" s="548"/>
      <c r="H42" s="548"/>
      <c r="I42" s="548"/>
      <c r="J42" s="577">
        <f ca="1">IF(J39-参数输入表!$I$217-参数输入表!$I$7&lt;=0,SUM(J43:J44),IF(J39-参数输入表!$I$217-参数输入表!$I$7&lt;=参数输入表!$I$222,-PMT(参数输入表!$I$219,参数输入表!$I$222,'表1-资金筹措及还本付息表'!$D$41),0))</f>
        <v>50.3159968945939</v>
      </c>
      <c r="K42" s="577">
        <f ca="1">IF(K39-参数输入表!$I$217-参数输入表!$I$7&lt;=0,SUM(K43:K44),IF(K39-参数输入表!$I$217-参数输入表!$I$7&lt;=参数输入表!$I$222,-PMT(参数输入表!$I$219,参数输入表!$I$222,'表1-资金筹措及还本付息表'!$D$41),0))</f>
        <v>2629.27124029758</v>
      </c>
      <c r="L42" s="577">
        <f ca="1">IF(L39-参数输入表!$I$217-参数输入表!$I$7&lt;=0,SUM(L43:L44),IF(L39-参数输入表!$I$217-参数输入表!$I$7&lt;=参数输入表!$I$222,-PMT(参数输入表!$I$219,参数输入表!$I$222,'表1-资金筹措及还本付息表'!$D$41),0))</f>
        <v>9613.87066163047</v>
      </c>
      <c r="M42" s="577">
        <f ca="1">IF(M39-参数输入表!$I$217-参数输入表!$I$7&lt;=0,SUM(M43:M44),IF(M39-参数输入表!$I$217-参数输入表!$I$7&lt;=参数输入表!$I$222,-PMT(参数输入表!$I$219,参数输入表!$I$222,'表1-资金筹措及还本付息表'!$D$41),0))</f>
        <v>9613.87066163047</v>
      </c>
      <c r="N42" s="577">
        <f ca="1">IF(N39-参数输入表!$I$217-参数输入表!$I$7&lt;=0,SUM(N43:N44),IF(N39-参数输入表!$I$217-参数输入表!$I$7&lt;=参数输入表!$I$222,-PMT(参数输入表!$I$219,参数输入表!$I$222,'表1-资金筹措及还本付息表'!$D$41),0))</f>
        <v>9613.87066163047</v>
      </c>
      <c r="O42" s="577">
        <f ca="1">IF(O39-参数输入表!$I$217-参数输入表!$I$7&lt;=0,SUM(O43:O44),IF(O39-参数输入表!$I$217-参数输入表!$I$7&lt;=参数输入表!$I$222,-PMT(参数输入表!$I$219,参数输入表!$I$222,'表1-资金筹措及还本付息表'!$D$41),0))</f>
        <v>9613.87066163047</v>
      </c>
      <c r="P42" s="577">
        <f ca="1">IF(P39-参数输入表!$I$217-参数输入表!$I$7&lt;=0,SUM(P43:P44),IF(P39-参数输入表!$I$217-参数输入表!$I$7&lt;=参数输入表!$I$222,-PMT(参数输入表!$I$219,参数输入表!$I$222,'表1-资金筹措及还本付息表'!$D$41),0))</f>
        <v>9613.87066163047</v>
      </c>
      <c r="Q42" s="577">
        <f ca="1">IF(Q39-参数输入表!$I$217-参数输入表!$I$7&lt;=0,SUM(Q43:Q44),IF(Q39-参数输入表!$I$217-参数输入表!$I$7&lt;=参数输入表!$I$222,-PMT(参数输入表!$I$219,参数输入表!$I$222,'表1-资金筹措及还本付息表'!$D$41),0))</f>
        <v>9613.87066163047</v>
      </c>
      <c r="R42" s="577">
        <f ca="1">IF(R39-参数输入表!$I$217-参数输入表!$I$7&lt;=0,SUM(R43:R44),IF(R39-参数输入表!$I$217-参数输入表!$I$7&lt;=参数输入表!$I$222,-PMT(参数输入表!$I$219,参数输入表!$I$222,'表1-资金筹措及还本付息表'!$D$41),0))</f>
        <v>9613.87066163047</v>
      </c>
      <c r="S42" s="577">
        <f ca="1">IF(S39-参数输入表!$I$217-参数输入表!$I$7&lt;=0,SUM(S43:S44),IF(S39-参数输入表!$I$217-参数输入表!$I$7&lt;=参数输入表!$I$222,-PMT(参数输入表!$I$219,参数输入表!$I$222,'表1-资金筹措及还本付息表'!$D$41),0))</f>
        <v>9613.87066163047</v>
      </c>
      <c r="T42" s="577">
        <f ca="1">IF(T39-参数输入表!$I$217-参数输入表!$I$7&lt;=0,SUM(T43:T44),IF(T39-参数输入表!$I$217-参数输入表!$I$7&lt;=参数输入表!$I$222,-PMT(参数输入表!$I$219,参数输入表!$I$222,'表1-资金筹措及还本付息表'!$D$41),0))</f>
        <v>9613.87066163047</v>
      </c>
      <c r="U42" s="577">
        <f ca="1">IF(U39-参数输入表!$I$217-参数输入表!$I$7&lt;=0,SUM(U43:U44),IF(U39-参数输入表!$I$217-参数输入表!$I$7&lt;=参数输入表!$I$222,-PMT(参数输入表!$I$219,参数输入表!$I$222,'表1-资金筹措及还本付息表'!$D$41),0))</f>
        <v>9613.87066163047</v>
      </c>
      <c r="V42" s="577">
        <f ca="1">IF(V39-参数输入表!$I$217-参数输入表!$I$7&lt;=0,SUM(V43:V44),IF(V39-参数输入表!$I$217-参数输入表!$I$7&lt;=参数输入表!$I$222,-PMT(参数输入表!$I$219,参数输入表!$I$222,'表1-资金筹措及还本付息表'!$D$41),0))</f>
        <v>9613.87066163047</v>
      </c>
      <c r="W42" s="577">
        <f ca="1">IF(W39-参数输入表!$I$217-参数输入表!$I$7&lt;=0,SUM(W43:W44),IF(W39-参数输入表!$I$217-参数输入表!$I$7&lt;=参数输入表!$I$222,-PMT(参数输入表!$I$219,参数输入表!$I$222,'表1-资金筹措及还本付息表'!$D$41),0))</f>
        <v>9613.87066163047</v>
      </c>
      <c r="X42" s="577">
        <f ca="1">IF(X39-参数输入表!$I$217-参数输入表!$I$7&lt;=0,SUM(X43:X44),IF(X39-参数输入表!$I$217-参数输入表!$I$7&lt;=参数输入表!$I$222,-PMT(参数输入表!$I$219,参数输入表!$I$222,'表1-资金筹措及还本付息表'!$D$41),0))</f>
        <v>9613.87066163047</v>
      </c>
      <c r="Y42" s="577">
        <f ca="1">IF(Y39-参数输入表!$I$217-参数输入表!$I$7&lt;=0,SUM(Y43:Y44),IF(Y39-参数输入表!$I$217-参数输入表!$I$7&lt;=参数输入表!$I$222,-PMT(参数输入表!$I$219,参数输入表!$I$222,'表1-资金筹措及还本付息表'!$D$41),0))</f>
        <v>9613.87066163047</v>
      </c>
      <c r="Z42" s="577">
        <f ca="1">IF(Z39-参数输入表!$I$217-参数输入表!$I$7&lt;=0,SUM(Z43:Z44),IF(Z39-参数输入表!$I$217-参数输入表!$I$7&lt;=参数输入表!$I$222,-PMT(参数输入表!$I$219,参数输入表!$I$222,'表1-资金筹措及还本付息表'!$D$41),0))</f>
        <v>9613.87066163047</v>
      </c>
      <c r="AA42" s="577">
        <f ca="1">IF(AA39-参数输入表!$I$217-参数输入表!$I$7&lt;=0,SUM(AA43:AA44),IF(AA39-参数输入表!$I$217-参数输入表!$I$7&lt;=参数输入表!$I$222,-PMT(参数输入表!$I$219,参数输入表!$I$222,'表1-资金筹措及还本付息表'!$D$41),0))</f>
        <v>0</v>
      </c>
      <c r="AB42" s="577">
        <f ca="1">IF(AB39-参数输入表!$I$217-参数输入表!$I$7&lt;=0,SUM(AB43:AB44),IF(AB39-参数输入表!$I$217-参数输入表!$I$7&lt;=参数输入表!$I$222,-PMT(参数输入表!$I$219,参数输入表!$I$222,'表1-资金筹措及还本付息表'!$D$41),0))</f>
        <v>0</v>
      </c>
      <c r="AC42" s="577">
        <f ca="1">IF(AC39-参数输入表!$I$217-参数输入表!$I$7&lt;=0,SUM(AC43:AC44),IF(AC39-参数输入表!$I$217-参数输入表!$I$7&lt;=参数输入表!$I$222,-PMT(参数输入表!$I$219,参数输入表!$I$222,'表1-资金筹措及还本付息表'!$D$41),0))</f>
        <v>0</v>
      </c>
      <c r="AD42" s="577">
        <f ca="1">IF(AD39-参数输入表!$I$217-参数输入表!$I$7&lt;=0,SUM(AD43:AD44),IF(AD39-参数输入表!$I$217-参数输入表!$I$7&lt;=参数输入表!$I$222,-PMT(参数输入表!$I$219,参数输入表!$I$222,'表1-资金筹措及还本付息表'!$D$41),0))</f>
        <v>0</v>
      </c>
      <c r="AE42" s="577">
        <f ca="1">IF(AE39-参数输入表!$I$217-参数输入表!$I$7&lt;=0,SUM(AE43:AE44),IF(AE39-参数输入表!$I$217-参数输入表!$I$7&lt;=参数输入表!$I$222,-PMT(参数输入表!$I$219,参数输入表!$I$222,'表1-资金筹措及还本付息表'!$D$41),0))</f>
        <v>0</v>
      </c>
      <c r="AF42" s="577">
        <f ca="1">IF(AF39-参数输入表!$I$217-参数输入表!$I$7&lt;=0,SUM(AF43:AF44),IF(AF39-参数输入表!$I$217-参数输入表!$I$7&lt;=参数输入表!$I$222,-PMT(参数输入表!$I$219,参数输入表!$I$222,'表1-资金筹措及还本付息表'!$D$41),0))</f>
        <v>0</v>
      </c>
    </row>
    <row r="43" spans="2:32">
      <c r="B43" s="18"/>
      <c r="C43" s="24" t="s">
        <v>520</v>
      </c>
      <c r="D43" s="548">
        <f ca="1">SUM(F43:AF43)</f>
        <v>104682.948923494</v>
      </c>
      <c r="E43" s="18" t="s">
        <v>24</v>
      </c>
      <c r="F43" s="548"/>
      <c r="G43" s="548"/>
      <c r="H43" s="548"/>
      <c r="I43" s="548"/>
      <c r="J43" s="577">
        <f ca="1">IF(J39-参数输入表!$I$217-参数输入表!$I$7&lt;=0,0,J42-J44)</f>
        <v>0</v>
      </c>
      <c r="K43" s="577">
        <f ca="1">IF(K39-参数输入表!$I$217-参数输入表!$I$7&lt;=0,0,K42-K44)</f>
        <v>0</v>
      </c>
      <c r="L43" s="577">
        <f ca="1">IF(L39-参数输入表!$I$217-参数输入表!$I$7&lt;=0,0,L42-L44)</f>
        <v>5112.50385792025</v>
      </c>
      <c r="M43" s="577">
        <f ca="1">IF(M39-参数输入表!$I$217-参数输入表!$I$7&lt;=0,0,M42-M44)</f>
        <v>5332.34152381082</v>
      </c>
      <c r="N43" s="577">
        <f ca="1">IF(N39-参数输入表!$I$217-参数输入表!$I$7&lt;=0,0,N42-N44)</f>
        <v>5561.63220933469</v>
      </c>
      <c r="O43" s="577">
        <f ca="1">IF(O39-参数输入表!$I$217-参数输入表!$I$7&lt;=0,0,O42-O44)</f>
        <v>5800.78239433608</v>
      </c>
      <c r="P43" s="577">
        <f ca="1">IF(P39-参数输入表!$I$217-参数输入表!$I$7&lt;=0,0,P42-P44)</f>
        <v>6050.21603729253</v>
      </c>
      <c r="Q43" s="577">
        <f ca="1">IF(Q39-参数输入表!$I$217-参数输入表!$I$7&lt;=0,0,Q42-Q44)</f>
        <v>6310.37532689611</v>
      </c>
      <c r="R43" s="577">
        <f ca="1">IF(R39-参数输入表!$I$217-参数输入表!$I$7&lt;=0,0,R42-R44)</f>
        <v>6581.72146595264</v>
      </c>
      <c r="S43" s="577">
        <f ca="1">IF(S39-参数输入表!$I$217-参数输入表!$I$7&lt;=0,0,S42-S44)</f>
        <v>6864.7354889886</v>
      </c>
      <c r="T43" s="577">
        <f ca="1">IF(T39-参数输入表!$I$217-参数输入表!$I$7&lt;=0,0,T42-T44)</f>
        <v>7159.91911501511</v>
      </c>
      <c r="U43" s="577">
        <f ca="1">IF(U39-参数输入表!$I$217-参数输入表!$I$7&lt;=0,0,U42-U44)</f>
        <v>7467.79563696076</v>
      </c>
      <c r="V43" s="577">
        <f ca="1">IF(V39-参数输入表!$I$217-参数输入表!$I$7&lt;=0,0,V42-V44)</f>
        <v>7788.91084935007</v>
      </c>
      <c r="W43" s="577">
        <f ca="1">IF(W39-参数输入表!$I$217-参数输入表!$I$7&lt;=0,0,W42-W44)</f>
        <v>8123.83401587212</v>
      </c>
      <c r="X43" s="577">
        <f ca="1">IF(X39-参数输入表!$I$217-参数输入表!$I$7&lt;=0,0,X42-X44)</f>
        <v>8473.15887855463</v>
      </c>
      <c r="Y43" s="577">
        <f ca="1">IF(Y39-参数输入表!$I$217-参数输入表!$I$7&lt;=0,0,Y42-Y44)</f>
        <v>8837.50471033247</v>
      </c>
      <c r="Z43" s="577">
        <f ca="1">IF(Z39-参数输入表!$I$217-参数输入表!$I$7&lt;=0,0,Z42-Z44)</f>
        <v>9217.51741287677</v>
      </c>
      <c r="AA43" s="577">
        <f ca="1">IF(AA39-参数输入表!$I$217-参数输入表!$I$7&lt;=0,0,AA42-AA44)</f>
        <v>6.25732354819775e-13</v>
      </c>
      <c r="AB43" s="577">
        <f ca="1">IF(AB39-参数输入表!$I$217-参数输入表!$I$7&lt;=0,0,AB42-AB44)</f>
        <v>6.52638846077025e-13</v>
      </c>
      <c r="AC43" s="577">
        <f ca="1">IF(AC39-参数输入表!$I$217-参数输入表!$I$7&lt;=0,0,AC42-AC44)</f>
        <v>6.80702316458337e-13</v>
      </c>
      <c r="AD43" s="577">
        <f ca="1">IF(AD39-参数输入表!$I$217-参数输入表!$I$7&lt;=0,0,AD42-AD44)</f>
        <v>7.09972516066045e-13</v>
      </c>
      <c r="AE43" s="577">
        <f ca="1">IF(AE39-参数输入表!$I$217-参数输入表!$I$7&lt;=0,0,AE42-AE44)</f>
        <v>7.40501334256885e-13</v>
      </c>
      <c r="AF43" s="577">
        <f ca="1">IF(AF39-参数输入表!$I$217-参数输入表!$I$7&lt;=0,0,AF42-AF44)</f>
        <v>1.93085722907483e-13</v>
      </c>
    </row>
    <row r="44" spans="2:32">
      <c r="B44" s="18"/>
      <c r="C44" s="25" t="s">
        <v>521</v>
      </c>
      <c r="D44" s="548">
        <f ca="1">SUM(F44:AF44)</f>
        <v>42204.6982381556</v>
      </c>
      <c r="E44" s="18" t="s">
        <v>24</v>
      </c>
      <c r="F44" s="548"/>
      <c r="G44" s="548"/>
      <c r="H44" s="548"/>
      <c r="I44" s="548"/>
      <c r="J44" s="577">
        <f ca="1">IF(J39-参数输入表!$I$217-参数输入表!$I$7&lt;=0,J18-J17,(J40+J41/2)*参数输入表!$I$219*(12-MONTH(参数输入表!I8))/12)</f>
        <v>50.3159968945939</v>
      </c>
      <c r="K44" s="577">
        <f ca="1">IF(K39-参数输入表!$I$217-参数输入表!$I$7&lt;=0,K18-K17,(K40+K41/2)*参数输入表!$I$219)</f>
        <v>2629.27124029758</v>
      </c>
      <c r="L44" s="577">
        <f ca="1">IF(L39-参数输入表!$I$217-参数输入表!$I$7&lt;=0,L18-L17,(L40+L41/2)*参数输入表!$I$219)</f>
        <v>4501.36680371022</v>
      </c>
      <c r="M44" s="577">
        <f ca="1">IF(M39-参数输入表!$I$217-参数输入表!$I$7&lt;=0,M18-M17,(M40+M41/2)*参数输入表!$I$219)</f>
        <v>4281.52913781965</v>
      </c>
      <c r="N44" s="577">
        <f ca="1">IF(N39-参数输入表!$I$217-参数输入表!$I$7&lt;=0,N18-N17,(N40+N41/2)*参数输入表!$I$219)</f>
        <v>4052.23845229578</v>
      </c>
      <c r="O44" s="577">
        <f ca="1">IF(O39-参数输入表!$I$217-参数输入表!$I$7&lt;=0,O18-O17,(O40+O41/2)*参数输入表!$I$219)</f>
        <v>3813.08826729439</v>
      </c>
      <c r="P44" s="577">
        <f ca="1">IF(P39-参数输入表!$I$217-参数输入表!$I$7&lt;=0,P18-P17,(P40+P41/2)*参数输入表!$I$219)</f>
        <v>3563.65462433794</v>
      </c>
      <c r="Q44" s="577">
        <f ca="1">IF(Q39-参数输入表!$I$217-参数输入表!$I$7&lt;=0,Q18-Q17,(Q40+Q41/2)*参数输入表!$I$219)</f>
        <v>3303.49533473436</v>
      </c>
      <c r="R44" s="577">
        <f ca="1">IF(R39-参数输入表!$I$217-参数输入表!$I$7&lt;=0,R18-R17,(R40+R41/2)*参数输入表!$I$219)</f>
        <v>3032.14919567783</v>
      </c>
      <c r="S44" s="577">
        <f ca="1">IF(S39-参数输入表!$I$217-参数输入表!$I$7&lt;=0,S18-S17,(S40+S41/2)*参数输入表!$I$219)</f>
        <v>2749.13517264187</v>
      </c>
      <c r="T44" s="577">
        <f ca="1">IF(T39-参数输入表!$I$217-参数输入表!$I$7&lt;=0,T18-T17,(T40+T41/2)*参数输入表!$I$219)</f>
        <v>2453.95154661536</v>
      </c>
      <c r="U44" s="577">
        <f ca="1">IF(U39-参数输入表!$I$217-参数输入表!$I$7&lt;=0,U18-U17,(U40+U41/2)*参数输入表!$I$219)</f>
        <v>2146.07502466971</v>
      </c>
      <c r="V44" s="577">
        <f ca="1">IF(V39-参数输入表!$I$217-参数输入表!$I$7&lt;=0,V18-V17,(V40+V41/2)*参数输入表!$I$219)</f>
        <v>1824.9598122804</v>
      </c>
      <c r="W44" s="577">
        <f ca="1">IF(W39-参数输入表!$I$217-参数输入表!$I$7&lt;=0,W18-W17,(W40+W41/2)*参数输入表!$I$219)</f>
        <v>1490.03664575834</v>
      </c>
      <c r="X44" s="577">
        <f ca="1">IF(X39-参数输入表!$I$217-参数输入表!$I$7&lt;=0,X18-X17,(X40+X41/2)*参数输入表!$I$219)</f>
        <v>1140.71178307584</v>
      </c>
      <c r="Y44" s="577">
        <f ca="1">IF(Y39-参数输入表!$I$217-参数输入表!$I$7&lt;=0,Y18-Y17,(Y40+Y41/2)*参数输入表!$I$219)</f>
        <v>776.365951297995</v>
      </c>
      <c r="Z44" s="577">
        <f ca="1">IF(Z39-参数输入表!$I$217-参数输入表!$I$7&lt;=0,Z18-Z17,(Z40+Z41/2)*参数输入表!$I$219)</f>
        <v>396.3532487537</v>
      </c>
      <c r="AA44" s="577">
        <f ca="1">IF(AA39-参数输入表!$I$217-参数输入表!$I$7&lt;=0,AA18-AA17,(AA40+AA41/2)*参数输入表!$I$219)</f>
        <v>-1.09503162093461e-12</v>
      </c>
      <c r="AB44" s="577">
        <f ca="1">IF(AB39-参数输入表!$I$217-参数输入表!$I$7&lt;=0,AB18-AB17,(AB40+AB41/2)*参数输入表!$I$219)</f>
        <v>-6.52638846077025e-13</v>
      </c>
      <c r="AC44" s="577">
        <f ca="1">IF(AC39-参数输入表!$I$217-参数输入表!$I$7&lt;=0,AC18-AC17,(AC40+AC41/2)*参数输入表!$I$219)</f>
        <v>-6.80702316458337e-13</v>
      </c>
      <c r="AD44" s="577">
        <f ca="1">IF(AD39-参数输入表!$I$217-参数输入表!$I$7&lt;=0,AD18-AD17,(AD40+AD41/2)*参数输入表!$I$219)</f>
        <v>-7.09972516066045e-13</v>
      </c>
      <c r="AE44" s="577">
        <f ca="1">IF(AE39-参数输入表!$I$217-参数输入表!$I$7&lt;=0,AE18-AE17,(AE40+AE41/2)*参数输入表!$I$219)</f>
        <v>-7.40501334256885e-13</v>
      </c>
      <c r="AF44" s="577">
        <f ca="1">IF(AF39-参数输入表!$I$217-参数输入表!$I$7&lt;=0,AF18-AF17,(AF40+AF41/2)*参数输入表!$I$219*MONTH(参数输入表!$I$6)/12)</f>
        <v>-1.93085722907483e-13</v>
      </c>
    </row>
    <row r="45" spans="2:32">
      <c r="B45" s="18">
        <v>4</v>
      </c>
      <c r="C45" s="21" t="s">
        <v>522</v>
      </c>
      <c r="D45" s="568">
        <f ca="1">AF45</f>
        <v>-1.81545483189524e-11</v>
      </c>
      <c r="E45" s="18" t="s">
        <v>24</v>
      </c>
      <c r="F45" s="548"/>
      <c r="G45" s="548"/>
      <c r="H45" s="548"/>
      <c r="I45" s="548"/>
      <c r="J45" s="548">
        <f ca="1" t="shared" ref="J45:AF45" si="11">J40+J41-J43</f>
        <v>31488.842986802</v>
      </c>
      <c r="K45" s="548">
        <f ca="1" t="shared" si="11"/>
        <v>104682.948923493</v>
      </c>
      <c r="L45" s="548">
        <f ca="1" t="shared" si="11"/>
        <v>99570.4450655732</v>
      </c>
      <c r="M45" s="548">
        <f ca="1" t="shared" si="11"/>
        <v>94238.1035417624</v>
      </c>
      <c r="N45" s="548">
        <f ca="1" t="shared" si="11"/>
        <v>88676.4713324277</v>
      </c>
      <c r="O45" s="548">
        <f ca="1" t="shared" si="11"/>
        <v>82875.6889380917</v>
      </c>
      <c r="P45" s="548">
        <f ca="1" t="shared" si="11"/>
        <v>76825.4729007992</v>
      </c>
      <c r="Q45" s="548">
        <f ca="1" t="shared" si="11"/>
        <v>70515.0975739031</v>
      </c>
      <c r="R45" s="548">
        <f ca="1" t="shared" si="11"/>
        <v>63933.3761079504</v>
      </c>
      <c r="S45" s="548">
        <f ca="1" t="shared" si="11"/>
        <v>57068.6406189618</v>
      </c>
      <c r="T45" s="548">
        <f ca="1" t="shared" si="11"/>
        <v>49908.7215039467</v>
      </c>
      <c r="U45" s="548">
        <f ca="1" t="shared" si="11"/>
        <v>42440.925866986</v>
      </c>
      <c r="V45" s="548">
        <f ca="1" t="shared" si="11"/>
        <v>34652.0150176359</v>
      </c>
      <c r="W45" s="548">
        <f ca="1" t="shared" si="11"/>
        <v>26528.1810017638</v>
      </c>
      <c r="X45" s="548">
        <f ca="1" t="shared" si="11"/>
        <v>18055.0221232092</v>
      </c>
      <c r="Y45" s="548">
        <f ca="1" t="shared" si="11"/>
        <v>9217.51741287672</v>
      </c>
      <c r="Z45" s="548">
        <f ca="1" t="shared" si="11"/>
        <v>-3.63797880709171e-11</v>
      </c>
      <c r="AA45" s="548">
        <f ca="1" t="shared" si="11"/>
        <v>-2.60915840044618e-11</v>
      </c>
      <c r="AB45" s="548">
        <f ca="1" t="shared" si="11"/>
        <v>-1.58302864292636e-11</v>
      </c>
      <c r="AC45" s="548">
        <f ca="1" t="shared" si="11"/>
        <v>-1.6510988745722e-11</v>
      </c>
      <c r="AD45" s="548">
        <f ca="1" t="shared" si="11"/>
        <v>-1.7220961261788e-11</v>
      </c>
      <c r="AE45" s="548">
        <f ca="1" t="shared" si="11"/>
        <v>-1.79614625960449e-11</v>
      </c>
      <c r="AF45" s="548">
        <f ca="1" t="shared" si="11"/>
        <v>-1.81545483189524e-11</v>
      </c>
    </row>
    <row r="47" spans="2:32">
      <c r="B47" s="565" t="s">
        <v>516</v>
      </c>
      <c r="C47" s="566"/>
      <c r="D47" s="567"/>
      <c r="E47" s="567"/>
      <c r="F47" s="567"/>
      <c r="G47" s="567"/>
      <c r="H47" s="567"/>
      <c r="I47" s="567"/>
      <c r="J47" s="567"/>
      <c r="K47" s="567"/>
      <c r="L47" s="567"/>
      <c r="M47" s="567"/>
      <c r="N47" s="567"/>
      <c r="O47" s="567"/>
      <c r="P47" s="567"/>
      <c r="Q47" s="567"/>
      <c r="R47" s="567"/>
      <c r="S47" s="567"/>
      <c r="T47" s="567"/>
      <c r="U47" s="567"/>
      <c r="V47" s="567"/>
      <c r="W47" s="567"/>
      <c r="X47" s="567"/>
      <c r="Y47" s="567"/>
      <c r="Z47" s="567"/>
      <c r="AA47" s="567"/>
      <c r="AB47" s="567"/>
      <c r="AC47" s="567"/>
      <c r="AD47" s="567"/>
      <c r="AE47" s="567"/>
      <c r="AF47" s="567"/>
    </row>
    <row r="48" spans="2:32">
      <c r="B48" s="563" t="s">
        <v>15</v>
      </c>
      <c r="C48" s="563" t="s">
        <v>463</v>
      </c>
      <c r="D48" s="563" t="s">
        <v>17</v>
      </c>
      <c r="E48" s="563" t="s">
        <v>18</v>
      </c>
      <c r="F48" s="10" t="s">
        <v>464</v>
      </c>
      <c r="G48" s="10" t="s">
        <v>465</v>
      </c>
      <c r="H48" s="10" t="s">
        <v>466</v>
      </c>
      <c r="I48" s="37">
        <v>45107</v>
      </c>
      <c r="J48" s="37">
        <v>45261</v>
      </c>
      <c r="K48" s="10" t="s">
        <v>20</v>
      </c>
      <c r="L48" s="10" t="s">
        <v>467</v>
      </c>
      <c r="M48" s="10" t="s">
        <v>468</v>
      </c>
      <c r="N48" s="10" t="s">
        <v>469</v>
      </c>
      <c r="O48" s="10" t="s">
        <v>470</v>
      </c>
      <c r="P48" s="10" t="s">
        <v>471</v>
      </c>
      <c r="Q48" s="10" t="s">
        <v>472</v>
      </c>
      <c r="R48" s="10" t="s">
        <v>473</v>
      </c>
      <c r="S48" s="10" t="s">
        <v>474</v>
      </c>
      <c r="T48" s="10" t="s">
        <v>475</v>
      </c>
      <c r="U48" s="10" t="s">
        <v>476</v>
      </c>
      <c r="V48" s="10" t="s">
        <v>477</v>
      </c>
      <c r="W48" s="10" t="s">
        <v>478</v>
      </c>
      <c r="X48" s="10" t="s">
        <v>479</v>
      </c>
      <c r="Y48" s="10" t="s">
        <v>480</v>
      </c>
      <c r="Z48" s="10" t="s">
        <v>481</v>
      </c>
      <c r="AA48" s="10" t="s">
        <v>482</v>
      </c>
      <c r="AB48" s="10" t="s">
        <v>483</v>
      </c>
      <c r="AC48" s="10" t="s">
        <v>484</v>
      </c>
      <c r="AD48" s="10" t="s">
        <v>485</v>
      </c>
      <c r="AE48" s="10" t="s">
        <v>486</v>
      </c>
      <c r="AF48" s="37">
        <v>53051</v>
      </c>
    </row>
    <row r="49" spans="2:32">
      <c r="B49" s="563"/>
      <c r="C49" s="563"/>
      <c r="D49" s="563"/>
      <c r="E49" s="563"/>
      <c r="F49" s="14">
        <v>1</v>
      </c>
      <c r="G49" s="14">
        <v>2</v>
      </c>
      <c r="H49" s="14">
        <v>3</v>
      </c>
      <c r="I49" s="14">
        <v>4</v>
      </c>
      <c r="J49" s="38">
        <v>5</v>
      </c>
      <c r="K49" s="38">
        <v>6</v>
      </c>
      <c r="L49" s="38">
        <v>7</v>
      </c>
      <c r="M49" s="38">
        <v>8</v>
      </c>
      <c r="N49" s="38">
        <v>9</v>
      </c>
      <c r="O49" s="38">
        <v>10</v>
      </c>
      <c r="P49" s="38">
        <v>11</v>
      </c>
      <c r="Q49" s="38">
        <v>12</v>
      </c>
      <c r="R49" s="38">
        <v>13</v>
      </c>
      <c r="S49" s="38">
        <v>14</v>
      </c>
      <c r="T49" s="38">
        <v>15</v>
      </c>
      <c r="U49" s="38">
        <v>16</v>
      </c>
      <c r="V49" s="38">
        <v>17</v>
      </c>
      <c r="W49" s="38">
        <v>18</v>
      </c>
      <c r="X49" s="38">
        <v>19</v>
      </c>
      <c r="Y49" s="38">
        <v>20</v>
      </c>
      <c r="Z49" s="38">
        <v>21</v>
      </c>
      <c r="AA49" s="38">
        <v>22</v>
      </c>
      <c r="AB49" s="38">
        <v>23</v>
      </c>
      <c r="AC49" s="38">
        <v>24</v>
      </c>
      <c r="AD49" s="38">
        <v>25</v>
      </c>
      <c r="AE49" s="38">
        <v>26</v>
      </c>
      <c r="AF49" s="38">
        <v>27</v>
      </c>
    </row>
    <row r="50" spans="2:32">
      <c r="B50" s="18">
        <v>1</v>
      </c>
      <c r="C50" s="21" t="s">
        <v>517</v>
      </c>
      <c r="D50" s="548"/>
      <c r="E50" s="18" t="s">
        <v>24</v>
      </c>
      <c r="F50" s="548"/>
      <c r="G50" s="548"/>
      <c r="H50" s="548"/>
      <c r="I50" s="548"/>
      <c r="J50" s="577">
        <v>0</v>
      </c>
      <c r="K50" s="548">
        <f ca="1">J55</f>
        <v>31488.842986802</v>
      </c>
      <c r="L50" s="548">
        <f ca="1" t="shared" ref="L50:AF50" si="12">K55</f>
        <v>104682.948923493</v>
      </c>
      <c r="M50" s="548">
        <f ca="1" t="shared" si="12"/>
        <v>97704.0856619272</v>
      </c>
      <c r="N50" s="548">
        <f ca="1" t="shared" si="12"/>
        <v>90725.222400361</v>
      </c>
      <c r="O50" s="548">
        <f ca="1" t="shared" si="12"/>
        <v>83746.3591387948</v>
      </c>
      <c r="P50" s="548">
        <f ca="1" t="shared" si="12"/>
        <v>76767.4958772285</v>
      </c>
      <c r="Q50" s="548">
        <f ca="1" t="shared" si="12"/>
        <v>69788.6326156623</v>
      </c>
      <c r="R50" s="548">
        <f ca="1" t="shared" si="12"/>
        <v>62809.7693540961</v>
      </c>
      <c r="S50" s="548">
        <f ca="1" t="shared" si="12"/>
        <v>55830.9060925298</v>
      </c>
      <c r="T50" s="548">
        <f ca="1" t="shared" si="12"/>
        <v>48852.0428309636</v>
      </c>
      <c r="U50" s="548">
        <f ca="1" t="shared" si="12"/>
        <v>41873.1795693974</v>
      </c>
      <c r="V50" s="548">
        <f ca="1" t="shared" si="12"/>
        <v>34894.3163078311</v>
      </c>
      <c r="W50" s="548">
        <f ca="1" t="shared" si="12"/>
        <v>27915.4530462649</v>
      </c>
      <c r="X50" s="548">
        <f ca="1" t="shared" si="12"/>
        <v>20936.5897846987</v>
      </c>
      <c r="Y50" s="548">
        <f ca="1" t="shared" si="12"/>
        <v>13957.7265231324</v>
      </c>
      <c r="Z50" s="548">
        <f ca="1" t="shared" si="12"/>
        <v>6978.86326156619</v>
      </c>
      <c r="AA50" s="548">
        <f ca="1" t="shared" si="12"/>
        <v>-4.00177668780088e-11</v>
      </c>
      <c r="AB50" s="548">
        <f ca="1" t="shared" si="12"/>
        <v>-4.00177668780088e-11</v>
      </c>
      <c r="AC50" s="548">
        <f ca="1" t="shared" si="12"/>
        <v>-4.00177668780088e-11</v>
      </c>
      <c r="AD50" s="548">
        <f ca="1" t="shared" si="12"/>
        <v>-4.00177668780088e-11</v>
      </c>
      <c r="AE50" s="548">
        <f ca="1" t="shared" si="12"/>
        <v>-4.00177668780088e-11</v>
      </c>
      <c r="AF50" s="548">
        <f ca="1" t="shared" si="12"/>
        <v>-4.00177668780088e-11</v>
      </c>
    </row>
    <row r="51" spans="2:32">
      <c r="B51" s="18">
        <v>2</v>
      </c>
      <c r="C51" s="21" t="s">
        <v>518</v>
      </c>
      <c r="D51" s="548">
        <f ca="1">SUM(F51:AF51)</f>
        <v>104682.948923493</v>
      </c>
      <c r="E51" s="18" t="s">
        <v>24</v>
      </c>
      <c r="F51" s="548"/>
      <c r="G51" s="548"/>
      <c r="H51" s="548"/>
      <c r="I51" s="548"/>
      <c r="J51" s="551">
        <f ca="1">J16+J17</f>
        <v>31488.842986802</v>
      </c>
      <c r="K51" s="551">
        <f ca="1" t="shared" ref="K51:AF51" si="13">K16+K17</f>
        <v>73194.1059366915</v>
      </c>
      <c r="L51" s="551">
        <f t="shared" si="13"/>
        <v>0</v>
      </c>
      <c r="M51" s="551">
        <f t="shared" si="13"/>
        <v>0</v>
      </c>
      <c r="N51" s="551">
        <f t="shared" si="13"/>
        <v>0</v>
      </c>
      <c r="O51" s="551">
        <f t="shared" si="13"/>
        <v>0</v>
      </c>
      <c r="P51" s="551">
        <f t="shared" si="13"/>
        <v>0</v>
      </c>
      <c r="Q51" s="551">
        <f t="shared" si="13"/>
        <v>0</v>
      </c>
      <c r="R51" s="551">
        <f t="shared" si="13"/>
        <v>0</v>
      </c>
      <c r="S51" s="551">
        <f t="shared" si="13"/>
        <v>0</v>
      </c>
      <c r="T51" s="551">
        <f t="shared" si="13"/>
        <v>0</v>
      </c>
      <c r="U51" s="551">
        <f t="shared" si="13"/>
        <v>0</v>
      </c>
      <c r="V51" s="551">
        <f t="shared" si="13"/>
        <v>0</v>
      </c>
      <c r="W51" s="551">
        <f t="shared" si="13"/>
        <v>0</v>
      </c>
      <c r="X51" s="551">
        <f t="shared" si="13"/>
        <v>0</v>
      </c>
      <c r="Y51" s="551">
        <f t="shared" si="13"/>
        <v>0</v>
      </c>
      <c r="Z51" s="551">
        <f t="shared" si="13"/>
        <v>0</v>
      </c>
      <c r="AA51" s="551">
        <f t="shared" si="13"/>
        <v>0</v>
      </c>
      <c r="AB51" s="551">
        <f t="shared" si="13"/>
        <v>0</v>
      </c>
      <c r="AC51" s="551">
        <f t="shared" si="13"/>
        <v>0</v>
      </c>
      <c r="AD51" s="551">
        <f t="shared" si="13"/>
        <v>0</v>
      </c>
      <c r="AE51" s="551">
        <f t="shared" si="13"/>
        <v>0</v>
      </c>
      <c r="AF51" s="551">
        <f t="shared" si="13"/>
        <v>0</v>
      </c>
    </row>
    <row r="52" spans="2:32">
      <c r="B52" s="18">
        <v>3</v>
      </c>
      <c r="C52" s="21" t="s">
        <v>519</v>
      </c>
      <c r="D52" s="548">
        <f ca="1">SUM(F52:AF52)</f>
        <v>140693.883353175</v>
      </c>
      <c r="E52" s="18" t="s">
        <v>24</v>
      </c>
      <c r="F52" s="548"/>
      <c r="G52" s="548"/>
      <c r="H52" s="548"/>
      <c r="I52" s="548"/>
      <c r="J52" s="548">
        <f ca="1" t="shared" ref="J52:AF52" si="14">SUM(J53:J54)</f>
        <v>0</v>
      </c>
      <c r="K52" s="548">
        <f ca="1" t="shared" si="14"/>
        <v>0</v>
      </c>
      <c r="L52" s="548">
        <f ca="1" t="shared" si="14"/>
        <v>11480.2300652764</v>
      </c>
      <c r="M52" s="548">
        <f ca="1" t="shared" si="14"/>
        <v>11180.1389450291</v>
      </c>
      <c r="N52" s="548">
        <f ca="1" t="shared" si="14"/>
        <v>10880.0478247818</v>
      </c>
      <c r="O52" s="548">
        <f ca="1" t="shared" si="14"/>
        <v>10579.9567045344</v>
      </c>
      <c r="P52" s="548">
        <f ca="1" t="shared" si="14"/>
        <v>10279.8655842871</v>
      </c>
      <c r="Q52" s="548">
        <f ca="1" t="shared" si="14"/>
        <v>9979.77446403971</v>
      </c>
      <c r="R52" s="548">
        <f ca="1" t="shared" si="14"/>
        <v>9679.68334379236</v>
      </c>
      <c r="S52" s="548">
        <f ca="1" t="shared" si="14"/>
        <v>9379.59222354501</v>
      </c>
      <c r="T52" s="548">
        <f ca="1" t="shared" si="14"/>
        <v>9079.50110329767</v>
      </c>
      <c r="U52" s="548">
        <f ca="1" t="shared" si="14"/>
        <v>8779.40998305032</v>
      </c>
      <c r="V52" s="548">
        <f ca="1" t="shared" si="14"/>
        <v>8479.31886280297</v>
      </c>
      <c r="W52" s="548">
        <f ca="1" t="shared" si="14"/>
        <v>8179.22774255562</v>
      </c>
      <c r="X52" s="548">
        <f ca="1" t="shared" si="14"/>
        <v>7879.13662230827</v>
      </c>
      <c r="Y52" s="548">
        <f ca="1" t="shared" si="14"/>
        <v>7579.04550206093</v>
      </c>
      <c r="Z52" s="548">
        <f ca="1" t="shared" si="14"/>
        <v>7278.95438181358</v>
      </c>
      <c r="AA52" s="548">
        <f ca="1" t="shared" si="14"/>
        <v>-1.72076397575438e-12</v>
      </c>
      <c r="AB52" s="548">
        <f ca="1" t="shared" si="14"/>
        <v>-1.72076397575438e-12</v>
      </c>
      <c r="AC52" s="548">
        <f ca="1" t="shared" si="14"/>
        <v>-1.72076397575438e-12</v>
      </c>
      <c r="AD52" s="548">
        <f ca="1" t="shared" si="14"/>
        <v>-1.72076397575438e-12</v>
      </c>
      <c r="AE52" s="548">
        <f ca="1" t="shared" si="14"/>
        <v>-1.72076397575438e-12</v>
      </c>
      <c r="AF52" s="548">
        <f ca="1" t="shared" si="14"/>
        <v>-4.30190993938595e-13</v>
      </c>
    </row>
    <row r="53" spans="2:32">
      <c r="B53" s="18"/>
      <c r="C53" s="24" t="s">
        <v>523</v>
      </c>
      <c r="D53" s="548">
        <f ca="1">SUM(F53:AF53)</f>
        <v>104682.948923494</v>
      </c>
      <c r="E53" s="18" t="s">
        <v>24</v>
      </c>
      <c r="F53" s="548"/>
      <c r="G53" s="548"/>
      <c r="H53" s="548"/>
      <c r="I53" s="548"/>
      <c r="J53" s="577">
        <f ca="1">IF(J49-参数输入表!$I$217-参数输入表!$I$7&lt;=0,0,IF(J49-参数输入表!$I$217-参数输入表!$I$7&lt;=参数输入表!$I$222,$D$51/参数输入表!$I$222,0))</f>
        <v>0</v>
      </c>
      <c r="K53" s="577">
        <f ca="1">IF(K49-参数输入表!$I$217-参数输入表!$I$7&lt;=0,0,IF(K49-参数输入表!$I$217-参数输入表!$I$7&lt;=参数输入表!$I$222,$D$51/参数输入表!$I$222,0))</f>
        <v>0</v>
      </c>
      <c r="L53" s="577">
        <f ca="1">IF(L49-参数输入表!$I$217-参数输入表!$I$7&lt;=0,0,IF(L49-参数输入表!$I$217-参数输入表!$I$7&lt;=参数输入表!$I$222,$D$51/参数输入表!$I$222,0))</f>
        <v>6978.86326156623</v>
      </c>
      <c r="M53" s="577">
        <f ca="1">IF(M49-参数输入表!$I$217-参数输入表!$I$7&lt;=0,0,IF(M49-参数输入表!$I$217-参数输入表!$I$7&lt;=参数输入表!$I$222,$D$51/参数输入表!$I$222,0))</f>
        <v>6978.86326156623</v>
      </c>
      <c r="N53" s="577">
        <f ca="1">IF(N49-参数输入表!$I$217-参数输入表!$I$7&lt;=0,0,IF(N49-参数输入表!$I$217-参数输入表!$I$7&lt;=参数输入表!$I$222,$D$51/参数输入表!$I$222,0))</f>
        <v>6978.86326156623</v>
      </c>
      <c r="O53" s="577">
        <f ca="1">IF(O49-参数输入表!$I$217-参数输入表!$I$7&lt;=0,0,IF(O49-参数输入表!$I$217-参数输入表!$I$7&lt;=参数输入表!$I$222,$D$51/参数输入表!$I$222,0))</f>
        <v>6978.86326156623</v>
      </c>
      <c r="P53" s="577">
        <f ca="1">IF(P49-参数输入表!$I$217-参数输入表!$I$7&lt;=0,0,IF(P49-参数输入表!$I$217-参数输入表!$I$7&lt;=参数输入表!$I$222,$D$51/参数输入表!$I$222,0))</f>
        <v>6978.86326156623</v>
      </c>
      <c r="Q53" s="577">
        <f ca="1">IF(Q49-参数输入表!$I$217-参数输入表!$I$7&lt;=0,0,IF(Q49-参数输入表!$I$217-参数输入表!$I$7&lt;=参数输入表!$I$222,$D$51/参数输入表!$I$222,0))</f>
        <v>6978.86326156623</v>
      </c>
      <c r="R53" s="577">
        <f ca="1">IF(R49-参数输入表!$I$217-参数输入表!$I$7&lt;=0,0,IF(R49-参数输入表!$I$217-参数输入表!$I$7&lt;=参数输入表!$I$222,$D$51/参数输入表!$I$222,0))</f>
        <v>6978.86326156623</v>
      </c>
      <c r="S53" s="577">
        <f ca="1">IF(S49-参数输入表!$I$217-参数输入表!$I$7&lt;=0,0,IF(S49-参数输入表!$I$217-参数输入表!$I$7&lt;=参数输入表!$I$222,$D$51/参数输入表!$I$222,0))</f>
        <v>6978.86326156623</v>
      </c>
      <c r="T53" s="577">
        <f ca="1">IF(T49-参数输入表!$I$217-参数输入表!$I$7&lt;=0,0,IF(T49-参数输入表!$I$217-参数输入表!$I$7&lt;=参数输入表!$I$222,$D$51/参数输入表!$I$222,0))</f>
        <v>6978.86326156623</v>
      </c>
      <c r="U53" s="577">
        <f ca="1">IF(U49-参数输入表!$I$217-参数输入表!$I$7&lt;=0,0,IF(U49-参数输入表!$I$217-参数输入表!$I$7&lt;=参数输入表!$I$222,$D$51/参数输入表!$I$222,0))</f>
        <v>6978.86326156623</v>
      </c>
      <c r="V53" s="577">
        <f ca="1">IF(V49-参数输入表!$I$217-参数输入表!$I$7&lt;=0,0,IF(V49-参数输入表!$I$217-参数输入表!$I$7&lt;=参数输入表!$I$222,$D$51/参数输入表!$I$222,0))</f>
        <v>6978.86326156623</v>
      </c>
      <c r="W53" s="577">
        <f ca="1">IF(W49-参数输入表!$I$217-参数输入表!$I$7&lt;=0,0,IF(W49-参数输入表!$I$217-参数输入表!$I$7&lt;=参数输入表!$I$222,$D$51/参数输入表!$I$222,0))</f>
        <v>6978.86326156623</v>
      </c>
      <c r="X53" s="577">
        <f ca="1">IF(X49-参数输入表!$I$217-参数输入表!$I$7&lt;=0,0,IF(X49-参数输入表!$I$217-参数输入表!$I$7&lt;=参数输入表!$I$222,$D$51/参数输入表!$I$222,0))</f>
        <v>6978.86326156623</v>
      </c>
      <c r="Y53" s="577">
        <f ca="1">IF(Y49-参数输入表!$I$217-参数输入表!$I$7&lt;=0,0,IF(Y49-参数输入表!$I$217-参数输入表!$I$7&lt;=参数输入表!$I$222,$D$51/参数输入表!$I$222,0))</f>
        <v>6978.86326156623</v>
      </c>
      <c r="Z53" s="577">
        <f ca="1">IF(Z49-参数输入表!$I$217-参数输入表!$I$7&lt;=0,0,IF(Z49-参数输入表!$I$217-参数输入表!$I$7&lt;=参数输入表!$I$222,$D$51/参数输入表!$I$222,0))</f>
        <v>6978.86326156623</v>
      </c>
      <c r="AA53" s="577">
        <f ca="1">IF(AA49-参数输入表!$I$217-参数输入表!$I$7&lt;=0,0,IF(AA49-参数输入表!$I$217-参数输入表!$I$7&lt;=参数输入表!$I$222,$D$51/参数输入表!$I$222,0))</f>
        <v>0</v>
      </c>
      <c r="AB53" s="577">
        <f ca="1">IF(AB49-参数输入表!$I$217-参数输入表!$I$7&lt;=0,0,IF(AB49-参数输入表!$I$217-参数输入表!$I$7&lt;=参数输入表!$I$222,$D$51/参数输入表!$I$222,0))</f>
        <v>0</v>
      </c>
      <c r="AC53" s="577">
        <f ca="1">IF(AC49-参数输入表!$I$217-参数输入表!$I$7&lt;=0,0,IF(AC49-参数输入表!$I$217-参数输入表!$I$7&lt;=参数输入表!$I$222,$D$51/参数输入表!$I$222,0))</f>
        <v>0</v>
      </c>
      <c r="AD53" s="577">
        <f ca="1">IF(AD49-参数输入表!$I$217-参数输入表!$I$7&lt;=0,0,IF(AD49-参数输入表!$I$217-参数输入表!$I$7&lt;=参数输入表!$I$222,$D$51/参数输入表!$I$222,0))</f>
        <v>0</v>
      </c>
      <c r="AE53" s="577">
        <f ca="1">IF(AE49-参数输入表!$I$217-参数输入表!$I$7&lt;=0,0,IF(AE49-参数输入表!$I$217-参数输入表!$I$7&lt;=参数输入表!$I$222,$D$51/参数输入表!$I$222,0))</f>
        <v>0</v>
      </c>
      <c r="AF53" s="577">
        <f ca="1">IF(AF49-参数输入表!$I$217-参数输入表!$I$7&lt;=0,0,IF(AF49-参数输入表!$I$217-参数输入表!$I$7&lt;=参数输入表!$I$222,$D$51/参数输入表!$I$222,0))</f>
        <v>0</v>
      </c>
    </row>
    <row r="54" spans="2:32">
      <c r="B54" s="18"/>
      <c r="C54" s="25" t="s">
        <v>521</v>
      </c>
      <c r="D54" s="548">
        <f ca="1">SUM(F54:AF54)</f>
        <v>36010.9344296817</v>
      </c>
      <c r="E54" s="18" t="s">
        <v>24</v>
      </c>
      <c r="F54" s="548"/>
      <c r="G54" s="548"/>
      <c r="H54" s="548"/>
      <c r="I54" s="548"/>
      <c r="J54" s="577">
        <f ca="1">IF(J49-参数输入表!$I$217-参数输入表!$I$7&lt;=0,0,(J50+J51/2)*参数输入表!$I$219*(12-MONTH(参数输入表!I8))/12)</f>
        <v>0</v>
      </c>
      <c r="K54" s="577">
        <f ca="1">IF(K49-参数输入表!$I$217-参数输入表!$I$7&lt;=0,0,(K50+K51/2)*参数输入表!$I$219)</f>
        <v>0</v>
      </c>
      <c r="L54" s="577">
        <f ca="1">IF(L49-参数输入表!$I$217-参数输入表!$I$7&lt;=0,0,(L50+L51/2)*参数输入表!$I$219)</f>
        <v>4501.36680371022</v>
      </c>
      <c r="M54" s="577">
        <f ca="1">IF(M49-参数输入表!$I$217-参数输入表!$I$7&lt;=0,0,(M50+M51/2)*参数输入表!$I$219)</f>
        <v>4201.27568346287</v>
      </c>
      <c r="N54" s="577">
        <f ca="1">IF(N49-参数输入表!$I$217-参数输入表!$I$7&lt;=0,0,(N50+N51/2)*参数输入表!$I$219)</f>
        <v>3901.18456321552</v>
      </c>
      <c r="O54" s="577">
        <f ca="1">IF(O49-参数输入表!$I$217-参数输入表!$I$7&lt;=0,0,(O50+O51/2)*参数输入表!$I$219)</f>
        <v>3601.09344296817</v>
      </c>
      <c r="P54" s="577">
        <f ca="1">IF(P49-参数输入表!$I$217-参数输入表!$I$7&lt;=0,0,(P50+P51/2)*参数输入表!$I$219)</f>
        <v>3301.00232272083</v>
      </c>
      <c r="Q54" s="577">
        <f ca="1">IF(Q49-参数输入表!$I$217-参数输入表!$I$7&lt;=0,0,(Q50+Q51/2)*参数输入表!$I$219)</f>
        <v>3000.91120247348</v>
      </c>
      <c r="R54" s="577">
        <f ca="1">IF(R49-参数输入表!$I$217-参数输入表!$I$7&lt;=0,0,(R50+R51/2)*参数输入表!$I$219)</f>
        <v>2700.82008222613</v>
      </c>
      <c r="S54" s="577">
        <f ca="1">IF(S49-参数输入表!$I$217-参数输入表!$I$7&lt;=0,0,(S50+S51/2)*参数输入表!$I$219)</f>
        <v>2400.72896197878</v>
      </c>
      <c r="T54" s="577">
        <f ca="1">IF(T49-参数输入表!$I$217-参数输入表!$I$7&lt;=0,0,(T50+T51/2)*参数输入表!$I$219)</f>
        <v>2100.63784173143</v>
      </c>
      <c r="U54" s="577">
        <f ca="1">IF(U49-参数输入表!$I$217-参数输入表!$I$7&lt;=0,0,(U50+U51/2)*参数输入表!$I$219)</f>
        <v>1800.54672148409</v>
      </c>
      <c r="V54" s="577">
        <f ca="1">IF(V49-参数输入表!$I$217-参数输入表!$I$7&lt;=0,0,(V50+V51/2)*参数输入表!$I$219)</f>
        <v>1500.45560123674</v>
      </c>
      <c r="W54" s="577">
        <f ca="1">IF(W49-参数输入表!$I$217-参数输入表!$I$7&lt;=0,0,(W50+W51/2)*参数输入表!$I$219)</f>
        <v>1200.36448098939</v>
      </c>
      <c r="X54" s="577">
        <f ca="1">IF(X49-参数输入表!$I$217-参数输入表!$I$7&lt;=0,0,(X50+X51/2)*参数输入表!$I$219)</f>
        <v>900.273360742042</v>
      </c>
      <c r="Y54" s="577">
        <f ca="1">IF(Y49-参数输入表!$I$217-参数输入表!$I$7&lt;=0,0,(Y50+Y51/2)*参数输入表!$I$219)</f>
        <v>600.182240494694</v>
      </c>
      <c r="Z54" s="577">
        <f ca="1">IF(Z49-参数输入表!$I$217-参数输入表!$I$7&lt;=0,0,(Z50+Z51/2)*参数输入表!$I$219)</f>
        <v>300.091120247346</v>
      </c>
      <c r="AA54" s="577">
        <f ca="1">IF(AA49-参数输入表!$I$217-参数输入表!$I$7&lt;=0,0,(AA50+AA51/2)*参数输入表!$I$219)</f>
        <v>-1.72076397575438e-12</v>
      </c>
      <c r="AB54" s="577">
        <f ca="1">IF(AB49-参数输入表!$I$217-参数输入表!$I$7&lt;=0,0,(AB50+AB51/2)*参数输入表!$I$219)</f>
        <v>-1.72076397575438e-12</v>
      </c>
      <c r="AC54" s="577">
        <f ca="1">IF(AC49-参数输入表!$I$217-参数输入表!$I$7&lt;=0,0,(AC50+AC51/2)*参数输入表!$I$219)</f>
        <v>-1.72076397575438e-12</v>
      </c>
      <c r="AD54" s="577">
        <f ca="1">IF(AD49-参数输入表!$I$217-参数输入表!$I$7&lt;=0,0,(AD50+AD51/2)*参数输入表!$I$219)</f>
        <v>-1.72076397575438e-12</v>
      </c>
      <c r="AE54" s="577">
        <f ca="1">IF(AE49-参数输入表!$I$217-参数输入表!$I$7&lt;=0,0,(AE50+AE51/2)*参数输入表!$I$219)</f>
        <v>-1.72076397575438e-12</v>
      </c>
      <c r="AF54" s="577">
        <f ca="1">IF(AF49-参数输入表!$I$217-参数输入表!$I$7&lt;=0,0,(AF50+AF51/2)*参数输入表!$I$219*MONTH(参数输入表!$I$6)/12)</f>
        <v>-4.30190993938595e-13</v>
      </c>
    </row>
    <row r="55" spans="2:32">
      <c r="B55" s="18">
        <v>4</v>
      </c>
      <c r="C55" s="21" t="s">
        <v>522</v>
      </c>
      <c r="D55" s="568">
        <f ca="1">AF55</f>
        <v>-4.00177668780088e-11</v>
      </c>
      <c r="E55" s="18" t="s">
        <v>24</v>
      </c>
      <c r="F55" s="548"/>
      <c r="G55" s="548"/>
      <c r="H55" s="548"/>
      <c r="I55" s="548"/>
      <c r="J55" s="548">
        <f ca="1" t="shared" ref="J55:AF55" si="15">J50+J51-J53</f>
        <v>31488.842986802</v>
      </c>
      <c r="K55" s="548">
        <f ca="1" t="shared" si="15"/>
        <v>104682.948923493</v>
      </c>
      <c r="L55" s="548">
        <f ca="1" t="shared" si="15"/>
        <v>97704.0856619272</v>
      </c>
      <c r="M55" s="548">
        <f ca="1" t="shared" si="15"/>
        <v>90725.222400361</v>
      </c>
      <c r="N55" s="548">
        <f ca="1" t="shared" si="15"/>
        <v>83746.3591387948</v>
      </c>
      <c r="O55" s="548">
        <f ca="1" t="shared" si="15"/>
        <v>76767.4958772285</v>
      </c>
      <c r="P55" s="548">
        <f ca="1" t="shared" si="15"/>
        <v>69788.6326156623</v>
      </c>
      <c r="Q55" s="548">
        <f ca="1" t="shared" si="15"/>
        <v>62809.7693540961</v>
      </c>
      <c r="R55" s="548">
        <f ca="1" t="shared" si="15"/>
        <v>55830.9060925298</v>
      </c>
      <c r="S55" s="548">
        <f ca="1" t="shared" si="15"/>
        <v>48852.0428309636</v>
      </c>
      <c r="T55" s="548">
        <f ca="1" t="shared" si="15"/>
        <v>41873.1795693974</v>
      </c>
      <c r="U55" s="548">
        <f ca="1" t="shared" si="15"/>
        <v>34894.3163078311</v>
      </c>
      <c r="V55" s="548">
        <f ca="1" t="shared" si="15"/>
        <v>27915.4530462649</v>
      </c>
      <c r="W55" s="548">
        <f ca="1" t="shared" si="15"/>
        <v>20936.5897846987</v>
      </c>
      <c r="X55" s="548">
        <f ca="1" t="shared" si="15"/>
        <v>13957.7265231324</v>
      </c>
      <c r="Y55" s="548">
        <f ca="1" t="shared" si="15"/>
        <v>6978.86326156619</v>
      </c>
      <c r="Z55" s="548">
        <f ca="1" t="shared" si="15"/>
        <v>-4.00177668780088e-11</v>
      </c>
      <c r="AA55" s="548">
        <f ca="1" t="shared" si="15"/>
        <v>-4.00177668780088e-11</v>
      </c>
      <c r="AB55" s="548">
        <f ca="1" t="shared" si="15"/>
        <v>-4.00177668780088e-11</v>
      </c>
      <c r="AC55" s="548">
        <f ca="1" t="shared" si="15"/>
        <v>-4.00177668780088e-11</v>
      </c>
      <c r="AD55" s="548">
        <f ca="1" t="shared" si="15"/>
        <v>-4.00177668780088e-11</v>
      </c>
      <c r="AE55" s="548">
        <f ca="1" t="shared" si="15"/>
        <v>-4.00177668780088e-11</v>
      </c>
      <c r="AF55" s="548">
        <f ca="1" t="shared" si="15"/>
        <v>-4.00177668780088e-11</v>
      </c>
    </row>
    <row r="57" spans="2:32">
      <c r="B57" s="569" t="s">
        <v>524</v>
      </c>
      <c r="C57" s="570"/>
      <c r="D57" s="570"/>
      <c r="E57" s="570"/>
      <c r="F57" s="567"/>
      <c r="G57" s="567"/>
      <c r="H57" s="567"/>
      <c r="I57" s="567"/>
      <c r="J57" s="567"/>
      <c r="K57" s="567"/>
      <c r="L57" s="567"/>
      <c r="M57" s="567"/>
      <c r="N57" s="567"/>
      <c r="O57" s="567"/>
      <c r="P57" s="567"/>
      <c r="Q57" s="567"/>
      <c r="R57" s="567"/>
      <c r="S57" s="567"/>
      <c r="T57" s="567"/>
      <c r="U57" s="567"/>
      <c r="V57" s="567"/>
      <c r="W57" s="567"/>
      <c r="X57" s="567"/>
      <c r="Y57" s="567"/>
      <c r="Z57" s="567"/>
      <c r="AA57" s="567"/>
      <c r="AB57" s="567"/>
      <c r="AC57" s="567"/>
      <c r="AD57" s="567"/>
      <c r="AE57" s="567"/>
      <c r="AF57" s="567"/>
    </row>
    <row r="58" spans="2:32">
      <c r="B58" s="571" t="s">
        <v>15</v>
      </c>
      <c r="C58" s="571" t="s">
        <v>463</v>
      </c>
      <c r="D58" s="571" t="s">
        <v>17</v>
      </c>
      <c r="E58" s="571" t="s">
        <v>18</v>
      </c>
      <c r="F58" s="10" t="s">
        <v>464</v>
      </c>
      <c r="G58" s="10" t="s">
        <v>465</v>
      </c>
      <c r="H58" s="10" t="s">
        <v>466</v>
      </c>
      <c r="I58" s="37">
        <v>45107</v>
      </c>
      <c r="J58" s="37">
        <v>45261</v>
      </c>
      <c r="K58" s="10" t="s">
        <v>20</v>
      </c>
      <c r="L58" s="10" t="s">
        <v>467</v>
      </c>
      <c r="M58" s="10" t="s">
        <v>468</v>
      </c>
      <c r="N58" s="10" t="s">
        <v>469</v>
      </c>
      <c r="O58" s="10" t="s">
        <v>470</v>
      </c>
      <c r="P58" s="10" t="s">
        <v>471</v>
      </c>
      <c r="Q58" s="10" t="s">
        <v>472</v>
      </c>
      <c r="R58" s="10" t="s">
        <v>473</v>
      </c>
      <c r="S58" s="10" t="s">
        <v>474</v>
      </c>
      <c r="T58" s="10" t="s">
        <v>475</v>
      </c>
      <c r="U58" s="10" t="s">
        <v>476</v>
      </c>
      <c r="V58" s="10" t="s">
        <v>477</v>
      </c>
      <c r="W58" s="10" t="s">
        <v>478</v>
      </c>
      <c r="X58" s="10" t="s">
        <v>479</v>
      </c>
      <c r="Y58" s="10" t="s">
        <v>480</v>
      </c>
      <c r="Z58" s="10" t="s">
        <v>481</v>
      </c>
      <c r="AA58" s="10" t="s">
        <v>482</v>
      </c>
      <c r="AB58" s="10" t="s">
        <v>483</v>
      </c>
      <c r="AC58" s="10" t="s">
        <v>484</v>
      </c>
      <c r="AD58" s="10" t="s">
        <v>485</v>
      </c>
      <c r="AE58" s="10" t="s">
        <v>486</v>
      </c>
      <c r="AF58" s="37">
        <v>53051</v>
      </c>
    </row>
    <row r="59" spans="2:32">
      <c r="B59" s="571"/>
      <c r="C59" s="571"/>
      <c r="D59" s="571"/>
      <c r="E59" s="571"/>
      <c r="F59" s="14">
        <v>1</v>
      </c>
      <c r="G59" s="14">
        <v>2</v>
      </c>
      <c r="H59" s="14">
        <v>3</v>
      </c>
      <c r="I59" s="14">
        <v>4</v>
      </c>
      <c r="J59" s="38">
        <v>5</v>
      </c>
      <c r="K59" s="38">
        <v>6</v>
      </c>
      <c r="L59" s="38">
        <v>7</v>
      </c>
      <c r="M59" s="38">
        <v>8</v>
      </c>
      <c r="N59" s="38">
        <v>9</v>
      </c>
      <c r="O59" s="38">
        <v>10</v>
      </c>
      <c r="P59" s="38">
        <v>11</v>
      </c>
      <c r="Q59" s="38">
        <v>12</v>
      </c>
      <c r="R59" s="38">
        <v>13</v>
      </c>
      <c r="S59" s="38">
        <v>14</v>
      </c>
      <c r="T59" s="38">
        <v>15</v>
      </c>
      <c r="U59" s="38">
        <v>16</v>
      </c>
      <c r="V59" s="38">
        <v>17</v>
      </c>
      <c r="W59" s="38">
        <v>18</v>
      </c>
      <c r="X59" s="38">
        <v>19</v>
      </c>
      <c r="Y59" s="38">
        <v>20</v>
      </c>
      <c r="Z59" s="38">
        <v>21</v>
      </c>
      <c r="AA59" s="38">
        <v>22</v>
      </c>
      <c r="AB59" s="38">
        <v>23</v>
      </c>
      <c r="AC59" s="38">
        <v>24</v>
      </c>
      <c r="AD59" s="38">
        <v>25</v>
      </c>
      <c r="AE59" s="38">
        <v>26</v>
      </c>
      <c r="AF59" s="38">
        <v>27</v>
      </c>
    </row>
    <row r="60" spans="2:32">
      <c r="B60" s="249">
        <v>1</v>
      </c>
      <c r="C60" s="572" t="s">
        <v>517</v>
      </c>
      <c r="D60" s="551"/>
      <c r="E60" s="249" t="s">
        <v>24</v>
      </c>
      <c r="F60" s="548"/>
      <c r="G60" s="548"/>
      <c r="H60" s="548"/>
      <c r="I60" s="548"/>
      <c r="J60" s="551">
        <v>0</v>
      </c>
      <c r="K60" s="551">
        <f t="shared" ref="K60:AF60" si="16">J65</f>
        <v>0</v>
      </c>
      <c r="L60" s="551">
        <f t="shared" si="16"/>
        <v>0</v>
      </c>
      <c r="M60" s="551">
        <f t="shared" si="16"/>
        <v>0</v>
      </c>
      <c r="N60" s="551">
        <f t="shared" si="16"/>
        <v>0</v>
      </c>
      <c r="O60" s="551">
        <f t="shared" si="16"/>
        <v>0</v>
      </c>
      <c r="P60" s="551">
        <f t="shared" si="16"/>
        <v>0</v>
      </c>
      <c r="Q60" s="551">
        <f t="shared" si="16"/>
        <v>0</v>
      </c>
      <c r="R60" s="551">
        <f t="shared" si="16"/>
        <v>0</v>
      </c>
      <c r="S60" s="551">
        <f t="shared" si="16"/>
        <v>0</v>
      </c>
      <c r="T60" s="551">
        <f t="shared" si="16"/>
        <v>0</v>
      </c>
      <c r="U60" s="551">
        <f t="shared" si="16"/>
        <v>0</v>
      </c>
      <c r="V60" s="551">
        <f t="shared" si="16"/>
        <v>0</v>
      </c>
      <c r="W60" s="551">
        <f t="shared" si="16"/>
        <v>0</v>
      </c>
      <c r="X60" s="551">
        <f t="shared" si="16"/>
        <v>0</v>
      </c>
      <c r="Y60" s="551">
        <f t="shared" si="16"/>
        <v>0</v>
      </c>
      <c r="Z60" s="551">
        <f t="shared" si="16"/>
        <v>0</v>
      </c>
      <c r="AA60" s="551">
        <f t="shared" si="16"/>
        <v>0</v>
      </c>
      <c r="AB60" s="551">
        <f t="shared" si="16"/>
        <v>0</v>
      </c>
      <c r="AC60" s="551">
        <f t="shared" si="16"/>
        <v>0</v>
      </c>
      <c r="AD60" s="551">
        <f t="shared" si="16"/>
        <v>0</v>
      </c>
      <c r="AE60" s="551">
        <f t="shared" si="16"/>
        <v>0</v>
      </c>
      <c r="AF60" s="551">
        <f t="shared" si="16"/>
        <v>0</v>
      </c>
    </row>
    <row r="61" spans="2:32">
      <c r="B61" s="249">
        <v>2</v>
      </c>
      <c r="C61" s="572" t="s">
        <v>518</v>
      </c>
      <c r="D61" s="551">
        <f t="shared" ref="D61:D64" si="17">SUM(F61:AF61)</f>
        <v>11760</v>
      </c>
      <c r="E61" s="249" t="s">
        <v>24</v>
      </c>
      <c r="F61" s="548"/>
      <c r="G61" s="548"/>
      <c r="H61" s="548"/>
      <c r="I61" s="548"/>
      <c r="J61" s="551">
        <f>IF(J59-参数输入表!$I$21&lt;0,0,$L$19)</f>
        <v>0</v>
      </c>
      <c r="K61" s="551">
        <f>IF(K59-参数输入表!$I$21&lt;0,0,$L$19)</f>
        <v>0</v>
      </c>
      <c r="L61" s="551">
        <f>IF(L59-参数输入表!$I$21&lt;0,0,$L$19)</f>
        <v>560</v>
      </c>
      <c r="M61" s="551">
        <f>IF(M59-参数输入表!$I$21&lt;0,0,$L$19)</f>
        <v>560</v>
      </c>
      <c r="N61" s="551">
        <f>IF(N59-参数输入表!$I$21&lt;0,0,$L$19)</f>
        <v>560</v>
      </c>
      <c r="O61" s="551">
        <f>IF(O59-参数输入表!$I$21&lt;0,0,$L$19)</f>
        <v>560</v>
      </c>
      <c r="P61" s="551">
        <f>IF(P59-参数输入表!$I$21&lt;0,0,$L$19)</f>
        <v>560</v>
      </c>
      <c r="Q61" s="551">
        <f>IF(Q59-参数输入表!$I$21&lt;0,0,$L$19)</f>
        <v>560</v>
      </c>
      <c r="R61" s="551">
        <f>IF(R59-参数输入表!$I$21&lt;0,0,$L$19)</f>
        <v>560</v>
      </c>
      <c r="S61" s="551">
        <f>IF(S59-参数输入表!$I$21&lt;0,0,$L$19)</f>
        <v>560</v>
      </c>
      <c r="T61" s="551">
        <f>IF(T59-参数输入表!$I$21&lt;0,0,$L$19)</f>
        <v>560</v>
      </c>
      <c r="U61" s="551">
        <f>IF(U59-参数输入表!$I$21&lt;0,0,$L$19)</f>
        <v>560</v>
      </c>
      <c r="V61" s="551">
        <f>IF(V59-参数输入表!$I$21&lt;0,0,$L$19)</f>
        <v>560</v>
      </c>
      <c r="W61" s="551">
        <f>IF(W59-参数输入表!$I$21&lt;0,0,$L$19)</f>
        <v>560</v>
      </c>
      <c r="X61" s="551">
        <f>IF(X59-参数输入表!$I$21&lt;0,0,$L$19)</f>
        <v>560</v>
      </c>
      <c r="Y61" s="551">
        <f>IF(Y59-参数输入表!$I$21&lt;0,0,$L$19)</f>
        <v>560</v>
      </c>
      <c r="Z61" s="551">
        <f>IF(Z59-参数输入表!$I$21&lt;0,0,$L$19)</f>
        <v>560</v>
      </c>
      <c r="AA61" s="551">
        <f>IF(AA59-参数输入表!$I$21&lt;0,0,$L$19)</f>
        <v>560</v>
      </c>
      <c r="AB61" s="551">
        <f>IF(AB59-参数输入表!$I$21&lt;0,0,$L$19)</f>
        <v>560</v>
      </c>
      <c r="AC61" s="551">
        <f>IF(AC59-参数输入表!$I$21&lt;0,0,$L$19)</f>
        <v>560</v>
      </c>
      <c r="AD61" s="551">
        <f>IF(AD59-参数输入表!$I$21&lt;0,0,$L$19)</f>
        <v>560</v>
      </c>
      <c r="AE61" s="551">
        <f>IF(AE59-参数输入表!$I$21&lt;0,0,$L$19)</f>
        <v>560</v>
      </c>
      <c r="AF61" s="551">
        <f>IF(AF59-参数输入表!$I$21&lt;0,0,$L$19)</f>
        <v>560</v>
      </c>
    </row>
    <row r="62" spans="2:32">
      <c r="B62" s="249">
        <v>3</v>
      </c>
      <c r="C62" s="572" t="s">
        <v>519</v>
      </c>
      <c r="D62" s="551">
        <f t="shared" si="17"/>
        <v>12173.91</v>
      </c>
      <c r="E62" s="249" t="s">
        <v>24</v>
      </c>
      <c r="F62" s="548"/>
      <c r="G62" s="548"/>
      <c r="H62" s="548"/>
      <c r="I62" s="548"/>
      <c r="J62" s="551">
        <f t="shared" ref="J62:AF62" si="18">SUM(J63:J64)</f>
        <v>0</v>
      </c>
      <c r="K62" s="551">
        <f t="shared" si="18"/>
        <v>0</v>
      </c>
      <c r="L62" s="551">
        <f t="shared" si="18"/>
        <v>580.44</v>
      </c>
      <c r="M62" s="551">
        <f t="shared" si="18"/>
        <v>580.44</v>
      </c>
      <c r="N62" s="551">
        <f t="shared" si="18"/>
        <v>580.44</v>
      </c>
      <c r="O62" s="551">
        <f t="shared" si="18"/>
        <v>580.44</v>
      </c>
      <c r="P62" s="551">
        <f t="shared" si="18"/>
        <v>580.44</v>
      </c>
      <c r="Q62" s="551">
        <f t="shared" si="18"/>
        <v>580.44</v>
      </c>
      <c r="R62" s="551">
        <f t="shared" si="18"/>
        <v>580.44</v>
      </c>
      <c r="S62" s="551">
        <f t="shared" si="18"/>
        <v>580.44</v>
      </c>
      <c r="T62" s="551">
        <f t="shared" si="18"/>
        <v>580.44</v>
      </c>
      <c r="U62" s="551">
        <f t="shared" si="18"/>
        <v>580.44</v>
      </c>
      <c r="V62" s="551">
        <f t="shared" si="18"/>
        <v>580.44</v>
      </c>
      <c r="W62" s="551">
        <f t="shared" si="18"/>
        <v>580.44</v>
      </c>
      <c r="X62" s="551">
        <f t="shared" si="18"/>
        <v>580.44</v>
      </c>
      <c r="Y62" s="551">
        <f t="shared" si="18"/>
        <v>580.44</v>
      </c>
      <c r="Z62" s="551">
        <f t="shared" si="18"/>
        <v>580.44</v>
      </c>
      <c r="AA62" s="551">
        <f t="shared" si="18"/>
        <v>580.44</v>
      </c>
      <c r="AB62" s="551">
        <f t="shared" si="18"/>
        <v>580.44</v>
      </c>
      <c r="AC62" s="551">
        <f t="shared" si="18"/>
        <v>580.44</v>
      </c>
      <c r="AD62" s="551">
        <f t="shared" si="18"/>
        <v>580.44</v>
      </c>
      <c r="AE62" s="551">
        <f t="shared" si="18"/>
        <v>580.44</v>
      </c>
      <c r="AF62" s="551">
        <f t="shared" si="18"/>
        <v>565.11</v>
      </c>
    </row>
    <row r="63" spans="2:32">
      <c r="B63" s="249"/>
      <c r="C63" s="573" t="s">
        <v>525</v>
      </c>
      <c r="D63" s="551">
        <f t="shared" si="17"/>
        <v>11760</v>
      </c>
      <c r="E63" s="249" t="s">
        <v>24</v>
      </c>
      <c r="F63" s="548"/>
      <c r="G63" s="548"/>
      <c r="H63" s="548"/>
      <c r="I63" s="548"/>
      <c r="J63" s="551">
        <f>J61</f>
        <v>0</v>
      </c>
      <c r="K63" s="551">
        <f t="shared" ref="K63:AF63" si="19">K61</f>
        <v>0</v>
      </c>
      <c r="L63" s="551">
        <f t="shared" si="19"/>
        <v>560</v>
      </c>
      <c r="M63" s="551">
        <f t="shared" si="19"/>
        <v>560</v>
      </c>
      <c r="N63" s="551">
        <f t="shared" si="19"/>
        <v>560</v>
      </c>
      <c r="O63" s="551">
        <f t="shared" si="19"/>
        <v>560</v>
      </c>
      <c r="P63" s="551">
        <f t="shared" si="19"/>
        <v>560</v>
      </c>
      <c r="Q63" s="551">
        <f t="shared" si="19"/>
        <v>560</v>
      </c>
      <c r="R63" s="551">
        <f t="shared" si="19"/>
        <v>560</v>
      </c>
      <c r="S63" s="551">
        <f t="shared" si="19"/>
        <v>560</v>
      </c>
      <c r="T63" s="551">
        <f t="shared" si="19"/>
        <v>560</v>
      </c>
      <c r="U63" s="551">
        <f t="shared" si="19"/>
        <v>560</v>
      </c>
      <c r="V63" s="551">
        <f t="shared" si="19"/>
        <v>560</v>
      </c>
      <c r="W63" s="551">
        <f t="shared" si="19"/>
        <v>560</v>
      </c>
      <c r="X63" s="551">
        <f t="shared" si="19"/>
        <v>560</v>
      </c>
      <c r="Y63" s="551">
        <f t="shared" si="19"/>
        <v>560</v>
      </c>
      <c r="Z63" s="551">
        <f t="shared" si="19"/>
        <v>560</v>
      </c>
      <c r="AA63" s="551">
        <f t="shared" si="19"/>
        <v>560</v>
      </c>
      <c r="AB63" s="551">
        <f t="shared" si="19"/>
        <v>560</v>
      </c>
      <c r="AC63" s="551">
        <f t="shared" si="19"/>
        <v>560</v>
      </c>
      <c r="AD63" s="551">
        <f t="shared" si="19"/>
        <v>560</v>
      </c>
      <c r="AE63" s="551">
        <f t="shared" si="19"/>
        <v>560</v>
      </c>
      <c r="AF63" s="551">
        <f t="shared" si="19"/>
        <v>560</v>
      </c>
    </row>
    <row r="64" spans="2:32">
      <c r="B64" s="249"/>
      <c r="C64" s="550" t="s">
        <v>521</v>
      </c>
      <c r="D64" s="551">
        <f t="shared" si="17"/>
        <v>413.91</v>
      </c>
      <c r="E64" s="249" t="s">
        <v>24</v>
      </c>
      <c r="F64" s="548"/>
      <c r="G64" s="548"/>
      <c r="H64" s="548"/>
      <c r="I64" s="548"/>
      <c r="J64" s="551">
        <f>(J60+J61)*参数输入表!$I$220*(12-MONTH(参数输入表!I8))/12</f>
        <v>0</v>
      </c>
      <c r="K64" s="551">
        <f>(K60+K61)*参数输入表!$I$220</f>
        <v>0</v>
      </c>
      <c r="L64" s="551">
        <f>(L60+L61)*参数输入表!$I$220</f>
        <v>20.44</v>
      </c>
      <c r="M64" s="551">
        <f>(M60+M61)*参数输入表!$I$220</f>
        <v>20.44</v>
      </c>
      <c r="N64" s="551">
        <f>(N60+N61)*参数输入表!$I$220</f>
        <v>20.44</v>
      </c>
      <c r="O64" s="551">
        <f>(O60+O61)*参数输入表!$I$220</f>
        <v>20.44</v>
      </c>
      <c r="P64" s="551">
        <f>(P60+P61)*参数输入表!$I$220</f>
        <v>20.44</v>
      </c>
      <c r="Q64" s="551">
        <f>(Q60+Q61)*参数输入表!$I$220</f>
        <v>20.44</v>
      </c>
      <c r="R64" s="551">
        <f>(R60+R61)*参数输入表!$I$220</f>
        <v>20.44</v>
      </c>
      <c r="S64" s="551">
        <f>(S60+S61)*参数输入表!$I$220</f>
        <v>20.44</v>
      </c>
      <c r="T64" s="551">
        <f>(T60+T61)*参数输入表!$I$220</f>
        <v>20.44</v>
      </c>
      <c r="U64" s="551">
        <f>(U60+U61)*参数输入表!$I$220</f>
        <v>20.44</v>
      </c>
      <c r="V64" s="551">
        <f>(V60+V61)*参数输入表!$I$220</f>
        <v>20.44</v>
      </c>
      <c r="W64" s="551">
        <f>(W60+W61)*参数输入表!$I$220</f>
        <v>20.44</v>
      </c>
      <c r="X64" s="551">
        <f>(X60+X61)*参数输入表!$I$220</f>
        <v>20.44</v>
      </c>
      <c r="Y64" s="551">
        <f>(Y60+Y61)*参数输入表!$I$220</f>
        <v>20.44</v>
      </c>
      <c r="Z64" s="551">
        <f>(Z60+Z61)*参数输入表!$I$220</f>
        <v>20.44</v>
      </c>
      <c r="AA64" s="551">
        <f>(AA60+AA61)*参数输入表!$I$220</f>
        <v>20.44</v>
      </c>
      <c r="AB64" s="551">
        <f>(AB60+AB61)*参数输入表!$I$220</f>
        <v>20.44</v>
      </c>
      <c r="AC64" s="551">
        <f>(AC60+AC61)*参数输入表!$I$220</f>
        <v>20.44</v>
      </c>
      <c r="AD64" s="551">
        <f>(AD60+AD61)*参数输入表!$I$220</f>
        <v>20.44</v>
      </c>
      <c r="AE64" s="551">
        <f>(AE60+AE61)*参数输入表!$I$220</f>
        <v>20.44</v>
      </c>
      <c r="AF64" s="551">
        <f>(AF60+AF61)*参数输入表!$I$220*MONTH(参数输入表!$I$6)/12</f>
        <v>5.11</v>
      </c>
    </row>
    <row r="65" spans="2:32">
      <c r="B65" s="249">
        <v>4</v>
      </c>
      <c r="C65" s="572" t="s">
        <v>522</v>
      </c>
      <c r="D65" s="568">
        <f>AF65</f>
        <v>0</v>
      </c>
      <c r="E65" s="249" t="s">
        <v>24</v>
      </c>
      <c r="F65" s="548"/>
      <c r="G65" s="548"/>
      <c r="H65" s="548"/>
      <c r="I65" s="548"/>
      <c r="J65" s="551">
        <f>J60+J61-J63</f>
        <v>0</v>
      </c>
      <c r="K65" s="551">
        <f t="shared" ref="K65:AF65" si="20">K60+K61-K63</f>
        <v>0</v>
      </c>
      <c r="L65" s="551">
        <f t="shared" si="20"/>
        <v>0</v>
      </c>
      <c r="M65" s="551">
        <f t="shared" si="20"/>
        <v>0</v>
      </c>
      <c r="N65" s="551">
        <f t="shared" si="20"/>
        <v>0</v>
      </c>
      <c r="O65" s="551">
        <f t="shared" si="20"/>
        <v>0</v>
      </c>
      <c r="P65" s="551">
        <f t="shared" si="20"/>
        <v>0</v>
      </c>
      <c r="Q65" s="551">
        <f t="shared" si="20"/>
        <v>0</v>
      </c>
      <c r="R65" s="551">
        <f t="shared" si="20"/>
        <v>0</v>
      </c>
      <c r="S65" s="551">
        <f t="shared" si="20"/>
        <v>0</v>
      </c>
      <c r="T65" s="551">
        <f t="shared" si="20"/>
        <v>0</v>
      </c>
      <c r="U65" s="551">
        <f t="shared" si="20"/>
        <v>0</v>
      </c>
      <c r="V65" s="551">
        <f t="shared" si="20"/>
        <v>0</v>
      </c>
      <c r="W65" s="551">
        <f t="shared" si="20"/>
        <v>0</v>
      </c>
      <c r="X65" s="551">
        <f t="shared" si="20"/>
        <v>0</v>
      </c>
      <c r="Y65" s="551">
        <f t="shared" si="20"/>
        <v>0</v>
      </c>
      <c r="Z65" s="551">
        <f t="shared" si="20"/>
        <v>0</v>
      </c>
      <c r="AA65" s="551">
        <f t="shared" si="20"/>
        <v>0</v>
      </c>
      <c r="AB65" s="551">
        <f t="shared" si="20"/>
        <v>0</v>
      </c>
      <c r="AC65" s="551">
        <f t="shared" si="20"/>
        <v>0</v>
      </c>
      <c r="AD65" s="551">
        <f t="shared" si="20"/>
        <v>0</v>
      </c>
      <c r="AE65" s="551">
        <f t="shared" si="20"/>
        <v>0</v>
      </c>
      <c r="AF65" s="551">
        <f t="shared" si="20"/>
        <v>0</v>
      </c>
    </row>
    <row r="67" spans="2:32">
      <c r="B67" s="565" t="s">
        <v>526</v>
      </c>
      <c r="C67" s="566"/>
      <c r="D67" s="567"/>
      <c r="E67" s="567"/>
      <c r="F67" s="567"/>
      <c r="G67" s="567"/>
      <c r="H67" s="567"/>
      <c r="I67" s="567"/>
      <c r="J67" s="567"/>
      <c r="K67" s="567"/>
      <c r="L67" s="567"/>
      <c r="M67" s="567"/>
      <c r="N67" s="567"/>
      <c r="O67" s="567"/>
      <c r="P67" s="567"/>
      <c r="Q67" s="567"/>
      <c r="R67" s="567"/>
      <c r="S67" s="567"/>
      <c r="T67" s="567"/>
      <c r="U67" s="567"/>
      <c r="V67" s="567"/>
      <c r="W67" s="567"/>
      <c r="X67" s="567"/>
      <c r="Y67" s="567"/>
      <c r="Z67" s="567"/>
      <c r="AA67" s="567"/>
      <c r="AB67" s="567"/>
      <c r="AC67" s="567"/>
      <c r="AD67" s="567"/>
      <c r="AE67" s="567"/>
      <c r="AF67" s="567"/>
    </row>
    <row r="68" spans="2:32">
      <c r="B68" s="10" t="s">
        <v>15</v>
      </c>
      <c r="C68" s="10" t="s">
        <v>463</v>
      </c>
      <c r="D68" s="563" t="s">
        <v>17</v>
      </c>
      <c r="E68" s="563" t="s">
        <v>18</v>
      </c>
      <c r="F68" s="10" t="s">
        <v>464</v>
      </c>
      <c r="G68" s="10" t="s">
        <v>465</v>
      </c>
      <c r="H68" s="10" t="s">
        <v>466</v>
      </c>
      <c r="I68" s="37">
        <v>45107</v>
      </c>
      <c r="J68" s="37">
        <v>45261</v>
      </c>
      <c r="K68" s="10" t="s">
        <v>20</v>
      </c>
      <c r="L68" s="10" t="s">
        <v>467</v>
      </c>
      <c r="M68" s="10" t="s">
        <v>468</v>
      </c>
      <c r="N68" s="10" t="s">
        <v>469</v>
      </c>
      <c r="O68" s="10" t="s">
        <v>470</v>
      </c>
      <c r="P68" s="10" t="s">
        <v>471</v>
      </c>
      <c r="Q68" s="10" t="s">
        <v>472</v>
      </c>
      <c r="R68" s="10" t="s">
        <v>473</v>
      </c>
      <c r="S68" s="10" t="s">
        <v>474</v>
      </c>
      <c r="T68" s="10" t="s">
        <v>475</v>
      </c>
      <c r="U68" s="10" t="s">
        <v>476</v>
      </c>
      <c r="V68" s="10" t="s">
        <v>477</v>
      </c>
      <c r="W68" s="10" t="s">
        <v>478</v>
      </c>
      <c r="X68" s="10" t="s">
        <v>479</v>
      </c>
      <c r="Y68" s="10" t="s">
        <v>480</v>
      </c>
      <c r="Z68" s="10" t="s">
        <v>481</v>
      </c>
      <c r="AA68" s="10" t="s">
        <v>482</v>
      </c>
      <c r="AB68" s="10" t="s">
        <v>483</v>
      </c>
      <c r="AC68" s="10" t="s">
        <v>484</v>
      </c>
      <c r="AD68" s="10" t="s">
        <v>485</v>
      </c>
      <c r="AE68" s="10" t="s">
        <v>486</v>
      </c>
      <c r="AF68" s="37">
        <v>53051</v>
      </c>
    </row>
    <row r="69" spans="2:32">
      <c r="B69" s="10"/>
      <c r="C69" s="10"/>
      <c r="D69" s="563"/>
      <c r="E69" s="563"/>
      <c r="F69" s="14">
        <v>1</v>
      </c>
      <c r="G69" s="14">
        <v>2</v>
      </c>
      <c r="H69" s="14">
        <v>3</v>
      </c>
      <c r="I69" s="14">
        <v>4</v>
      </c>
      <c r="J69" s="38">
        <v>5</v>
      </c>
      <c r="K69" s="38">
        <v>6</v>
      </c>
      <c r="L69" s="38">
        <v>7</v>
      </c>
      <c r="M69" s="38">
        <v>8</v>
      </c>
      <c r="N69" s="38">
        <v>9</v>
      </c>
      <c r="O69" s="38">
        <v>10</v>
      </c>
      <c r="P69" s="38">
        <v>11</v>
      </c>
      <c r="Q69" s="38">
        <v>12</v>
      </c>
      <c r="R69" s="38">
        <v>13</v>
      </c>
      <c r="S69" s="38">
        <v>14</v>
      </c>
      <c r="T69" s="38">
        <v>15</v>
      </c>
      <c r="U69" s="38">
        <v>16</v>
      </c>
      <c r="V69" s="38">
        <v>17</v>
      </c>
      <c r="W69" s="38">
        <v>18</v>
      </c>
      <c r="X69" s="38">
        <v>19</v>
      </c>
      <c r="Y69" s="38">
        <v>20</v>
      </c>
      <c r="Z69" s="38">
        <v>21</v>
      </c>
      <c r="AA69" s="38">
        <v>22</v>
      </c>
      <c r="AB69" s="38">
        <v>23</v>
      </c>
      <c r="AC69" s="38">
        <v>24</v>
      </c>
      <c r="AD69" s="38">
        <v>25</v>
      </c>
      <c r="AE69" s="38">
        <v>26</v>
      </c>
      <c r="AF69" s="38">
        <v>27</v>
      </c>
    </row>
    <row r="70" spans="2:32">
      <c r="B70" s="245">
        <v>1</v>
      </c>
      <c r="C70" s="36" t="s">
        <v>517</v>
      </c>
      <c r="D70" s="548"/>
      <c r="E70" s="18" t="s">
        <v>24</v>
      </c>
      <c r="F70" s="548"/>
      <c r="G70" s="548"/>
      <c r="H70" s="548"/>
      <c r="I70" s="548"/>
      <c r="J70" s="548">
        <f>I75</f>
        <v>27335.07125</v>
      </c>
      <c r="K70" s="548">
        <f t="shared" ref="K70:AF70" si="21">J75</f>
        <v>26000</v>
      </c>
      <c r="L70" s="548">
        <f t="shared" si="21"/>
        <v>23400</v>
      </c>
      <c r="M70" s="548">
        <f t="shared" si="21"/>
        <v>20800</v>
      </c>
      <c r="N70" s="548">
        <f t="shared" si="21"/>
        <v>18200</v>
      </c>
      <c r="O70" s="548">
        <f t="shared" si="21"/>
        <v>15600</v>
      </c>
      <c r="P70" s="548">
        <f t="shared" si="21"/>
        <v>13000</v>
      </c>
      <c r="Q70" s="548">
        <f t="shared" si="21"/>
        <v>10400</v>
      </c>
      <c r="R70" s="548">
        <f t="shared" si="21"/>
        <v>7800</v>
      </c>
      <c r="S70" s="548">
        <f t="shared" si="21"/>
        <v>5200</v>
      </c>
      <c r="T70" s="548">
        <f t="shared" si="21"/>
        <v>2600</v>
      </c>
      <c r="U70" s="548">
        <f t="shared" si="21"/>
        <v>0</v>
      </c>
      <c r="V70" s="548">
        <f t="shared" si="21"/>
        <v>0</v>
      </c>
      <c r="W70" s="548">
        <f t="shared" si="21"/>
        <v>0</v>
      </c>
      <c r="X70" s="548">
        <f t="shared" si="21"/>
        <v>0</v>
      </c>
      <c r="Y70" s="548">
        <f t="shared" si="21"/>
        <v>0</v>
      </c>
      <c r="Z70" s="548">
        <f t="shared" si="21"/>
        <v>0</v>
      </c>
      <c r="AA70" s="548">
        <f t="shared" si="21"/>
        <v>0</v>
      </c>
      <c r="AB70" s="548">
        <f t="shared" si="21"/>
        <v>0</v>
      </c>
      <c r="AC70" s="548">
        <f t="shared" si="21"/>
        <v>0</v>
      </c>
      <c r="AD70" s="548">
        <f t="shared" si="21"/>
        <v>0</v>
      </c>
      <c r="AE70" s="548">
        <f t="shared" si="21"/>
        <v>0</v>
      </c>
      <c r="AF70" s="548">
        <f t="shared" si="21"/>
        <v>0</v>
      </c>
    </row>
    <row r="71" spans="2:32">
      <c r="B71" s="245">
        <v>2</v>
      </c>
      <c r="C71" s="36" t="s">
        <v>518</v>
      </c>
      <c r="D71" s="548">
        <f t="shared" ref="D71:D74" si="22">SUM(F71:AF71)</f>
        <v>0</v>
      </c>
      <c r="E71" s="18" t="s">
        <v>24</v>
      </c>
      <c r="F71" s="548"/>
      <c r="G71" s="548"/>
      <c r="H71" s="548"/>
      <c r="I71" s="548"/>
      <c r="J71" s="577">
        <f>参数输入表!$I$163</f>
        <v>0</v>
      </c>
      <c r="K71" s="577">
        <f>参数输入表!$I$164</f>
        <v>0</v>
      </c>
      <c r="L71" s="577">
        <f>参数输入表!$I$165</f>
        <v>0</v>
      </c>
      <c r="M71" s="577">
        <f>参数输入表!$I$166</f>
        <v>0</v>
      </c>
      <c r="N71" s="577">
        <f>参数输入表!$I$167</f>
        <v>0</v>
      </c>
      <c r="O71" s="577">
        <f>参数输入表!$I$168</f>
        <v>0</v>
      </c>
      <c r="P71" s="577">
        <f>参数输入表!$I$169</f>
        <v>0</v>
      </c>
      <c r="Q71" s="577">
        <f>参数输入表!$I$170</f>
        <v>0</v>
      </c>
      <c r="R71" s="577">
        <f>参数输入表!$I$171</f>
        <v>0</v>
      </c>
      <c r="S71" s="577">
        <f>参数输入表!$I$172</f>
        <v>0</v>
      </c>
      <c r="T71" s="577">
        <f>参数输入表!$I$173</f>
        <v>0</v>
      </c>
      <c r="U71" s="577">
        <f>参数输入表!$I$174</f>
        <v>0</v>
      </c>
      <c r="V71" s="577">
        <f>参数输入表!$I$175</f>
        <v>0</v>
      </c>
      <c r="W71" s="577">
        <f>参数输入表!$I$176</f>
        <v>0</v>
      </c>
      <c r="X71" s="577">
        <f>参数输入表!$I$177</f>
        <v>0</v>
      </c>
      <c r="Y71" s="577">
        <f>参数输入表!$I$178</f>
        <v>0</v>
      </c>
      <c r="Z71" s="577">
        <f>参数输入表!$I$179</f>
        <v>0</v>
      </c>
      <c r="AA71" s="577">
        <f>参数输入表!$I$180</f>
        <v>0</v>
      </c>
      <c r="AB71" s="577">
        <f>参数输入表!$I$181</f>
        <v>0</v>
      </c>
      <c r="AC71" s="577">
        <f>参数输入表!$I$182</f>
        <v>0</v>
      </c>
      <c r="AD71" s="577">
        <f>参数输入表!$I$183</f>
        <v>0</v>
      </c>
      <c r="AE71" s="577">
        <f>参数输入表!$I$184</f>
        <v>0</v>
      </c>
      <c r="AF71" s="577">
        <f>参数输入表!$I$185</f>
        <v>0</v>
      </c>
    </row>
    <row r="72" spans="2:32">
      <c r="B72" s="245">
        <v>3</v>
      </c>
      <c r="C72" s="36" t="s">
        <v>519</v>
      </c>
      <c r="D72" s="548">
        <f t="shared" si="22"/>
        <v>32035.09731875</v>
      </c>
      <c r="E72" s="18" t="s">
        <v>24</v>
      </c>
      <c r="F72" s="548"/>
      <c r="G72" s="548"/>
      <c r="H72" s="548"/>
      <c r="I72" s="548"/>
      <c r="J72" s="548">
        <f t="shared" ref="J72:AF72" si="23">SUM(J73:J74)</f>
        <v>1745.09731875</v>
      </c>
      <c r="K72" s="548">
        <f t="shared" si="23"/>
        <v>3380</v>
      </c>
      <c r="L72" s="548">
        <f t="shared" si="23"/>
        <v>3302</v>
      </c>
      <c r="M72" s="548">
        <f t="shared" si="23"/>
        <v>3224</v>
      </c>
      <c r="N72" s="548">
        <f t="shared" si="23"/>
        <v>3146</v>
      </c>
      <c r="O72" s="548">
        <f t="shared" si="23"/>
        <v>3068</v>
      </c>
      <c r="P72" s="548">
        <f t="shared" si="23"/>
        <v>2990</v>
      </c>
      <c r="Q72" s="548">
        <f t="shared" si="23"/>
        <v>2912</v>
      </c>
      <c r="R72" s="548">
        <f t="shared" si="23"/>
        <v>2834</v>
      </c>
      <c r="S72" s="548">
        <f t="shared" si="23"/>
        <v>2756</v>
      </c>
      <c r="T72" s="548">
        <f t="shared" si="23"/>
        <v>2678</v>
      </c>
      <c r="U72" s="548">
        <f t="shared" si="23"/>
        <v>0</v>
      </c>
      <c r="V72" s="548">
        <f t="shared" si="23"/>
        <v>0</v>
      </c>
      <c r="W72" s="548">
        <f t="shared" si="23"/>
        <v>0</v>
      </c>
      <c r="X72" s="548">
        <f t="shared" si="23"/>
        <v>0</v>
      </c>
      <c r="Y72" s="548">
        <f t="shared" si="23"/>
        <v>0</v>
      </c>
      <c r="Z72" s="548">
        <f t="shared" si="23"/>
        <v>0</v>
      </c>
      <c r="AA72" s="548">
        <f t="shared" si="23"/>
        <v>0</v>
      </c>
      <c r="AB72" s="548">
        <f t="shared" si="23"/>
        <v>0</v>
      </c>
      <c r="AC72" s="548">
        <f t="shared" si="23"/>
        <v>0</v>
      </c>
      <c r="AD72" s="548">
        <f t="shared" si="23"/>
        <v>0</v>
      </c>
      <c r="AE72" s="548">
        <f t="shared" si="23"/>
        <v>0</v>
      </c>
      <c r="AF72" s="548">
        <f t="shared" si="23"/>
        <v>0</v>
      </c>
    </row>
    <row r="73" spans="2:32">
      <c r="B73" s="245"/>
      <c r="C73" s="290" t="s">
        <v>525</v>
      </c>
      <c r="D73" s="548">
        <f t="shared" si="22"/>
        <v>27335.07125</v>
      </c>
      <c r="E73" s="18" t="s">
        <v>24</v>
      </c>
      <c r="F73" s="548"/>
      <c r="G73" s="548"/>
      <c r="H73" s="548"/>
      <c r="I73" s="548"/>
      <c r="J73" s="577">
        <f>参数输入表!$I$191</f>
        <v>1335.07125</v>
      </c>
      <c r="K73" s="577">
        <f>参数输入表!$I$192</f>
        <v>2600</v>
      </c>
      <c r="L73" s="577">
        <f>参数输入表!$I$193</f>
        <v>2600</v>
      </c>
      <c r="M73" s="577">
        <f>参数输入表!$I$194</f>
        <v>2600</v>
      </c>
      <c r="N73" s="577">
        <f>参数输入表!$I$195</f>
        <v>2600</v>
      </c>
      <c r="O73" s="577">
        <f>参数输入表!$I$196</f>
        <v>2600</v>
      </c>
      <c r="P73" s="577">
        <f>参数输入表!$I$197</f>
        <v>2600</v>
      </c>
      <c r="Q73" s="577">
        <f>参数输入表!$I$198</f>
        <v>2600</v>
      </c>
      <c r="R73" s="577">
        <f>参数输入表!$I$199</f>
        <v>2600</v>
      </c>
      <c r="S73" s="577">
        <f>参数输入表!$I$200</f>
        <v>2600</v>
      </c>
      <c r="T73" s="577">
        <f>参数输入表!$I$201</f>
        <v>2600</v>
      </c>
      <c r="U73" s="577">
        <f>参数输入表!$I$202</f>
        <v>0</v>
      </c>
      <c r="V73" s="577">
        <f>参数输入表!$I$203</f>
        <v>0</v>
      </c>
      <c r="W73" s="577">
        <f>参数输入表!$I$204</f>
        <v>0</v>
      </c>
      <c r="X73" s="577">
        <f>参数输入表!$I$205</f>
        <v>0</v>
      </c>
      <c r="Y73" s="577">
        <f>参数输入表!$I$206</f>
        <v>0</v>
      </c>
      <c r="Z73" s="577">
        <f>参数输入表!$I$207</f>
        <v>0</v>
      </c>
      <c r="AA73" s="577">
        <f>参数输入表!$I$208</f>
        <v>0</v>
      </c>
      <c r="AB73" s="577">
        <f>参数输入表!$I$209</f>
        <v>0</v>
      </c>
      <c r="AC73" s="577">
        <f>参数输入表!$I$210</f>
        <v>0</v>
      </c>
      <c r="AD73" s="577">
        <f>参数输入表!$I$211</f>
        <v>0</v>
      </c>
      <c r="AE73" s="577">
        <f>参数输入表!$I$212</f>
        <v>0</v>
      </c>
      <c r="AF73" s="577">
        <f>参数输入表!$I$213</f>
        <v>0</v>
      </c>
    </row>
    <row r="74" spans="2:32">
      <c r="B74" s="245"/>
      <c r="C74" s="300" t="s">
        <v>521</v>
      </c>
      <c r="D74" s="548">
        <f t="shared" si="22"/>
        <v>4700.02606875</v>
      </c>
      <c r="E74" s="18" t="s">
        <v>24</v>
      </c>
      <c r="F74" s="548"/>
      <c r="G74" s="548"/>
      <c r="H74" s="548"/>
      <c r="I74" s="548"/>
      <c r="J74" s="551">
        <f>(J70+J71/2)*参数输入表!$I$156*(12-MONTH(参数输入表!I8))/12</f>
        <v>410.02606875</v>
      </c>
      <c r="K74" s="551">
        <f>(K70+K71/2)*参数输入表!$I$156</f>
        <v>780</v>
      </c>
      <c r="L74" s="551">
        <f>(L70+L71/2)*参数输入表!$I$156</f>
        <v>702</v>
      </c>
      <c r="M74" s="551">
        <f>(M70+M71/2)*参数输入表!$I$156</f>
        <v>624</v>
      </c>
      <c r="N74" s="551">
        <f>(N70+N71/2)*参数输入表!$I$156</f>
        <v>546</v>
      </c>
      <c r="O74" s="551">
        <f>(O70+O71/2)*参数输入表!$I$156</f>
        <v>468</v>
      </c>
      <c r="P74" s="551">
        <f>(P70+P71/2)*参数输入表!$I$156</f>
        <v>390</v>
      </c>
      <c r="Q74" s="551">
        <f>(Q70+Q71/2)*参数输入表!$I$156</f>
        <v>312</v>
      </c>
      <c r="R74" s="551">
        <f>(R70+R71/2)*参数输入表!$I$156</f>
        <v>234</v>
      </c>
      <c r="S74" s="551">
        <f>(S70+S71/2)*参数输入表!$I$156</f>
        <v>156</v>
      </c>
      <c r="T74" s="551">
        <f>(T70+T71/2)*参数输入表!$I$156</f>
        <v>78</v>
      </c>
      <c r="U74" s="551">
        <f>(U70+U71/2)*参数输入表!$I$156</f>
        <v>0</v>
      </c>
      <c r="V74" s="551">
        <f>(V70+V71/2)*参数输入表!$I$156</f>
        <v>0</v>
      </c>
      <c r="W74" s="551">
        <f>(W70+W71/2)*参数输入表!$I$156</f>
        <v>0</v>
      </c>
      <c r="X74" s="551">
        <f>(X70+X71/2)*参数输入表!$I$156</f>
        <v>0</v>
      </c>
      <c r="Y74" s="551">
        <f>(Y70+Y71/2)*参数输入表!$I$156</f>
        <v>0</v>
      </c>
      <c r="Z74" s="551">
        <f>(Z70+Z71/2)*参数输入表!$I$156</f>
        <v>0</v>
      </c>
      <c r="AA74" s="551">
        <f>(AA70+AA71/2)*参数输入表!$I$156</f>
        <v>0</v>
      </c>
      <c r="AB74" s="551">
        <f>(AB70+AB71/2)*参数输入表!$I$156</f>
        <v>0</v>
      </c>
      <c r="AC74" s="551">
        <f>(AC70+AC71/2)*参数输入表!$I$156</f>
        <v>0</v>
      </c>
      <c r="AD74" s="551">
        <f>(AD70+AD71/2)*参数输入表!$I$156</f>
        <v>0</v>
      </c>
      <c r="AE74" s="551">
        <f>(AE70+AE71/2)*参数输入表!$I$156</f>
        <v>0</v>
      </c>
      <c r="AF74" s="551">
        <f>(AF70+AF71/2)*参数输入表!$I$156*MONTH(参数输入表!$I$6)/12</f>
        <v>0</v>
      </c>
    </row>
    <row r="75" spans="2:32">
      <c r="B75" s="245">
        <v>4</v>
      </c>
      <c r="C75" s="36" t="s">
        <v>522</v>
      </c>
      <c r="D75" s="568">
        <f>AF75</f>
        <v>0</v>
      </c>
      <c r="E75" s="18" t="s">
        <v>24</v>
      </c>
      <c r="F75" s="548"/>
      <c r="G75" s="548"/>
      <c r="H75" s="548"/>
      <c r="I75" s="577">
        <f>'表10-资产负债表(标准格式)'!H84+'表10-资产负债表(标准格式)'!H88</f>
        <v>27335.07125</v>
      </c>
      <c r="J75" s="548">
        <f t="shared" ref="J75:AF75" si="24">J70+J71-J73</f>
        <v>26000</v>
      </c>
      <c r="K75" s="548">
        <f t="shared" si="24"/>
        <v>23400</v>
      </c>
      <c r="L75" s="548">
        <f t="shared" si="24"/>
        <v>20800</v>
      </c>
      <c r="M75" s="548">
        <f t="shared" si="24"/>
        <v>18200</v>
      </c>
      <c r="N75" s="548">
        <f t="shared" si="24"/>
        <v>15600</v>
      </c>
      <c r="O75" s="548">
        <f t="shared" si="24"/>
        <v>13000</v>
      </c>
      <c r="P75" s="548">
        <f t="shared" si="24"/>
        <v>10400</v>
      </c>
      <c r="Q75" s="548">
        <f t="shared" si="24"/>
        <v>7800</v>
      </c>
      <c r="R75" s="548">
        <f t="shared" si="24"/>
        <v>5200</v>
      </c>
      <c r="S75" s="548">
        <f t="shared" si="24"/>
        <v>2600</v>
      </c>
      <c r="T75" s="548">
        <f t="shared" si="24"/>
        <v>0</v>
      </c>
      <c r="U75" s="548">
        <f t="shared" si="24"/>
        <v>0</v>
      </c>
      <c r="V75" s="548">
        <f t="shared" si="24"/>
        <v>0</v>
      </c>
      <c r="W75" s="548">
        <f t="shared" si="24"/>
        <v>0</v>
      </c>
      <c r="X75" s="548">
        <f t="shared" si="24"/>
        <v>0</v>
      </c>
      <c r="Y75" s="548">
        <f t="shared" si="24"/>
        <v>0</v>
      </c>
      <c r="Z75" s="548">
        <f t="shared" si="24"/>
        <v>0</v>
      </c>
      <c r="AA75" s="548">
        <f t="shared" si="24"/>
        <v>0</v>
      </c>
      <c r="AB75" s="548">
        <f t="shared" si="24"/>
        <v>0</v>
      </c>
      <c r="AC75" s="548">
        <f t="shared" si="24"/>
        <v>0</v>
      </c>
      <c r="AD75" s="548">
        <f t="shared" si="24"/>
        <v>0</v>
      </c>
      <c r="AE75" s="548">
        <f t="shared" si="24"/>
        <v>0</v>
      </c>
      <c r="AF75" s="548">
        <f t="shared" si="24"/>
        <v>0</v>
      </c>
    </row>
    <row r="77" spans="2:32">
      <c r="B77" s="581" t="s">
        <v>527</v>
      </c>
      <c r="C77" s="567"/>
      <c r="D77" s="567"/>
      <c r="E77" s="567"/>
      <c r="F77" s="567"/>
      <c r="G77" s="567"/>
      <c r="H77" s="567"/>
      <c r="I77" s="567"/>
      <c r="J77" s="567"/>
      <c r="K77" s="567"/>
      <c r="L77" s="567"/>
      <c r="M77" s="567"/>
      <c r="N77" s="567"/>
      <c r="O77" s="567"/>
      <c r="P77" s="567"/>
      <c r="Q77" s="567"/>
      <c r="R77" s="567"/>
      <c r="S77" s="567"/>
      <c r="T77" s="567"/>
      <c r="U77" s="567"/>
      <c r="V77" s="567"/>
      <c r="W77" s="567"/>
      <c r="X77" s="567"/>
      <c r="Y77" s="567"/>
      <c r="Z77" s="567"/>
      <c r="AA77" s="567"/>
      <c r="AB77" s="567"/>
      <c r="AC77" s="567"/>
      <c r="AD77" s="567"/>
      <c r="AE77" s="567"/>
      <c r="AF77" s="567"/>
    </row>
    <row r="78" spans="2:32">
      <c r="B78" s="563" t="s">
        <v>15</v>
      </c>
      <c r="C78" s="563" t="s">
        <v>463</v>
      </c>
      <c r="D78" s="563" t="s">
        <v>17</v>
      </c>
      <c r="E78" s="563" t="s">
        <v>18</v>
      </c>
      <c r="F78" s="10" t="s">
        <v>464</v>
      </c>
      <c r="G78" s="10" t="s">
        <v>465</v>
      </c>
      <c r="H78" s="10" t="s">
        <v>466</v>
      </c>
      <c r="I78" s="37">
        <v>45107</v>
      </c>
      <c r="J78" s="37">
        <v>45261</v>
      </c>
      <c r="K78" s="10" t="s">
        <v>20</v>
      </c>
      <c r="L78" s="10" t="s">
        <v>467</v>
      </c>
      <c r="M78" s="10" t="s">
        <v>468</v>
      </c>
      <c r="N78" s="10" t="s">
        <v>469</v>
      </c>
      <c r="O78" s="10" t="s">
        <v>470</v>
      </c>
      <c r="P78" s="10" t="s">
        <v>471</v>
      </c>
      <c r="Q78" s="10" t="s">
        <v>472</v>
      </c>
      <c r="R78" s="10" t="s">
        <v>473</v>
      </c>
      <c r="S78" s="10" t="s">
        <v>474</v>
      </c>
      <c r="T78" s="10" t="s">
        <v>475</v>
      </c>
      <c r="U78" s="10" t="s">
        <v>476</v>
      </c>
      <c r="V78" s="10" t="s">
        <v>477</v>
      </c>
      <c r="W78" s="10" t="s">
        <v>478</v>
      </c>
      <c r="X78" s="10" t="s">
        <v>479</v>
      </c>
      <c r="Y78" s="10" t="s">
        <v>480</v>
      </c>
      <c r="Z78" s="10" t="s">
        <v>481</v>
      </c>
      <c r="AA78" s="10" t="s">
        <v>482</v>
      </c>
      <c r="AB78" s="10" t="s">
        <v>483</v>
      </c>
      <c r="AC78" s="10" t="s">
        <v>484</v>
      </c>
      <c r="AD78" s="10" t="s">
        <v>485</v>
      </c>
      <c r="AE78" s="10" t="s">
        <v>486</v>
      </c>
      <c r="AF78" s="37">
        <v>53051</v>
      </c>
    </row>
    <row r="79" spans="2:32">
      <c r="B79" s="563"/>
      <c r="C79" s="563"/>
      <c r="D79" s="563"/>
      <c r="E79" s="563"/>
      <c r="F79" s="14">
        <v>1</v>
      </c>
      <c r="G79" s="14">
        <v>2</v>
      </c>
      <c r="H79" s="14">
        <v>3</v>
      </c>
      <c r="I79" s="14">
        <v>4</v>
      </c>
      <c r="J79" s="38">
        <v>5</v>
      </c>
      <c r="K79" s="38">
        <v>6</v>
      </c>
      <c r="L79" s="38">
        <v>7</v>
      </c>
      <c r="M79" s="38">
        <v>8</v>
      </c>
      <c r="N79" s="38">
        <v>9</v>
      </c>
      <c r="O79" s="38">
        <v>10</v>
      </c>
      <c r="P79" s="38">
        <v>11</v>
      </c>
      <c r="Q79" s="38">
        <v>12</v>
      </c>
      <c r="R79" s="38">
        <v>13</v>
      </c>
      <c r="S79" s="38">
        <v>14</v>
      </c>
      <c r="T79" s="38">
        <v>15</v>
      </c>
      <c r="U79" s="38">
        <v>16</v>
      </c>
      <c r="V79" s="38">
        <v>17</v>
      </c>
      <c r="W79" s="38">
        <v>18</v>
      </c>
      <c r="X79" s="38">
        <v>19</v>
      </c>
      <c r="Y79" s="38">
        <v>20</v>
      </c>
      <c r="Z79" s="38">
        <v>21</v>
      </c>
      <c r="AA79" s="38">
        <v>22</v>
      </c>
      <c r="AB79" s="38">
        <v>23</v>
      </c>
      <c r="AC79" s="38">
        <v>24</v>
      </c>
      <c r="AD79" s="38">
        <v>25</v>
      </c>
      <c r="AE79" s="38">
        <v>26</v>
      </c>
      <c r="AF79" s="38">
        <v>27</v>
      </c>
    </row>
    <row r="80" spans="2:32">
      <c r="B80" s="18">
        <v>1</v>
      </c>
      <c r="C80" s="21" t="s">
        <v>517</v>
      </c>
      <c r="D80" s="548"/>
      <c r="E80" s="18" t="s">
        <v>24</v>
      </c>
      <c r="F80" s="548"/>
      <c r="G80" s="548"/>
      <c r="H80" s="548"/>
      <c r="I80" s="548"/>
      <c r="J80" s="548">
        <f>I85</f>
        <v>11109.157916</v>
      </c>
      <c r="K80" s="548">
        <f t="shared" ref="K80:AF80" si="25">J85</f>
        <v>11609.157916</v>
      </c>
      <c r="L80" s="548">
        <f t="shared" si="25"/>
        <v>11609.157916</v>
      </c>
      <c r="M80" s="548">
        <f t="shared" si="25"/>
        <v>11609.157916</v>
      </c>
      <c r="N80" s="548">
        <f t="shared" si="25"/>
        <v>11109.157916</v>
      </c>
      <c r="O80" s="548">
        <f t="shared" si="25"/>
        <v>11109.157916</v>
      </c>
      <c r="P80" s="548">
        <f t="shared" si="25"/>
        <v>11109.157916</v>
      </c>
      <c r="Q80" s="548">
        <f t="shared" si="25"/>
        <v>11109.157916</v>
      </c>
      <c r="R80" s="548">
        <f t="shared" si="25"/>
        <v>11109.157916</v>
      </c>
      <c r="S80" s="548">
        <f t="shared" si="25"/>
        <v>11109.157916</v>
      </c>
      <c r="T80" s="548">
        <f t="shared" si="25"/>
        <v>11109.157916</v>
      </c>
      <c r="U80" s="548">
        <f t="shared" si="25"/>
        <v>11109.157916</v>
      </c>
      <c r="V80" s="548">
        <f t="shared" si="25"/>
        <v>11109.157916</v>
      </c>
      <c r="W80" s="548">
        <f t="shared" si="25"/>
        <v>11109.157916</v>
      </c>
      <c r="X80" s="548">
        <f t="shared" si="25"/>
        <v>11109.157916</v>
      </c>
      <c r="Y80" s="548">
        <f t="shared" si="25"/>
        <v>11109.157916</v>
      </c>
      <c r="Z80" s="548">
        <f t="shared" si="25"/>
        <v>11109.157916</v>
      </c>
      <c r="AA80" s="548">
        <f t="shared" si="25"/>
        <v>11109.157916</v>
      </c>
      <c r="AB80" s="548">
        <f t="shared" si="25"/>
        <v>11109.157916</v>
      </c>
      <c r="AC80" s="548">
        <f t="shared" si="25"/>
        <v>0</v>
      </c>
      <c r="AD80" s="548">
        <f t="shared" si="25"/>
        <v>0</v>
      </c>
      <c r="AE80" s="548">
        <f t="shared" si="25"/>
        <v>0</v>
      </c>
      <c r="AF80" s="548">
        <f t="shared" si="25"/>
        <v>0</v>
      </c>
    </row>
    <row r="81" spans="2:32">
      <c r="B81" s="18">
        <v>2</v>
      </c>
      <c r="C81" s="21" t="s">
        <v>518</v>
      </c>
      <c r="D81" s="548">
        <f>SUM(F81:AF81)</f>
        <v>1500</v>
      </c>
      <c r="E81" s="18" t="s">
        <v>24</v>
      </c>
      <c r="F81" s="548"/>
      <c r="G81" s="548"/>
      <c r="H81" s="548"/>
      <c r="I81" s="548"/>
      <c r="J81" s="548">
        <f>参数输入表!$I$236</f>
        <v>500</v>
      </c>
      <c r="K81" s="548">
        <f>参数输入表!$I$237</f>
        <v>500</v>
      </c>
      <c r="L81" s="548">
        <f>参数输入表!$I$238</f>
        <v>500</v>
      </c>
      <c r="M81" s="548">
        <f>参数输入表!$I$239</f>
        <v>0</v>
      </c>
      <c r="N81" s="548">
        <f>参数输入表!$I$240</f>
        <v>0</v>
      </c>
      <c r="O81" s="548">
        <f>参数输入表!$I$241</f>
        <v>0</v>
      </c>
      <c r="P81" s="548">
        <f>参数输入表!$I$242</f>
        <v>0</v>
      </c>
      <c r="Q81" s="548">
        <f>参数输入表!$I$243</f>
        <v>0</v>
      </c>
      <c r="R81" s="548">
        <f>参数输入表!$I$244</f>
        <v>0</v>
      </c>
      <c r="S81" s="548">
        <f>参数输入表!$I$245</f>
        <v>0</v>
      </c>
      <c r="T81" s="548">
        <f>参数输入表!$I$246</f>
        <v>0</v>
      </c>
      <c r="U81" s="548">
        <f>参数输入表!$I$247</f>
        <v>0</v>
      </c>
      <c r="V81" s="548">
        <f>参数输入表!$I$248</f>
        <v>0</v>
      </c>
      <c r="W81" s="548">
        <f>参数输入表!$I$249</f>
        <v>0</v>
      </c>
      <c r="X81" s="548">
        <f>参数输入表!$I$250</f>
        <v>0</v>
      </c>
      <c r="Y81" s="548">
        <f>参数输入表!$I$251</f>
        <v>0</v>
      </c>
      <c r="Z81" s="548">
        <f>参数输入表!$I$252</f>
        <v>0</v>
      </c>
      <c r="AA81" s="548">
        <f>参数输入表!$I$253</f>
        <v>0</v>
      </c>
      <c r="AB81" s="548">
        <f>参数输入表!$I$254</f>
        <v>0</v>
      </c>
      <c r="AC81" s="548">
        <f>参数输入表!$I$255</f>
        <v>0</v>
      </c>
      <c r="AD81" s="548">
        <f>参数输入表!$I$256</f>
        <v>0</v>
      </c>
      <c r="AE81" s="548">
        <f>参数输入表!$I$257</f>
        <v>0</v>
      </c>
      <c r="AF81" s="548">
        <f>参数输入表!$I$258</f>
        <v>0</v>
      </c>
    </row>
    <row r="82" spans="2:32">
      <c r="B82" s="18">
        <v>3</v>
      </c>
      <c r="C82" s="21" t="s">
        <v>519</v>
      </c>
      <c r="D82" s="548">
        <f>SUM(F82:AF82)</f>
        <v>20210.991798779</v>
      </c>
      <c r="E82" s="18" t="s">
        <v>24</v>
      </c>
      <c r="F82" s="548"/>
      <c r="G82" s="548"/>
      <c r="H82" s="548"/>
      <c r="I82" s="548"/>
      <c r="J82" s="548">
        <f t="shared" ref="J82:AF82" si="26">SUM(J83:J84)</f>
        <v>211.867131967</v>
      </c>
      <c r="K82" s="548">
        <f t="shared" si="26"/>
        <v>941.984263934</v>
      </c>
      <c r="L82" s="548">
        <f t="shared" si="26"/>
        <v>941.984263934</v>
      </c>
      <c r="M82" s="548">
        <f t="shared" si="26"/>
        <v>923.734263934</v>
      </c>
      <c r="N82" s="548">
        <f t="shared" si="26"/>
        <v>405.484263934</v>
      </c>
      <c r="O82" s="548">
        <f t="shared" si="26"/>
        <v>405.484263934</v>
      </c>
      <c r="P82" s="548">
        <f t="shared" si="26"/>
        <v>405.484263934</v>
      </c>
      <c r="Q82" s="548">
        <f t="shared" si="26"/>
        <v>405.484263934</v>
      </c>
      <c r="R82" s="548">
        <f t="shared" si="26"/>
        <v>405.484263934</v>
      </c>
      <c r="S82" s="548">
        <f t="shared" si="26"/>
        <v>405.484263934</v>
      </c>
      <c r="T82" s="548">
        <f t="shared" si="26"/>
        <v>405.484263934</v>
      </c>
      <c r="U82" s="548">
        <f t="shared" si="26"/>
        <v>405.484263934</v>
      </c>
      <c r="V82" s="548">
        <f t="shared" si="26"/>
        <v>405.484263934</v>
      </c>
      <c r="W82" s="548">
        <f t="shared" si="26"/>
        <v>405.484263934</v>
      </c>
      <c r="X82" s="548">
        <f t="shared" si="26"/>
        <v>405.484263934</v>
      </c>
      <c r="Y82" s="548">
        <f t="shared" si="26"/>
        <v>405.484263934</v>
      </c>
      <c r="Z82" s="548">
        <f t="shared" si="26"/>
        <v>405.484263934</v>
      </c>
      <c r="AA82" s="548">
        <f t="shared" si="26"/>
        <v>405.484263934</v>
      </c>
      <c r="AB82" s="548">
        <f t="shared" si="26"/>
        <v>11514.642179934</v>
      </c>
      <c r="AC82" s="548">
        <f t="shared" si="26"/>
        <v>0</v>
      </c>
      <c r="AD82" s="548">
        <f t="shared" si="26"/>
        <v>0</v>
      </c>
      <c r="AE82" s="548">
        <f t="shared" si="26"/>
        <v>0</v>
      </c>
      <c r="AF82" s="548">
        <f t="shared" si="26"/>
        <v>0</v>
      </c>
    </row>
    <row r="83" ht="16.05" customHeight="1" spans="2:32">
      <c r="B83" s="18"/>
      <c r="C83" s="24" t="s">
        <v>525</v>
      </c>
      <c r="D83" s="548">
        <f>SUM(F83:AF83)</f>
        <v>12609.157916</v>
      </c>
      <c r="E83" s="18" t="s">
        <v>24</v>
      </c>
      <c r="F83" s="548"/>
      <c r="G83" s="548"/>
      <c r="H83" s="548"/>
      <c r="I83" s="548"/>
      <c r="J83" s="548">
        <f>参数输入表!$I$264</f>
        <v>0</v>
      </c>
      <c r="K83" s="548">
        <f>参数输入表!$I$265</f>
        <v>500</v>
      </c>
      <c r="L83" s="548">
        <f>参数输入表!$I$266</f>
        <v>500</v>
      </c>
      <c r="M83" s="548">
        <f>参数输入表!$I$267</f>
        <v>500</v>
      </c>
      <c r="N83" s="548">
        <f>参数输入表!$I$268</f>
        <v>0</v>
      </c>
      <c r="O83" s="548">
        <f>参数输入表!$I$269</f>
        <v>0</v>
      </c>
      <c r="P83" s="548">
        <f>参数输入表!$I$270</f>
        <v>0</v>
      </c>
      <c r="Q83" s="548">
        <f>参数输入表!$I$271</f>
        <v>0</v>
      </c>
      <c r="R83" s="548">
        <f>参数输入表!$I$272</f>
        <v>0</v>
      </c>
      <c r="S83" s="548">
        <f>参数输入表!$I$273</f>
        <v>0</v>
      </c>
      <c r="T83" s="548">
        <f>参数输入表!$I$274</f>
        <v>0</v>
      </c>
      <c r="U83" s="548">
        <f>参数输入表!$I$275</f>
        <v>0</v>
      </c>
      <c r="V83" s="548">
        <f>参数输入表!$I$276</f>
        <v>0</v>
      </c>
      <c r="W83" s="548">
        <f>参数输入表!$I$277</f>
        <v>0</v>
      </c>
      <c r="X83" s="548">
        <f>参数输入表!$I$278</f>
        <v>0</v>
      </c>
      <c r="Y83" s="548">
        <f>参数输入表!$I$279</f>
        <v>0</v>
      </c>
      <c r="Z83" s="548">
        <f>参数输入表!$I$280</f>
        <v>0</v>
      </c>
      <c r="AA83" s="548">
        <f>参数输入表!$I$281</f>
        <v>0</v>
      </c>
      <c r="AB83" s="548">
        <f>参数输入表!$I$282</f>
        <v>11109.157916</v>
      </c>
      <c r="AC83" s="548">
        <f>参数输入表!$I$283</f>
        <v>0</v>
      </c>
      <c r="AD83" s="548">
        <f>参数输入表!$I$284</f>
        <v>0</v>
      </c>
      <c r="AE83" s="548">
        <f>参数输入表!$I$285</f>
        <v>0</v>
      </c>
      <c r="AF83" s="548">
        <f>参数输入表!$I$286</f>
        <v>0</v>
      </c>
    </row>
    <row r="84" spans="2:32">
      <c r="B84" s="18"/>
      <c r="C84" s="25" t="s">
        <v>521</v>
      </c>
      <c r="D84" s="548">
        <f>SUM(F84:AF84)</f>
        <v>7601.833882779</v>
      </c>
      <c r="E84" s="18" t="s">
        <v>24</v>
      </c>
      <c r="F84" s="548"/>
      <c r="G84" s="548"/>
      <c r="H84" s="548"/>
      <c r="I84" s="548"/>
      <c r="J84" s="548">
        <f>(J80+J81)*参数输入表!$I$220*(12-MONTH(参数输入表!I8))/12</f>
        <v>211.867131967</v>
      </c>
      <c r="K84" s="548">
        <f>(K80+K81)*参数输入表!$I$220</f>
        <v>441.984263934</v>
      </c>
      <c r="L84" s="548">
        <f>(L80+L81)*参数输入表!$I$220</f>
        <v>441.984263934</v>
      </c>
      <c r="M84" s="548">
        <f>(M80+M81)*参数输入表!$I$220</f>
        <v>423.734263934</v>
      </c>
      <c r="N84" s="548">
        <f>(N80+N81)*参数输入表!$I$220</f>
        <v>405.484263934</v>
      </c>
      <c r="O84" s="548">
        <f>(O80+O81)*参数输入表!$I$220</f>
        <v>405.484263934</v>
      </c>
      <c r="P84" s="548">
        <f>(P80+P81)*参数输入表!$I$220</f>
        <v>405.484263934</v>
      </c>
      <c r="Q84" s="548">
        <f>(Q80+Q81)*参数输入表!$I$220</f>
        <v>405.484263934</v>
      </c>
      <c r="R84" s="548">
        <f>(R80+R81)*参数输入表!$I$220</f>
        <v>405.484263934</v>
      </c>
      <c r="S84" s="548">
        <f>(S80+S81)*参数输入表!$I$220</f>
        <v>405.484263934</v>
      </c>
      <c r="T84" s="548">
        <f>(T80+T81)*参数输入表!$I$220</f>
        <v>405.484263934</v>
      </c>
      <c r="U84" s="548">
        <f>(U80+U81)*参数输入表!$I$220</f>
        <v>405.484263934</v>
      </c>
      <c r="V84" s="548">
        <f>(V80+V81)*参数输入表!$I$220</f>
        <v>405.484263934</v>
      </c>
      <c r="W84" s="548">
        <f>(W80+W81)*参数输入表!$I$220</f>
        <v>405.484263934</v>
      </c>
      <c r="X84" s="548">
        <f>(X80+X81)*参数输入表!$I$220</f>
        <v>405.484263934</v>
      </c>
      <c r="Y84" s="548">
        <f>(Y80+Y81)*参数输入表!$I$220</f>
        <v>405.484263934</v>
      </c>
      <c r="Z84" s="548">
        <f>(Z80+Z81)*参数输入表!$I$220</f>
        <v>405.484263934</v>
      </c>
      <c r="AA84" s="548">
        <f>(AA80+AA81)*参数输入表!$I$220</f>
        <v>405.484263934</v>
      </c>
      <c r="AB84" s="548">
        <f>(AB80+AB81)*参数输入表!$I$220</f>
        <v>405.484263934</v>
      </c>
      <c r="AC84" s="548">
        <f>(AC80+AC81)*参数输入表!$I$220</f>
        <v>0</v>
      </c>
      <c r="AD84" s="548">
        <f>(AD80+AD81)*参数输入表!$I$220</f>
        <v>0</v>
      </c>
      <c r="AE84" s="548">
        <f>(AE80+AE81)*参数输入表!$I$220</f>
        <v>0</v>
      </c>
      <c r="AF84" s="577">
        <f>(AF80+AF81)*参数输入表!$I$220*MONTH(参数输入表!$I$6)/12</f>
        <v>0</v>
      </c>
    </row>
    <row r="85" spans="2:32">
      <c r="B85" s="18">
        <v>4</v>
      </c>
      <c r="C85" s="21" t="s">
        <v>522</v>
      </c>
      <c r="D85" s="568">
        <f>AF85</f>
        <v>0</v>
      </c>
      <c r="E85" s="18" t="s">
        <v>24</v>
      </c>
      <c r="F85" s="548"/>
      <c r="G85" s="548"/>
      <c r="H85" s="548"/>
      <c r="I85" s="577">
        <f>'表10-资产负债表(标准格式)'!H59</f>
        <v>11109.157916</v>
      </c>
      <c r="J85" s="548">
        <f t="shared" ref="J85:AF85" si="27">J80+J81-J83</f>
        <v>11609.157916</v>
      </c>
      <c r="K85" s="548">
        <f t="shared" si="27"/>
        <v>11609.157916</v>
      </c>
      <c r="L85" s="548">
        <f t="shared" si="27"/>
        <v>11609.157916</v>
      </c>
      <c r="M85" s="548">
        <f t="shared" si="27"/>
        <v>11109.157916</v>
      </c>
      <c r="N85" s="548">
        <f t="shared" si="27"/>
        <v>11109.157916</v>
      </c>
      <c r="O85" s="548">
        <f t="shared" si="27"/>
        <v>11109.157916</v>
      </c>
      <c r="P85" s="548">
        <f t="shared" si="27"/>
        <v>11109.157916</v>
      </c>
      <c r="Q85" s="548">
        <f t="shared" si="27"/>
        <v>11109.157916</v>
      </c>
      <c r="R85" s="548">
        <f t="shared" si="27"/>
        <v>11109.157916</v>
      </c>
      <c r="S85" s="548">
        <f t="shared" si="27"/>
        <v>11109.157916</v>
      </c>
      <c r="T85" s="548">
        <f t="shared" si="27"/>
        <v>11109.157916</v>
      </c>
      <c r="U85" s="548">
        <f t="shared" si="27"/>
        <v>11109.157916</v>
      </c>
      <c r="V85" s="548">
        <f t="shared" si="27"/>
        <v>11109.157916</v>
      </c>
      <c r="W85" s="548">
        <f t="shared" si="27"/>
        <v>11109.157916</v>
      </c>
      <c r="X85" s="548">
        <f t="shared" si="27"/>
        <v>11109.157916</v>
      </c>
      <c r="Y85" s="548">
        <f t="shared" si="27"/>
        <v>11109.157916</v>
      </c>
      <c r="Z85" s="548">
        <f t="shared" si="27"/>
        <v>11109.157916</v>
      </c>
      <c r="AA85" s="548">
        <f t="shared" si="27"/>
        <v>11109.157916</v>
      </c>
      <c r="AB85" s="548">
        <f t="shared" si="27"/>
        <v>0</v>
      </c>
      <c r="AC85" s="548">
        <f t="shared" si="27"/>
        <v>0</v>
      </c>
      <c r="AD85" s="548">
        <f t="shared" si="27"/>
        <v>0</v>
      </c>
      <c r="AE85" s="548">
        <f t="shared" si="27"/>
        <v>0</v>
      </c>
      <c r="AF85" s="548">
        <f t="shared" si="27"/>
        <v>0</v>
      </c>
    </row>
    <row r="87" spans="2:32">
      <c r="B87" s="581" t="s">
        <v>528</v>
      </c>
      <c r="C87" s="567"/>
      <c r="D87" s="567"/>
      <c r="E87" s="567"/>
      <c r="F87" s="567"/>
      <c r="G87" s="567"/>
      <c r="H87" s="567"/>
      <c r="I87" s="567"/>
      <c r="J87" s="567"/>
      <c r="K87" s="567"/>
      <c r="L87" s="567"/>
      <c r="M87" s="567"/>
      <c r="N87" s="567"/>
      <c r="O87" s="567"/>
      <c r="P87" s="567"/>
      <c r="Q87" s="567"/>
      <c r="R87" s="567"/>
      <c r="S87" s="567"/>
      <c r="T87" s="567"/>
      <c r="U87" s="567"/>
      <c r="V87" s="567"/>
      <c r="W87" s="567"/>
      <c r="X87" s="567"/>
      <c r="Y87" s="567"/>
      <c r="Z87" s="567"/>
      <c r="AA87" s="567"/>
      <c r="AB87" s="567"/>
      <c r="AC87" s="567"/>
      <c r="AD87" s="567"/>
      <c r="AE87" s="567"/>
      <c r="AF87" s="567"/>
    </row>
    <row r="88" spans="2:32">
      <c r="B88" s="563" t="s">
        <v>15</v>
      </c>
      <c r="C88" s="563" t="s">
        <v>463</v>
      </c>
      <c r="D88" s="563" t="s">
        <v>17</v>
      </c>
      <c r="E88" s="563" t="s">
        <v>18</v>
      </c>
      <c r="F88" s="10" t="s">
        <v>464</v>
      </c>
      <c r="G88" s="10" t="s">
        <v>465</v>
      </c>
      <c r="H88" s="10" t="s">
        <v>466</v>
      </c>
      <c r="I88" s="37">
        <v>45107</v>
      </c>
      <c r="J88" s="37">
        <v>45261</v>
      </c>
      <c r="K88" s="10" t="s">
        <v>20</v>
      </c>
      <c r="L88" s="10" t="s">
        <v>467</v>
      </c>
      <c r="M88" s="10" t="s">
        <v>468</v>
      </c>
      <c r="N88" s="10" t="s">
        <v>469</v>
      </c>
      <c r="O88" s="10" t="s">
        <v>470</v>
      </c>
      <c r="P88" s="10" t="s">
        <v>471</v>
      </c>
      <c r="Q88" s="10" t="s">
        <v>472</v>
      </c>
      <c r="R88" s="10" t="s">
        <v>473</v>
      </c>
      <c r="S88" s="10" t="s">
        <v>474</v>
      </c>
      <c r="T88" s="10" t="s">
        <v>475</v>
      </c>
      <c r="U88" s="10" t="s">
        <v>476</v>
      </c>
      <c r="V88" s="10" t="s">
        <v>477</v>
      </c>
      <c r="W88" s="10" t="s">
        <v>478</v>
      </c>
      <c r="X88" s="10" t="s">
        <v>479</v>
      </c>
      <c r="Y88" s="10" t="s">
        <v>480</v>
      </c>
      <c r="Z88" s="10" t="s">
        <v>481</v>
      </c>
      <c r="AA88" s="10" t="s">
        <v>482</v>
      </c>
      <c r="AB88" s="10" t="s">
        <v>483</v>
      </c>
      <c r="AC88" s="10" t="s">
        <v>484</v>
      </c>
      <c r="AD88" s="10" t="s">
        <v>485</v>
      </c>
      <c r="AE88" s="10" t="s">
        <v>486</v>
      </c>
      <c r="AF88" s="37">
        <v>53051</v>
      </c>
    </row>
    <row r="89" spans="2:32">
      <c r="B89" s="563"/>
      <c r="C89" s="563"/>
      <c r="D89" s="563"/>
      <c r="E89" s="563"/>
      <c r="F89" s="14">
        <v>1</v>
      </c>
      <c r="G89" s="14">
        <v>2</v>
      </c>
      <c r="H89" s="14">
        <v>3</v>
      </c>
      <c r="I89" s="14">
        <v>4</v>
      </c>
      <c r="J89" s="38">
        <v>5</v>
      </c>
      <c r="K89" s="38">
        <v>6</v>
      </c>
      <c r="L89" s="38">
        <v>7</v>
      </c>
      <c r="M89" s="38">
        <v>8</v>
      </c>
      <c r="N89" s="38">
        <v>9</v>
      </c>
      <c r="O89" s="38">
        <v>10</v>
      </c>
      <c r="P89" s="38">
        <v>11</v>
      </c>
      <c r="Q89" s="38">
        <v>12</v>
      </c>
      <c r="R89" s="38">
        <v>13</v>
      </c>
      <c r="S89" s="38">
        <v>14</v>
      </c>
      <c r="T89" s="38">
        <v>15</v>
      </c>
      <c r="U89" s="38">
        <v>16</v>
      </c>
      <c r="V89" s="38">
        <v>17</v>
      </c>
      <c r="W89" s="38">
        <v>18</v>
      </c>
      <c r="X89" s="38">
        <v>19</v>
      </c>
      <c r="Y89" s="38">
        <v>20</v>
      </c>
      <c r="Z89" s="38">
        <v>21</v>
      </c>
      <c r="AA89" s="38">
        <v>22</v>
      </c>
      <c r="AB89" s="38">
        <v>23</v>
      </c>
      <c r="AC89" s="38">
        <v>24</v>
      </c>
      <c r="AD89" s="38">
        <v>25</v>
      </c>
      <c r="AE89" s="38">
        <v>26</v>
      </c>
      <c r="AF89" s="38">
        <v>27</v>
      </c>
    </row>
    <row r="90" spans="2:32">
      <c r="B90" s="18">
        <v>1</v>
      </c>
      <c r="C90" s="21" t="s">
        <v>517</v>
      </c>
      <c r="D90" s="548"/>
      <c r="E90" s="18" t="s">
        <v>24</v>
      </c>
      <c r="F90" s="548"/>
      <c r="G90" s="548"/>
      <c r="H90" s="548"/>
      <c r="I90" s="548"/>
      <c r="J90" s="551">
        <f t="shared" ref="J90:J95" si="28">J40+J60+J80+J70</f>
        <v>38444.229166</v>
      </c>
      <c r="K90" s="551">
        <f ca="1" t="shared" ref="K90:AF90" si="29">K40+K60+K80+K70</f>
        <v>69098.000902802</v>
      </c>
      <c r="L90" s="551">
        <f ca="1" t="shared" si="29"/>
        <v>139692.106839493</v>
      </c>
      <c r="M90" s="551">
        <f ca="1" t="shared" si="29"/>
        <v>131979.602981573</v>
      </c>
      <c r="N90" s="551">
        <f ca="1" t="shared" si="29"/>
        <v>123547.261457762</v>
      </c>
      <c r="O90" s="551">
        <f ca="1" t="shared" si="29"/>
        <v>115385.629248428</v>
      </c>
      <c r="P90" s="551">
        <f ca="1" t="shared" si="29"/>
        <v>106984.846854092</v>
      </c>
      <c r="Q90" s="551">
        <f ca="1" t="shared" si="29"/>
        <v>98334.6308167992</v>
      </c>
      <c r="R90" s="551">
        <f ca="1" t="shared" si="29"/>
        <v>89424.2554899031</v>
      </c>
      <c r="S90" s="551">
        <f ca="1" t="shared" si="29"/>
        <v>80242.5340239504</v>
      </c>
      <c r="T90" s="551">
        <f ca="1" t="shared" si="29"/>
        <v>70777.7985349618</v>
      </c>
      <c r="U90" s="551">
        <f ca="1" t="shared" si="29"/>
        <v>61017.8794199467</v>
      </c>
      <c r="V90" s="551">
        <f ca="1" t="shared" si="29"/>
        <v>53550.083782986</v>
      </c>
      <c r="W90" s="551">
        <f ca="1" t="shared" si="29"/>
        <v>45761.1729336359</v>
      </c>
      <c r="X90" s="551">
        <f ca="1" t="shared" si="29"/>
        <v>37637.3389177638</v>
      </c>
      <c r="Y90" s="551">
        <f ca="1" t="shared" si="29"/>
        <v>29164.1800392092</v>
      </c>
      <c r="Z90" s="551">
        <f ca="1" t="shared" si="29"/>
        <v>20326.6753288767</v>
      </c>
      <c r="AA90" s="551">
        <f ca="1" t="shared" si="29"/>
        <v>11109.157916</v>
      </c>
      <c r="AB90" s="551">
        <f ca="1" t="shared" si="29"/>
        <v>11109.157916</v>
      </c>
      <c r="AC90" s="551">
        <f ca="1" t="shared" si="29"/>
        <v>-1.58302864292636e-11</v>
      </c>
      <c r="AD90" s="551">
        <f ca="1" t="shared" si="29"/>
        <v>-1.6510988745722e-11</v>
      </c>
      <c r="AE90" s="551">
        <f ca="1" t="shared" si="29"/>
        <v>-1.7220961261788e-11</v>
      </c>
      <c r="AF90" s="551">
        <f ca="1" t="shared" si="29"/>
        <v>-1.79614625960449e-11</v>
      </c>
    </row>
    <row r="91" spans="2:32">
      <c r="B91" s="18">
        <v>2</v>
      </c>
      <c r="C91" s="21" t="s">
        <v>518</v>
      </c>
      <c r="D91" s="548">
        <f ca="1">SUM(F91:AF91)</f>
        <v>117942.948923493</v>
      </c>
      <c r="E91" s="18" t="s">
        <v>24</v>
      </c>
      <c r="F91" s="548"/>
      <c r="G91" s="548"/>
      <c r="H91" s="548"/>
      <c r="I91" s="548"/>
      <c r="J91" s="551">
        <f ca="1" t="shared" si="28"/>
        <v>31988.842986802</v>
      </c>
      <c r="K91" s="551">
        <f ca="1" t="shared" ref="K91:AF91" si="30">K41+K61+K81+K71</f>
        <v>73694.1059366915</v>
      </c>
      <c r="L91" s="551">
        <f t="shared" si="30"/>
        <v>1060</v>
      </c>
      <c r="M91" s="551">
        <f t="shared" si="30"/>
        <v>560</v>
      </c>
      <c r="N91" s="551">
        <f t="shared" si="30"/>
        <v>560</v>
      </c>
      <c r="O91" s="551">
        <f t="shared" si="30"/>
        <v>560</v>
      </c>
      <c r="P91" s="551">
        <f t="shared" si="30"/>
        <v>560</v>
      </c>
      <c r="Q91" s="551">
        <f t="shared" si="30"/>
        <v>560</v>
      </c>
      <c r="R91" s="551">
        <f t="shared" si="30"/>
        <v>560</v>
      </c>
      <c r="S91" s="551">
        <f t="shared" si="30"/>
        <v>560</v>
      </c>
      <c r="T91" s="551">
        <f t="shared" si="30"/>
        <v>560</v>
      </c>
      <c r="U91" s="551">
        <f t="shared" si="30"/>
        <v>560</v>
      </c>
      <c r="V91" s="551">
        <f t="shared" si="30"/>
        <v>560</v>
      </c>
      <c r="W91" s="551">
        <f t="shared" si="30"/>
        <v>560</v>
      </c>
      <c r="X91" s="551">
        <f t="shared" si="30"/>
        <v>560</v>
      </c>
      <c r="Y91" s="551">
        <f t="shared" si="30"/>
        <v>560</v>
      </c>
      <c r="Z91" s="551">
        <f t="shared" si="30"/>
        <v>560</v>
      </c>
      <c r="AA91" s="551">
        <f t="shared" si="30"/>
        <v>560</v>
      </c>
      <c r="AB91" s="551">
        <f t="shared" si="30"/>
        <v>560</v>
      </c>
      <c r="AC91" s="551">
        <f t="shared" si="30"/>
        <v>560</v>
      </c>
      <c r="AD91" s="551">
        <f t="shared" si="30"/>
        <v>560</v>
      </c>
      <c r="AE91" s="551">
        <f t="shared" si="30"/>
        <v>560</v>
      </c>
      <c r="AF91" s="551">
        <f t="shared" si="30"/>
        <v>560</v>
      </c>
    </row>
    <row r="92" spans="2:32">
      <c r="B92" s="18">
        <v>3</v>
      </c>
      <c r="C92" s="21" t="s">
        <v>519</v>
      </c>
      <c r="D92" s="548">
        <f ca="1">SUM(F92:AF92)</f>
        <v>211307.646279178</v>
      </c>
      <c r="E92" s="18" t="s">
        <v>24</v>
      </c>
      <c r="F92" s="548"/>
      <c r="G92" s="548"/>
      <c r="H92" s="548"/>
      <c r="I92" s="548"/>
      <c r="J92" s="551">
        <f ca="1" t="shared" si="28"/>
        <v>2007.28044761159</v>
      </c>
      <c r="K92" s="551">
        <f ca="1" t="shared" ref="K92:AF92" si="31">K42+K62+K82+K72</f>
        <v>6951.25550423158</v>
      </c>
      <c r="L92" s="551">
        <f ca="1" t="shared" si="31"/>
        <v>14438.2949255645</v>
      </c>
      <c r="M92" s="551">
        <f ca="1" t="shared" si="31"/>
        <v>14342.0449255645</v>
      </c>
      <c r="N92" s="551">
        <f ca="1" t="shared" si="31"/>
        <v>13745.7949255645</v>
      </c>
      <c r="O92" s="551">
        <f ca="1" t="shared" si="31"/>
        <v>13667.7949255645</v>
      </c>
      <c r="P92" s="551">
        <f ca="1" t="shared" si="31"/>
        <v>13589.7949255645</v>
      </c>
      <c r="Q92" s="551">
        <f ca="1" t="shared" si="31"/>
        <v>13511.7949255645</v>
      </c>
      <c r="R92" s="551">
        <f ca="1" t="shared" si="31"/>
        <v>13433.7949255645</v>
      </c>
      <c r="S92" s="551">
        <f ca="1" t="shared" si="31"/>
        <v>13355.7949255645</v>
      </c>
      <c r="T92" s="551">
        <f ca="1" t="shared" si="31"/>
        <v>13277.7949255645</v>
      </c>
      <c r="U92" s="551">
        <f ca="1" t="shared" si="31"/>
        <v>10599.7949255645</v>
      </c>
      <c r="V92" s="551">
        <f ca="1" t="shared" si="31"/>
        <v>10599.7949255645</v>
      </c>
      <c r="W92" s="551">
        <f ca="1" t="shared" si="31"/>
        <v>10599.7949255645</v>
      </c>
      <c r="X92" s="551">
        <f ca="1" t="shared" si="31"/>
        <v>10599.7949255645</v>
      </c>
      <c r="Y92" s="551">
        <f ca="1" t="shared" si="31"/>
        <v>10599.7949255645</v>
      </c>
      <c r="Z92" s="551">
        <f ca="1" t="shared" si="31"/>
        <v>10599.7949255645</v>
      </c>
      <c r="AA92" s="551">
        <f ca="1" t="shared" si="31"/>
        <v>985.924263934</v>
      </c>
      <c r="AB92" s="551">
        <f ca="1" t="shared" si="31"/>
        <v>12095.082179934</v>
      </c>
      <c r="AC92" s="551">
        <f ca="1" t="shared" si="31"/>
        <v>580.44</v>
      </c>
      <c r="AD92" s="551">
        <f ca="1" t="shared" si="31"/>
        <v>580.44</v>
      </c>
      <c r="AE92" s="551">
        <f ca="1" t="shared" si="31"/>
        <v>580.44</v>
      </c>
      <c r="AF92" s="551">
        <f ca="1" t="shared" si="31"/>
        <v>565.11</v>
      </c>
    </row>
    <row r="93" spans="2:32">
      <c r="B93" s="18"/>
      <c r="C93" s="24" t="s">
        <v>525</v>
      </c>
      <c r="D93" s="548">
        <f ca="1">SUM(F93:AF93)</f>
        <v>156387.178089494</v>
      </c>
      <c r="E93" s="18" t="s">
        <v>24</v>
      </c>
      <c r="F93" s="548"/>
      <c r="G93" s="548"/>
      <c r="H93" s="548"/>
      <c r="I93" s="548"/>
      <c r="J93" s="551">
        <f ca="1" t="shared" si="28"/>
        <v>1335.07125</v>
      </c>
      <c r="K93" s="551">
        <f ca="1" t="shared" ref="K93:AF93" si="32">K43+K63+K83+K73</f>
        <v>3100</v>
      </c>
      <c r="L93" s="551">
        <f ca="1" t="shared" si="32"/>
        <v>8772.50385792025</v>
      </c>
      <c r="M93" s="551">
        <f ca="1" t="shared" si="32"/>
        <v>8992.34152381082</v>
      </c>
      <c r="N93" s="551">
        <f ca="1" t="shared" si="32"/>
        <v>8721.63220933469</v>
      </c>
      <c r="O93" s="551">
        <f ca="1" t="shared" si="32"/>
        <v>8960.78239433608</v>
      </c>
      <c r="P93" s="551">
        <f ca="1" t="shared" si="32"/>
        <v>9210.21603729253</v>
      </c>
      <c r="Q93" s="551">
        <f ca="1" t="shared" si="32"/>
        <v>9470.37532689611</v>
      </c>
      <c r="R93" s="551">
        <f ca="1" t="shared" si="32"/>
        <v>9741.72146595264</v>
      </c>
      <c r="S93" s="551">
        <f ca="1" t="shared" si="32"/>
        <v>10024.7354889886</v>
      </c>
      <c r="T93" s="551">
        <f ca="1" t="shared" si="32"/>
        <v>10319.9191150151</v>
      </c>
      <c r="U93" s="551">
        <f ca="1" t="shared" si="32"/>
        <v>8027.79563696076</v>
      </c>
      <c r="V93" s="551">
        <f ca="1" t="shared" si="32"/>
        <v>8348.91084935007</v>
      </c>
      <c r="W93" s="551">
        <f ca="1" t="shared" si="32"/>
        <v>8683.83401587213</v>
      </c>
      <c r="X93" s="551">
        <f ca="1" t="shared" si="32"/>
        <v>9033.15887855463</v>
      </c>
      <c r="Y93" s="551">
        <f ca="1" t="shared" si="32"/>
        <v>9397.50471033247</v>
      </c>
      <c r="Z93" s="551">
        <f ca="1" t="shared" si="32"/>
        <v>9777.51741287677</v>
      </c>
      <c r="AA93" s="551">
        <f ca="1" t="shared" si="32"/>
        <v>560.000000000001</v>
      </c>
      <c r="AB93" s="551">
        <f ca="1" t="shared" si="32"/>
        <v>11669.157916</v>
      </c>
      <c r="AC93" s="551">
        <f ca="1" t="shared" si="32"/>
        <v>560.000000000001</v>
      </c>
      <c r="AD93" s="551">
        <f ca="1" t="shared" si="32"/>
        <v>560.000000000001</v>
      </c>
      <c r="AE93" s="551">
        <f ca="1" t="shared" si="32"/>
        <v>560.000000000001</v>
      </c>
      <c r="AF93" s="551">
        <f ca="1" t="shared" si="32"/>
        <v>560</v>
      </c>
    </row>
    <row r="94" spans="2:32">
      <c r="B94" s="18"/>
      <c r="C94" s="25" t="s">
        <v>521</v>
      </c>
      <c r="D94" s="548">
        <f ca="1">SUM(F94:AF94)</f>
        <v>54920.4681896846</v>
      </c>
      <c r="E94" s="18" t="s">
        <v>24</v>
      </c>
      <c r="F94" s="548"/>
      <c r="G94" s="548"/>
      <c r="H94" s="548"/>
      <c r="I94" s="548"/>
      <c r="J94" s="551">
        <f ca="1" t="shared" si="28"/>
        <v>672.209197611594</v>
      </c>
      <c r="K94" s="551">
        <f ca="1" t="shared" ref="K94:AF94" si="33">K44+K64+K84+K74</f>
        <v>3851.25550423158</v>
      </c>
      <c r="L94" s="551">
        <f ca="1" t="shared" si="33"/>
        <v>5665.79106764422</v>
      </c>
      <c r="M94" s="551">
        <f ca="1" t="shared" si="33"/>
        <v>5349.70340175365</v>
      </c>
      <c r="N94" s="551">
        <f ca="1" t="shared" si="33"/>
        <v>5024.16271622978</v>
      </c>
      <c r="O94" s="551">
        <f ca="1" t="shared" si="33"/>
        <v>4707.01253122839</v>
      </c>
      <c r="P94" s="551">
        <f ca="1" t="shared" si="33"/>
        <v>4379.57888827194</v>
      </c>
      <c r="Q94" s="551">
        <f ca="1" t="shared" si="33"/>
        <v>4041.41959866836</v>
      </c>
      <c r="R94" s="551">
        <f ca="1" t="shared" si="33"/>
        <v>3692.07345961183</v>
      </c>
      <c r="S94" s="551">
        <f ca="1" t="shared" si="33"/>
        <v>3331.05943657587</v>
      </c>
      <c r="T94" s="551">
        <f ca="1" t="shared" si="33"/>
        <v>2957.87581054936</v>
      </c>
      <c r="U94" s="551">
        <f ca="1" t="shared" si="33"/>
        <v>2571.99928860371</v>
      </c>
      <c r="V94" s="551">
        <f ca="1" t="shared" si="33"/>
        <v>2250.8840762144</v>
      </c>
      <c r="W94" s="551">
        <f ca="1" t="shared" si="33"/>
        <v>1915.96090969235</v>
      </c>
      <c r="X94" s="551">
        <f ca="1" t="shared" si="33"/>
        <v>1566.63604700984</v>
      </c>
      <c r="Y94" s="551">
        <f ca="1" t="shared" si="33"/>
        <v>1202.290215232</v>
      </c>
      <c r="Z94" s="551">
        <f ca="1" t="shared" si="33"/>
        <v>822.2775126877</v>
      </c>
      <c r="AA94" s="551">
        <f ca="1" t="shared" si="33"/>
        <v>425.924263933999</v>
      </c>
      <c r="AB94" s="551">
        <f ca="1" t="shared" si="33"/>
        <v>425.924263933999</v>
      </c>
      <c r="AC94" s="551">
        <f ca="1" t="shared" si="33"/>
        <v>20.4399999999993</v>
      </c>
      <c r="AD94" s="551">
        <f ca="1" t="shared" si="33"/>
        <v>20.4399999999993</v>
      </c>
      <c r="AE94" s="551">
        <f ca="1" t="shared" si="33"/>
        <v>20.4399999999993</v>
      </c>
      <c r="AF94" s="551">
        <f ca="1" t="shared" si="33"/>
        <v>5.10999999999981</v>
      </c>
    </row>
    <row r="95" spans="2:32">
      <c r="B95" s="18">
        <v>4</v>
      </c>
      <c r="C95" s="21" t="s">
        <v>522</v>
      </c>
      <c r="D95" s="568">
        <f ca="1">AF95</f>
        <v>-1.81545483189524e-11</v>
      </c>
      <c r="E95" s="18" t="s">
        <v>24</v>
      </c>
      <c r="F95" s="548"/>
      <c r="G95" s="548"/>
      <c r="H95" s="548"/>
      <c r="I95" s="551">
        <f>I45+I65+I85+I75</f>
        <v>38444.229166</v>
      </c>
      <c r="J95" s="551">
        <f ca="1" t="shared" si="28"/>
        <v>69098.000902802</v>
      </c>
      <c r="K95" s="551">
        <f ca="1" t="shared" ref="K95:AF95" si="34">K45+K65+K85+K75</f>
        <v>139692.106839493</v>
      </c>
      <c r="L95" s="551">
        <f ca="1" t="shared" si="34"/>
        <v>131979.602981573</v>
      </c>
      <c r="M95" s="551">
        <f ca="1" t="shared" si="34"/>
        <v>123547.261457762</v>
      </c>
      <c r="N95" s="551">
        <f ca="1" t="shared" si="34"/>
        <v>115385.629248428</v>
      </c>
      <c r="O95" s="551">
        <f ca="1" t="shared" si="34"/>
        <v>106984.846854092</v>
      </c>
      <c r="P95" s="551">
        <f ca="1" t="shared" si="34"/>
        <v>98334.6308167992</v>
      </c>
      <c r="Q95" s="551">
        <f ca="1" t="shared" si="34"/>
        <v>89424.2554899031</v>
      </c>
      <c r="R95" s="551">
        <f ca="1" t="shared" si="34"/>
        <v>80242.5340239504</v>
      </c>
      <c r="S95" s="551">
        <f ca="1" t="shared" si="34"/>
        <v>70777.7985349618</v>
      </c>
      <c r="T95" s="551">
        <f ca="1" t="shared" si="34"/>
        <v>61017.8794199467</v>
      </c>
      <c r="U95" s="551">
        <f ca="1" t="shared" si="34"/>
        <v>53550.083782986</v>
      </c>
      <c r="V95" s="551">
        <f ca="1" t="shared" si="34"/>
        <v>45761.1729336359</v>
      </c>
      <c r="W95" s="551">
        <f ca="1" t="shared" si="34"/>
        <v>37637.3389177638</v>
      </c>
      <c r="X95" s="551">
        <f ca="1" t="shared" si="34"/>
        <v>29164.1800392092</v>
      </c>
      <c r="Y95" s="551">
        <f ca="1" t="shared" si="34"/>
        <v>20326.6753288767</v>
      </c>
      <c r="Z95" s="551">
        <f ca="1" t="shared" si="34"/>
        <v>11109.157916</v>
      </c>
      <c r="AA95" s="551">
        <f ca="1" t="shared" si="34"/>
        <v>11109.157916</v>
      </c>
      <c r="AB95" s="551">
        <f ca="1" t="shared" si="34"/>
        <v>-1.58302864292636e-11</v>
      </c>
      <c r="AC95" s="551">
        <f ca="1" t="shared" si="34"/>
        <v>-1.6510988745722e-11</v>
      </c>
      <c r="AD95" s="551">
        <f ca="1" t="shared" si="34"/>
        <v>-1.7220961261788e-11</v>
      </c>
      <c r="AE95" s="551">
        <f ca="1" t="shared" si="34"/>
        <v>-1.79614625960449e-11</v>
      </c>
      <c r="AF95" s="551">
        <f ca="1" t="shared" si="34"/>
        <v>-1.81545483189524e-11</v>
      </c>
    </row>
    <row r="97" spans="2:32">
      <c r="B97" s="581" t="s">
        <v>529</v>
      </c>
      <c r="C97" s="567"/>
      <c r="D97" s="567"/>
      <c r="E97" s="567"/>
      <c r="F97" s="567"/>
      <c r="G97" s="567"/>
      <c r="H97" s="567"/>
      <c r="I97" s="567"/>
      <c r="J97" s="567"/>
      <c r="K97" s="567"/>
      <c r="L97" s="567"/>
      <c r="M97" s="567"/>
      <c r="N97" s="567"/>
      <c r="O97" s="567"/>
      <c r="P97" s="567"/>
      <c r="Q97" s="567"/>
      <c r="R97" s="567"/>
      <c r="S97" s="567"/>
      <c r="T97" s="567"/>
      <c r="U97" s="567"/>
      <c r="V97" s="567"/>
      <c r="W97" s="567"/>
      <c r="X97" s="567"/>
      <c r="Y97" s="567"/>
      <c r="Z97" s="567"/>
      <c r="AA97" s="567"/>
      <c r="AB97" s="567"/>
      <c r="AC97" s="567"/>
      <c r="AD97" s="567"/>
      <c r="AE97" s="567"/>
      <c r="AF97" s="567"/>
    </row>
    <row r="98" spans="2:32">
      <c r="B98" s="563" t="s">
        <v>15</v>
      </c>
      <c r="C98" s="563" t="s">
        <v>463</v>
      </c>
      <c r="D98" s="563" t="s">
        <v>17</v>
      </c>
      <c r="E98" s="563" t="s">
        <v>18</v>
      </c>
      <c r="F98" s="10" t="s">
        <v>464</v>
      </c>
      <c r="G98" s="10" t="s">
        <v>465</v>
      </c>
      <c r="H98" s="10" t="s">
        <v>466</v>
      </c>
      <c r="I98" s="37">
        <v>45107</v>
      </c>
      <c r="J98" s="37">
        <v>45261</v>
      </c>
      <c r="K98" s="10" t="s">
        <v>20</v>
      </c>
      <c r="L98" s="10" t="s">
        <v>467</v>
      </c>
      <c r="M98" s="10" t="s">
        <v>468</v>
      </c>
      <c r="N98" s="10" t="s">
        <v>469</v>
      </c>
      <c r="O98" s="10" t="s">
        <v>470</v>
      </c>
      <c r="P98" s="10" t="s">
        <v>471</v>
      </c>
      <c r="Q98" s="10" t="s">
        <v>472</v>
      </c>
      <c r="R98" s="10" t="s">
        <v>473</v>
      </c>
      <c r="S98" s="10" t="s">
        <v>474</v>
      </c>
      <c r="T98" s="10" t="s">
        <v>475</v>
      </c>
      <c r="U98" s="10" t="s">
        <v>476</v>
      </c>
      <c r="V98" s="10" t="s">
        <v>477</v>
      </c>
      <c r="W98" s="10" t="s">
        <v>478</v>
      </c>
      <c r="X98" s="10" t="s">
        <v>479</v>
      </c>
      <c r="Y98" s="10" t="s">
        <v>480</v>
      </c>
      <c r="Z98" s="10" t="s">
        <v>481</v>
      </c>
      <c r="AA98" s="10" t="s">
        <v>482</v>
      </c>
      <c r="AB98" s="10" t="s">
        <v>483</v>
      </c>
      <c r="AC98" s="10" t="s">
        <v>484</v>
      </c>
      <c r="AD98" s="10" t="s">
        <v>485</v>
      </c>
      <c r="AE98" s="10" t="s">
        <v>486</v>
      </c>
      <c r="AF98" s="37">
        <v>53051</v>
      </c>
    </row>
    <row r="99" spans="2:32">
      <c r="B99" s="563"/>
      <c r="C99" s="563"/>
      <c r="D99" s="563"/>
      <c r="E99" s="563"/>
      <c r="F99" s="14">
        <v>1</v>
      </c>
      <c r="G99" s="14">
        <v>2</v>
      </c>
      <c r="H99" s="14">
        <v>3</v>
      </c>
      <c r="I99" s="14">
        <v>4</v>
      </c>
      <c r="J99" s="38">
        <v>5</v>
      </c>
      <c r="K99" s="38">
        <v>6</v>
      </c>
      <c r="L99" s="38">
        <v>7</v>
      </c>
      <c r="M99" s="38">
        <v>8</v>
      </c>
      <c r="N99" s="38">
        <v>9</v>
      </c>
      <c r="O99" s="38">
        <v>10</v>
      </c>
      <c r="P99" s="38">
        <v>11</v>
      </c>
      <c r="Q99" s="38">
        <v>12</v>
      </c>
      <c r="R99" s="38">
        <v>13</v>
      </c>
      <c r="S99" s="38">
        <v>14</v>
      </c>
      <c r="T99" s="38">
        <v>15</v>
      </c>
      <c r="U99" s="38">
        <v>16</v>
      </c>
      <c r="V99" s="38">
        <v>17</v>
      </c>
      <c r="W99" s="38">
        <v>18</v>
      </c>
      <c r="X99" s="38">
        <v>19</v>
      </c>
      <c r="Y99" s="38">
        <v>20</v>
      </c>
      <c r="Z99" s="38">
        <v>21</v>
      </c>
      <c r="AA99" s="38">
        <v>22</v>
      </c>
      <c r="AB99" s="38">
        <v>23</v>
      </c>
      <c r="AC99" s="38">
        <v>24</v>
      </c>
      <c r="AD99" s="38">
        <v>25</v>
      </c>
      <c r="AE99" s="38">
        <v>26</v>
      </c>
      <c r="AF99" s="38">
        <v>27</v>
      </c>
    </row>
    <row r="100" spans="2:32">
      <c r="B100" s="18">
        <v>1</v>
      </c>
      <c r="C100" s="21" t="s">
        <v>517</v>
      </c>
      <c r="D100" s="548"/>
      <c r="E100" s="18" t="s">
        <v>24</v>
      </c>
      <c r="F100" s="548"/>
      <c r="G100" s="548"/>
      <c r="H100" s="548"/>
      <c r="I100" s="548"/>
      <c r="J100" s="551">
        <f t="shared" ref="J100:J105" si="35">J50+J60+J80+J70</f>
        <v>38444.229166</v>
      </c>
      <c r="K100" s="551">
        <f ca="1" t="shared" ref="K100:AF100" si="36">K50+K60+K80+K70</f>
        <v>69098.000902802</v>
      </c>
      <c r="L100" s="551">
        <f ca="1" t="shared" si="36"/>
        <v>139692.106839493</v>
      </c>
      <c r="M100" s="551">
        <f ca="1" t="shared" si="36"/>
        <v>130113.243577927</v>
      </c>
      <c r="N100" s="551">
        <f ca="1" t="shared" si="36"/>
        <v>120034.380316361</v>
      </c>
      <c r="O100" s="551">
        <f ca="1" t="shared" si="36"/>
        <v>110455.517054795</v>
      </c>
      <c r="P100" s="551">
        <f ca="1" t="shared" si="36"/>
        <v>100876.653793229</v>
      </c>
      <c r="Q100" s="551">
        <f ca="1" t="shared" si="36"/>
        <v>91297.7905316623</v>
      </c>
      <c r="R100" s="551">
        <f ca="1" t="shared" si="36"/>
        <v>81718.9272700961</v>
      </c>
      <c r="S100" s="551">
        <f ca="1" t="shared" si="36"/>
        <v>72140.0640085298</v>
      </c>
      <c r="T100" s="551">
        <f ca="1" t="shared" si="36"/>
        <v>62561.2007469636</v>
      </c>
      <c r="U100" s="551">
        <f ca="1" t="shared" si="36"/>
        <v>52982.3374853974</v>
      </c>
      <c r="V100" s="551">
        <f ca="1" t="shared" si="36"/>
        <v>46003.4742238311</v>
      </c>
      <c r="W100" s="551">
        <f ca="1" t="shared" si="36"/>
        <v>39024.6109622649</v>
      </c>
      <c r="X100" s="551">
        <f ca="1" t="shared" si="36"/>
        <v>32045.7477006987</v>
      </c>
      <c r="Y100" s="551">
        <f ca="1" t="shared" si="36"/>
        <v>25066.8844391324</v>
      </c>
      <c r="Z100" s="551">
        <f ca="1" t="shared" si="36"/>
        <v>18088.0211775662</v>
      </c>
      <c r="AA100" s="551">
        <f ca="1" t="shared" si="36"/>
        <v>11109.157916</v>
      </c>
      <c r="AB100" s="551">
        <f ca="1" t="shared" si="36"/>
        <v>11109.157916</v>
      </c>
      <c r="AC100" s="551">
        <f ca="1" t="shared" si="36"/>
        <v>-4.00177668780088e-11</v>
      </c>
      <c r="AD100" s="551">
        <f ca="1" t="shared" si="36"/>
        <v>-4.00177668780088e-11</v>
      </c>
      <c r="AE100" s="551">
        <f ca="1" t="shared" si="36"/>
        <v>-4.00177668780088e-11</v>
      </c>
      <c r="AF100" s="551">
        <f ca="1" t="shared" si="36"/>
        <v>-4.00177668780088e-11</v>
      </c>
    </row>
    <row r="101" spans="2:32">
      <c r="B101" s="18">
        <v>2</v>
      </c>
      <c r="C101" s="21" t="s">
        <v>518</v>
      </c>
      <c r="D101" s="548">
        <f ca="1">SUM(F101:AF101)</f>
        <v>117942.948923493</v>
      </c>
      <c r="E101" s="18" t="s">
        <v>24</v>
      </c>
      <c r="F101" s="548"/>
      <c r="G101" s="548"/>
      <c r="H101" s="548"/>
      <c r="I101" s="548"/>
      <c r="J101" s="551">
        <f ca="1" t="shared" si="35"/>
        <v>31988.842986802</v>
      </c>
      <c r="K101" s="551">
        <f ca="1" t="shared" ref="K101:AF101" si="37">K51+K61+K81+K71</f>
        <v>73694.1059366915</v>
      </c>
      <c r="L101" s="551">
        <f t="shared" si="37"/>
        <v>1060</v>
      </c>
      <c r="M101" s="551">
        <f t="shared" si="37"/>
        <v>560</v>
      </c>
      <c r="N101" s="551">
        <f t="shared" si="37"/>
        <v>560</v>
      </c>
      <c r="O101" s="551">
        <f t="shared" si="37"/>
        <v>560</v>
      </c>
      <c r="P101" s="551">
        <f t="shared" si="37"/>
        <v>560</v>
      </c>
      <c r="Q101" s="551">
        <f t="shared" si="37"/>
        <v>560</v>
      </c>
      <c r="R101" s="551">
        <f t="shared" si="37"/>
        <v>560</v>
      </c>
      <c r="S101" s="551">
        <f t="shared" si="37"/>
        <v>560</v>
      </c>
      <c r="T101" s="551">
        <f t="shared" si="37"/>
        <v>560</v>
      </c>
      <c r="U101" s="551">
        <f t="shared" si="37"/>
        <v>560</v>
      </c>
      <c r="V101" s="551">
        <f t="shared" si="37"/>
        <v>560</v>
      </c>
      <c r="W101" s="551">
        <f t="shared" si="37"/>
        <v>560</v>
      </c>
      <c r="X101" s="551">
        <f t="shared" si="37"/>
        <v>560</v>
      </c>
      <c r="Y101" s="551">
        <f t="shared" si="37"/>
        <v>560</v>
      </c>
      <c r="Z101" s="551">
        <f t="shared" si="37"/>
        <v>560</v>
      </c>
      <c r="AA101" s="551">
        <f t="shared" si="37"/>
        <v>560</v>
      </c>
      <c r="AB101" s="551">
        <f t="shared" si="37"/>
        <v>560</v>
      </c>
      <c r="AC101" s="551">
        <f t="shared" si="37"/>
        <v>560</v>
      </c>
      <c r="AD101" s="551">
        <f t="shared" si="37"/>
        <v>560</v>
      </c>
      <c r="AE101" s="551">
        <f t="shared" si="37"/>
        <v>560</v>
      </c>
      <c r="AF101" s="551">
        <f t="shared" si="37"/>
        <v>560</v>
      </c>
    </row>
    <row r="102" spans="2:32">
      <c r="B102" s="18">
        <v>3</v>
      </c>
      <c r="C102" s="21" t="s">
        <v>519</v>
      </c>
      <c r="D102" s="548">
        <f ca="1">SUM(F102:AF102)</f>
        <v>205113.882470704</v>
      </c>
      <c r="E102" s="18" t="s">
        <v>24</v>
      </c>
      <c r="F102" s="548"/>
      <c r="G102" s="548"/>
      <c r="H102" s="548"/>
      <c r="I102" s="548"/>
      <c r="J102" s="551">
        <f ca="1" t="shared" si="35"/>
        <v>1956.964450717</v>
      </c>
      <c r="K102" s="551">
        <f ca="1" t="shared" ref="K102:AF102" si="38">K52+K62+K82+K72</f>
        <v>4321.984263934</v>
      </c>
      <c r="L102" s="551">
        <f ca="1" t="shared" si="38"/>
        <v>16304.6543292105</v>
      </c>
      <c r="M102" s="551">
        <f ca="1" t="shared" si="38"/>
        <v>15908.3132089631</v>
      </c>
      <c r="N102" s="551">
        <f ca="1" t="shared" si="38"/>
        <v>15011.9720887158</v>
      </c>
      <c r="O102" s="551">
        <f ca="1" t="shared" si="38"/>
        <v>14633.8809684684</v>
      </c>
      <c r="P102" s="551">
        <f ca="1" t="shared" si="38"/>
        <v>14255.7898482211</v>
      </c>
      <c r="Q102" s="551">
        <f ca="1" t="shared" si="38"/>
        <v>13877.6987279737</v>
      </c>
      <c r="R102" s="551">
        <f ca="1" t="shared" si="38"/>
        <v>13499.6076077264</v>
      </c>
      <c r="S102" s="551">
        <f ca="1" t="shared" si="38"/>
        <v>13121.516487479</v>
      </c>
      <c r="T102" s="551">
        <f ca="1" t="shared" si="38"/>
        <v>12743.4253672317</v>
      </c>
      <c r="U102" s="551">
        <f ca="1" t="shared" si="38"/>
        <v>9765.33424698432</v>
      </c>
      <c r="V102" s="551">
        <f ca="1" t="shared" si="38"/>
        <v>9465.24312673697</v>
      </c>
      <c r="W102" s="551">
        <f ca="1" t="shared" si="38"/>
        <v>9165.15200648962</v>
      </c>
      <c r="X102" s="551">
        <f ca="1" t="shared" si="38"/>
        <v>8865.06088624227</v>
      </c>
      <c r="Y102" s="551">
        <f ca="1" t="shared" si="38"/>
        <v>8564.96976599493</v>
      </c>
      <c r="Z102" s="551">
        <f ca="1" t="shared" si="38"/>
        <v>8264.87864574758</v>
      </c>
      <c r="AA102" s="551">
        <f ca="1" t="shared" si="38"/>
        <v>985.924263933998</v>
      </c>
      <c r="AB102" s="551">
        <f ca="1" t="shared" si="38"/>
        <v>12095.082179934</v>
      </c>
      <c r="AC102" s="551">
        <f ca="1" t="shared" si="38"/>
        <v>580.439999999998</v>
      </c>
      <c r="AD102" s="551">
        <f ca="1" t="shared" si="38"/>
        <v>580.439999999998</v>
      </c>
      <c r="AE102" s="551">
        <f ca="1" t="shared" si="38"/>
        <v>580.439999999998</v>
      </c>
      <c r="AF102" s="551">
        <f ca="1" t="shared" si="38"/>
        <v>565.11</v>
      </c>
    </row>
    <row r="103" spans="2:32">
      <c r="B103" s="18"/>
      <c r="C103" s="24" t="s">
        <v>525</v>
      </c>
      <c r="D103" s="548">
        <f ca="1">SUM(F103:AF103)</f>
        <v>156387.178089494</v>
      </c>
      <c r="E103" s="18" t="s">
        <v>24</v>
      </c>
      <c r="F103" s="548"/>
      <c r="G103" s="548"/>
      <c r="H103" s="548"/>
      <c r="I103" s="548"/>
      <c r="J103" s="551">
        <f ca="1" t="shared" si="35"/>
        <v>1335.07125</v>
      </c>
      <c r="K103" s="551">
        <f ca="1" t="shared" ref="K103:AF103" si="39">K53+K63+K83+K73</f>
        <v>3100</v>
      </c>
      <c r="L103" s="551">
        <f ca="1" t="shared" si="39"/>
        <v>10638.8632615662</v>
      </c>
      <c r="M103" s="551">
        <f ca="1" t="shared" si="39"/>
        <v>10638.8632615662</v>
      </c>
      <c r="N103" s="551">
        <f ca="1" t="shared" si="39"/>
        <v>10138.8632615662</v>
      </c>
      <c r="O103" s="551">
        <f ca="1" t="shared" si="39"/>
        <v>10138.8632615662</v>
      </c>
      <c r="P103" s="551">
        <f ca="1" t="shared" si="39"/>
        <v>10138.8632615662</v>
      </c>
      <c r="Q103" s="551">
        <f ca="1" t="shared" si="39"/>
        <v>10138.8632615662</v>
      </c>
      <c r="R103" s="551">
        <f ca="1" t="shared" si="39"/>
        <v>10138.8632615662</v>
      </c>
      <c r="S103" s="551">
        <f ca="1" t="shared" si="39"/>
        <v>10138.8632615662</v>
      </c>
      <c r="T103" s="551">
        <f ca="1" t="shared" si="39"/>
        <v>10138.8632615662</v>
      </c>
      <c r="U103" s="551">
        <f ca="1" t="shared" si="39"/>
        <v>7538.86326156623</v>
      </c>
      <c r="V103" s="551">
        <f ca="1" t="shared" si="39"/>
        <v>7538.86326156623</v>
      </c>
      <c r="W103" s="551">
        <f ca="1" t="shared" si="39"/>
        <v>7538.86326156623</v>
      </c>
      <c r="X103" s="551">
        <f ca="1" t="shared" si="39"/>
        <v>7538.86326156623</v>
      </c>
      <c r="Y103" s="551">
        <f ca="1" t="shared" si="39"/>
        <v>7538.86326156623</v>
      </c>
      <c r="Z103" s="551">
        <f ca="1" t="shared" si="39"/>
        <v>7538.86326156623</v>
      </c>
      <c r="AA103" s="551">
        <f ca="1" t="shared" si="39"/>
        <v>560</v>
      </c>
      <c r="AB103" s="551">
        <f ca="1" t="shared" si="39"/>
        <v>11669.157916</v>
      </c>
      <c r="AC103" s="551">
        <f ca="1" t="shared" si="39"/>
        <v>560</v>
      </c>
      <c r="AD103" s="551">
        <f ca="1" t="shared" si="39"/>
        <v>560</v>
      </c>
      <c r="AE103" s="551">
        <f ca="1" t="shared" si="39"/>
        <v>560</v>
      </c>
      <c r="AF103" s="551">
        <f ca="1" t="shared" si="39"/>
        <v>560</v>
      </c>
    </row>
    <row r="104" spans="2:32">
      <c r="B104" s="18"/>
      <c r="C104" s="25" t="s">
        <v>521</v>
      </c>
      <c r="D104" s="548">
        <f ca="1">SUM(F104:AF104)</f>
        <v>48726.7043812107</v>
      </c>
      <c r="E104" s="18" t="s">
        <v>24</v>
      </c>
      <c r="F104" s="548"/>
      <c r="G104" s="548"/>
      <c r="H104" s="548"/>
      <c r="I104" s="548"/>
      <c r="J104" s="551">
        <f ca="1" t="shared" si="35"/>
        <v>621.893200717</v>
      </c>
      <c r="K104" s="551">
        <f ca="1" t="shared" ref="K104:AF104" si="40">K54+K64+K84+K74</f>
        <v>1221.984263934</v>
      </c>
      <c r="L104" s="551">
        <f ca="1" t="shared" si="40"/>
        <v>5665.79106764422</v>
      </c>
      <c r="M104" s="551">
        <f ca="1" t="shared" si="40"/>
        <v>5269.44994739687</v>
      </c>
      <c r="N104" s="551">
        <f ca="1" t="shared" si="40"/>
        <v>4873.10882714952</v>
      </c>
      <c r="O104" s="551">
        <f ca="1" t="shared" si="40"/>
        <v>4495.01770690217</v>
      </c>
      <c r="P104" s="551">
        <f ca="1" t="shared" si="40"/>
        <v>4116.92658665483</v>
      </c>
      <c r="Q104" s="551">
        <f ca="1" t="shared" si="40"/>
        <v>3738.83546640748</v>
      </c>
      <c r="R104" s="551">
        <f ca="1" t="shared" si="40"/>
        <v>3360.74434616013</v>
      </c>
      <c r="S104" s="551">
        <f ca="1" t="shared" si="40"/>
        <v>2982.65322591278</v>
      </c>
      <c r="T104" s="551">
        <f ca="1" t="shared" si="40"/>
        <v>2604.56210566543</v>
      </c>
      <c r="U104" s="551">
        <f ca="1" t="shared" si="40"/>
        <v>2226.47098541809</v>
      </c>
      <c r="V104" s="551">
        <f ca="1" t="shared" si="40"/>
        <v>1926.37986517074</v>
      </c>
      <c r="W104" s="551">
        <f ca="1" t="shared" si="40"/>
        <v>1626.28874492339</v>
      </c>
      <c r="X104" s="551">
        <f ca="1" t="shared" si="40"/>
        <v>1326.19762467604</v>
      </c>
      <c r="Y104" s="551">
        <f ca="1" t="shared" si="40"/>
        <v>1026.10650442869</v>
      </c>
      <c r="Z104" s="551">
        <f ca="1" t="shared" si="40"/>
        <v>726.015384181346</v>
      </c>
      <c r="AA104" s="551">
        <f ca="1" t="shared" si="40"/>
        <v>425.924263933998</v>
      </c>
      <c r="AB104" s="551">
        <f ca="1" t="shared" si="40"/>
        <v>425.924263933998</v>
      </c>
      <c r="AC104" s="551">
        <f ca="1" t="shared" si="40"/>
        <v>20.4399999999983</v>
      </c>
      <c r="AD104" s="551">
        <f ca="1" t="shared" si="40"/>
        <v>20.4399999999983</v>
      </c>
      <c r="AE104" s="551">
        <f ca="1" t="shared" si="40"/>
        <v>20.4399999999983</v>
      </c>
      <c r="AF104" s="551">
        <f ca="1" t="shared" si="40"/>
        <v>5.10999999999957</v>
      </c>
    </row>
    <row r="105" spans="2:32">
      <c r="B105" s="18">
        <v>4</v>
      </c>
      <c r="C105" s="21" t="s">
        <v>522</v>
      </c>
      <c r="D105" s="568">
        <f ca="1">AF105</f>
        <v>-4.00177668780088e-11</v>
      </c>
      <c r="E105" s="18" t="s">
        <v>24</v>
      </c>
      <c r="F105" s="548"/>
      <c r="G105" s="548"/>
      <c r="H105" s="548"/>
      <c r="I105" s="551">
        <f>I55+I65+I85+I75</f>
        <v>38444.229166</v>
      </c>
      <c r="J105" s="551">
        <f ca="1" t="shared" si="35"/>
        <v>69098.000902802</v>
      </c>
      <c r="K105" s="551">
        <f ca="1" t="shared" ref="K105:AF105" si="41">K55+K65+K85+K75</f>
        <v>139692.106839493</v>
      </c>
      <c r="L105" s="551">
        <f ca="1" t="shared" si="41"/>
        <v>130113.243577927</v>
      </c>
      <c r="M105" s="551">
        <f ca="1" t="shared" si="41"/>
        <v>120034.380316361</v>
      </c>
      <c r="N105" s="551">
        <f ca="1" t="shared" si="41"/>
        <v>110455.517054795</v>
      </c>
      <c r="O105" s="551">
        <f ca="1" t="shared" si="41"/>
        <v>100876.653793229</v>
      </c>
      <c r="P105" s="551">
        <f ca="1" t="shared" si="41"/>
        <v>91297.7905316623</v>
      </c>
      <c r="Q105" s="551">
        <f ca="1" t="shared" si="41"/>
        <v>81718.9272700961</v>
      </c>
      <c r="R105" s="551">
        <f ca="1" t="shared" si="41"/>
        <v>72140.0640085298</v>
      </c>
      <c r="S105" s="551">
        <f ca="1" t="shared" si="41"/>
        <v>62561.2007469636</v>
      </c>
      <c r="T105" s="551">
        <f ca="1" t="shared" si="41"/>
        <v>52982.3374853974</v>
      </c>
      <c r="U105" s="551">
        <f ca="1" t="shared" si="41"/>
        <v>46003.4742238311</v>
      </c>
      <c r="V105" s="551">
        <f ca="1" t="shared" si="41"/>
        <v>39024.6109622649</v>
      </c>
      <c r="W105" s="551">
        <f ca="1" t="shared" si="41"/>
        <v>32045.7477006987</v>
      </c>
      <c r="X105" s="551">
        <f ca="1" t="shared" si="41"/>
        <v>25066.8844391324</v>
      </c>
      <c r="Y105" s="551">
        <f ca="1" t="shared" si="41"/>
        <v>18088.0211775662</v>
      </c>
      <c r="Z105" s="551">
        <f ca="1" t="shared" si="41"/>
        <v>11109.157916</v>
      </c>
      <c r="AA105" s="551">
        <f ca="1" t="shared" si="41"/>
        <v>11109.157916</v>
      </c>
      <c r="AB105" s="551">
        <f ca="1" t="shared" si="41"/>
        <v>-4.00177668780088e-11</v>
      </c>
      <c r="AC105" s="551">
        <f ca="1" t="shared" si="41"/>
        <v>-4.00177668780088e-11</v>
      </c>
      <c r="AD105" s="551">
        <f ca="1" t="shared" si="41"/>
        <v>-4.00177668780088e-11</v>
      </c>
      <c r="AE105" s="551">
        <f ca="1" t="shared" si="41"/>
        <v>-4.00177668780088e-11</v>
      </c>
      <c r="AF105" s="551">
        <f ca="1" t="shared" si="41"/>
        <v>-4.00177668780088e-11</v>
      </c>
    </row>
    <row r="108" spans="3:3">
      <c r="C108" s="2" t="s">
        <v>530</v>
      </c>
    </row>
    <row r="109" spans="3:3">
      <c r="C109" s="2" t="s">
        <v>531</v>
      </c>
    </row>
    <row r="110" spans="3:3">
      <c r="C110" s="2" t="s">
        <v>532</v>
      </c>
    </row>
    <row r="111" spans="3:3">
      <c r="C111" s="2" t="s">
        <v>533</v>
      </c>
    </row>
    <row r="112" spans="3:3">
      <c r="C112" s="2" t="s">
        <v>534</v>
      </c>
    </row>
    <row r="114" spans="3:3">
      <c r="C114" s="2"/>
    </row>
  </sheetData>
  <mergeCells count="38">
    <mergeCell ref="F22:G22"/>
    <mergeCell ref="H22:AF22"/>
    <mergeCell ref="B3:B4"/>
    <mergeCell ref="B22:B23"/>
    <mergeCell ref="B38:B39"/>
    <mergeCell ref="B48:B49"/>
    <mergeCell ref="B58:B59"/>
    <mergeCell ref="B68:B69"/>
    <mergeCell ref="B78:B79"/>
    <mergeCell ref="B88:B89"/>
    <mergeCell ref="B98:B99"/>
    <mergeCell ref="C3:C4"/>
    <mergeCell ref="C22:C23"/>
    <mergeCell ref="C38:C39"/>
    <mergeCell ref="C48:C49"/>
    <mergeCell ref="C58:C59"/>
    <mergeCell ref="C68:C69"/>
    <mergeCell ref="C78:C79"/>
    <mergeCell ref="C88:C89"/>
    <mergeCell ref="C98:C99"/>
    <mergeCell ref="D3:D4"/>
    <mergeCell ref="D22:D23"/>
    <mergeCell ref="D38:D39"/>
    <mergeCell ref="D48:D49"/>
    <mergeCell ref="D58:D59"/>
    <mergeCell ref="D68:D69"/>
    <mergeCell ref="D78:D79"/>
    <mergeCell ref="D88:D89"/>
    <mergeCell ref="D98:D99"/>
    <mergeCell ref="E3:E4"/>
    <mergeCell ref="E22:E23"/>
    <mergeCell ref="E38:E39"/>
    <mergeCell ref="E48:E49"/>
    <mergeCell ref="E58:E59"/>
    <mergeCell ref="E68:E69"/>
    <mergeCell ref="E78:E79"/>
    <mergeCell ref="E88:E89"/>
    <mergeCell ref="E98:E99"/>
  </mergeCells>
  <conditionalFormatting sqref="B3:E3">
    <cfRule type="cellIs" dxfId="0" priority="9" operator="equal">
      <formula>0</formula>
    </cfRule>
  </conditionalFormatting>
  <conditionalFormatting sqref="E7:E20">
    <cfRule type="cellIs" dxfId="0" priority="1" operator="equal">
      <formula>0</formula>
    </cfRule>
  </conditionalFormatting>
  <conditionalFormatting sqref="E24:E35">
    <cfRule type="cellIs" dxfId="0" priority="8" operator="equal">
      <formula>0</formula>
    </cfRule>
  </conditionalFormatting>
  <conditionalFormatting sqref="C5:D6 F5:M6 B7:C10 B11:D11 I11:M11 B12:C17 C18 I20:M20 B24:C35">
    <cfRule type="cellIs" dxfId="0" priority="11" operator="equal">
      <formula>0</formula>
    </cfRule>
  </conditionalFormatting>
  <conditionalFormatting sqref="B19:C20">
    <cfRule type="cellIs" dxfId="0" priority="2" operator="equal">
      <formula>0</formula>
    </cfRule>
  </conditionalFormatting>
  <pageMargins left="0.7" right="0.7" top="0.75" bottom="0.75" header="0.3" footer="0.3"/>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B1:AF204"/>
  <sheetViews>
    <sheetView showGridLines="0" zoomScale="85" zoomScaleNormal="85" topLeftCell="A103" workbookViewId="0">
      <selection activeCell="G214" sqref="G214"/>
    </sheetView>
  </sheetViews>
  <sheetFormatPr defaultColWidth="8.78181818181818" defaultRowHeight="16.5"/>
  <cols>
    <col min="1" max="1" width="2.33636363636364" style="232" customWidth="1"/>
    <col min="2" max="2" width="6.10909090909091" style="232" customWidth="1"/>
    <col min="3" max="3" width="34.8909090909091" style="232" customWidth="1"/>
    <col min="4" max="4" width="13.2181818181818" style="232" customWidth="1"/>
    <col min="5" max="5" width="7.44545454545455" style="376" customWidth="1"/>
    <col min="6" max="7" width="12.5545454545455" style="232" customWidth="1"/>
    <col min="8" max="9" width="11.8909090909091" style="232" customWidth="1"/>
    <col min="10" max="10" width="14.7818181818182" style="232" customWidth="1"/>
    <col min="11" max="32" width="12.6636363636364" style="232" customWidth="1"/>
    <col min="33" max="16384" width="8.78181818181818" style="232"/>
  </cols>
  <sheetData>
    <row r="1" ht="17.25" spans="3:3">
      <c r="C1" s="233" t="s">
        <v>535</v>
      </c>
    </row>
    <row r="2" spans="3:6">
      <c r="C2" s="377" t="s">
        <v>536</v>
      </c>
      <c r="D2" s="378">
        <f ca="1">参数输入表!I148</f>
        <v>139577.265231325</v>
      </c>
      <c r="E2" s="379"/>
      <c r="F2" s="380"/>
    </row>
    <row r="3" spans="3:5">
      <c r="C3" s="381" t="s">
        <v>537</v>
      </c>
      <c r="D3" s="382">
        <f>参数输入表!I152</f>
        <v>14222.8435618205</v>
      </c>
      <c r="E3" s="379"/>
    </row>
    <row r="4" spans="3:6">
      <c r="C4" s="381" t="s">
        <v>316</v>
      </c>
      <c r="D4" s="383">
        <f ca="1">D2-D15-D3</f>
        <v>123554.421669504</v>
      </c>
      <c r="E4" s="379"/>
      <c r="F4" s="380" t="s">
        <v>538</v>
      </c>
    </row>
    <row r="5" spans="3:6">
      <c r="C5" s="381" t="s">
        <v>539</v>
      </c>
      <c r="D5" s="382" t="s">
        <v>540</v>
      </c>
      <c r="E5" s="379"/>
      <c r="F5" s="380" t="s">
        <v>541</v>
      </c>
    </row>
    <row r="6" spans="3:5">
      <c r="C6" s="381" t="s">
        <v>542</v>
      </c>
      <c r="D6" s="384">
        <f>参数输入表!I438</f>
        <v>18</v>
      </c>
      <c r="E6" s="379"/>
    </row>
    <row r="7" ht="17.25" spans="3:5">
      <c r="C7" s="385" t="s">
        <v>543</v>
      </c>
      <c r="D7" s="386">
        <f>参数输入表!I439</f>
        <v>0</v>
      </c>
      <c r="E7" s="387"/>
    </row>
    <row r="8" spans="3:6">
      <c r="C8" s="377" t="s">
        <v>544</v>
      </c>
      <c r="D8" s="388">
        <f>参数输入表!I461/(1+参数输入表!I488)</f>
        <v>0</v>
      </c>
      <c r="E8" s="387"/>
      <c r="F8" s="232" t="s">
        <v>545</v>
      </c>
    </row>
    <row r="9" spans="3:5">
      <c r="C9" s="389" t="s">
        <v>546</v>
      </c>
      <c r="D9" s="390">
        <f>参数输入表!I466/(1+参数输入表!I488)</f>
        <v>458.715596330275</v>
      </c>
      <c r="E9" s="387"/>
    </row>
    <row r="10" spans="3:5">
      <c r="C10" s="389" t="s">
        <v>547</v>
      </c>
      <c r="D10" s="390">
        <f>参数输入表!I471/(1+参数输入表!I488)</f>
        <v>458.715596330275</v>
      </c>
      <c r="E10" s="387"/>
    </row>
    <row r="11" spans="3:5">
      <c r="C11" s="389" t="s">
        <v>548</v>
      </c>
      <c r="D11" s="390">
        <f>参数输入表!I476/(1+参数输入表!I488)</f>
        <v>458.715596330275</v>
      </c>
      <c r="E11" s="387"/>
    </row>
    <row r="12" spans="3:5">
      <c r="C12" s="389" t="s">
        <v>549</v>
      </c>
      <c r="D12" s="390">
        <f>参数输入表!I481/(1+参数输入表!I488)</f>
        <v>458.715596330275</v>
      </c>
      <c r="E12" s="387"/>
    </row>
    <row r="13" spans="3:5">
      <c r="C13" s="381" t="s">
        <v>550</v>
      </c>
      <c r="D13" s="391" t="s">
        <v>540</v>
      </c>
      <c r="E13" s="387"/>
    </row>
    <row r="14" ht="17.25" spans="3:5">
      <c r="C14" s="385" t="s">
        <v>551</v>
      </c>
      <c r="D14" s="384">
        <f>参数输入表!I487</f>
        <v>5</v>
      </c>
      <c r="E14" s="387"/>
    </row>
    <row r="15" spans="3:4">
      <c r="C15" s="377" t="s">
        <v>321</v>
      </c>
      <c r="D15" s="378">
        <f>参数输入表!I441</f>
        <v>1800</v>
      </c>
    </row>
    <row r="16" spans="3:5">
      <c r="C16" s="381" t="s">
        <v>550</v>
      </c>
      <c r="D16" s="382" t="s">
        <v>540</v>
      </c>
      <c r="E16" s="379"/>
    </row>
    <row r="17" spans="3:8">
      <c r="C17" s="381" t="s">
        <v>551</v>
      </c>
      <c r="D17" s="384">
        <f>参数输入表!I443</f>
        <v>18</v>
      </c>
      <c r="E17" s="379"/>
      <c r="H17" s="392"/>
    </row>
    <row r="18" ht="17.25" spans="3:5">
      <c r="C18" s="393" t="s">
        <v>543</v>
      </c>
      <c r="D18" s="394">
        <f>参数输入表!I444</f>
        <v>0</v>
      </c>
      <c r="E18" s="387"/>
    </row>
    <row r="19" spans="3:5">
      <c r="C19" s="377" t="s">
        <v>552</v>
      </c>
      <c r="D19" s="388">
        <f>参数输入表!I507/(1+参数输入表!$I$525)</f>
        <v>0</v>
      </c>
      <c r="E19" s="387"/>
    </row>
    <row r="20" spans="3:5">
      <c r="C20" s="381" t="s">
        <v>550</v>
      </c>
      <c r="D20" s="391" t="s">
        <v>540</v>
      </c>
      <c r="E20" s="387"/>
    </row>
    <row r="21" ht="17.25" spans="3:5">
      <c r="C21" s="385" t="s">
        <v>551</v>
      </c>
      <c r="D21" s="395">
        <f>参数输入表!I524</f>
        <v>10</v>
      </c>
      <c r="E21" s="387"/>
    </row>
    <row r="22" spans="4:5">
      <c r="D22" s="396"/>
      <c r="E22" s="387"/>
    </row>
    <row r="23" ht="17.25" spans="2:5">
      <c r="B23" s="397" t="s">
        <v>553</v>
      </c>
      <c r="C23" s="398"/>
      <c r="D23" s="399"/>
      <c r="E23" s="379"/>
    </row>
    <row r="24" ht="19.8" customHeight="1" spans="2:32">
      <c r="B24" s="400" t="s">
        <v>15</v>
      </c>
      <c r="C24" s="401" t="s">
        <v>16</v>
      </c>
      <c r="D24" s="401" t="s">
        <v>17</v>
      </c>
      <c r="E24" s="401" t="s">
        <v>18</v>
      </c>
      <c r="F24" s="10" t="s">
        <v>464</v>
      </c>
      <c r="G24" s="10" t="s">
        <v>465</v>
      </c>
      <c r="H24" s="10" t="s">
        <v>466</v>
      </c>
      <c r="I24" s="37">
        <v>45107</v>
      </c>
      <c r="J24" s="37">
        <v>45261</v>
      </c>
      <c r="K24" s="10" t="s">
        <v>20</v>
      </c>
      <c r="L24" s="10" t="s">
        <v>467</v>
      </c>
      <c r="M24" s="10" t="s">
        <v>468</v>
      </c>
      <c r="N24" s="10" t="s">
        <v>469</v>
      </c>
      <c r="O24" s="10" t="s">
        <v>470</v>
      </c>
      <c r="P24" s="10" t="s">
        <v>471</v>
      </c>
      <c r="Q24" s="10" t="s">
        <v>472</v>
      </c>
      <c r="R24" s="10" t="s">
        <v>473</v>
      </c>
      <c r="S24" s="10" t="s">
        <v>474</v>
      </c>
      <c r="T24" s="10" t="s">
        <v>475</v>
      </c>
      <c r="U24" s="10" t="s">
        <v>476</v>
      </c>
      <c r="V24" s="10" t="s">
        <v>477</v>
      </c>
      <c r="W24" s="10" t="s">
        <v>478</v>
      </c>
      <c r="X24" s="10" t="s">
        <v>479</v>
      </c>
      <c r="Y24" s="10" t="s">
        <v>480</v>
      </c>
      <c r="Z24" s="10" t="s">
        <v>481</v>
      </c>
      <c r="AA24" s="10" t="s">
        <v>482</v>
      </c>
      <c r="AB24" s="10" t="s">
        <v>483</v>
      </c>
      <c r="AC24" s="10" t="s">
        <v>484</v>
      </c>
      <c r="AD24" s="10" t="s">
        <v>485</v>
      </c>
      <c r="AE24" s="10" t="s">
        <v>486</v>
      </c>
      <c r="AF24" s="37">
        <v>53051</v>
      </c>
    </row>
    <row r="25" ht="19.8" customHeight="1" spans="2:32">
      <c r="B25" s="402"/>
      <c r="C25" s="403"/>
      <c r="D25" s="403"/>
      <c r="E25" s="403"/>
      <c r="F25" s="14">
        <v>1</v>
      </c>
      <c r="G25" s="14">
        <v>2</v>
      </c>
      <c r="H25" s="14">
        <v>3</v>
      </c>
      <c r="I25" s="14">
        <v>4</v>
      </c>
      <c r="J25" s="38">
        <v>5</v>
      </c>
      <c r="K25" s="38">
        <v>6</v>
      </c>
      <c r="L25" s="38">
        <v>7</v>
      </c>
      <c r="M25" s="38">
        <v>8</v>
      </c>
      <c r="N25" s="38">
        <v>9</v>
      </c>
      <c r="O25" s="38">
        <v>10</v>
      </c>
      <c r="P25" s="38">
        <v>11</v>
      </c>
      <c r="Q25" s="38">
        <v>12</v>
      </c>
      <c r="R25" s="38">
        <v>13</v>
      </c>
      <c r="S25" s="38">
        <v>14</v>
      </c>
      <c r="T25" s="38">
        <v>15</v>
      </c>
      <c r="U25" s="38">
        <v>16</v>
      </c>
      <c r="V25" s="38">
        <v>17</v>
      </c>
      <c r="W25" s="38">
        <v>18</v>
      </c>
      <c r="X25" s="38">
        <v>19</v>
      </c>
      <c r="Y25" s="38">
        <v>20</v>
      </c>
      <c r="Z25" s="38">
        <v>21</v>
      </c>
      <c r="AA25" s="38">
        <v>22</v>
      </c>
      <c r="AB25" s="38">
        <v>23</v>
      </c>
      <c r="AC25" s="38">
        <v>24</v>
      </c>
      <c r="AD25" s="38">
        <v>25</v>
      </c>
      <c r="AE25" s="38">
        <v>26</v>
      </c>
      <c r="AF25" s="38">
        <v>27</v>
      </c>
    </row>
    <row r="26" spans="2:32">
      <c r="B26" s="404"/>
      <c r="C26" s="405" t="s">
        <v>488</v>
      </c>
      <c r="D26" s="406"/>
      <c r="E26" s="406" t="s">
        <v>78</v>
      </c>
      <c r="F26" s="407"/>
      <c r="G26" s="407"/>
      <c r="H26" s="407"/>
      <c r="I26" s="407"/>
      <c r="J26" s="431">
        <f>参数输入表!$I$35</f>
        <v>0.15</v>
      </c>
      <c r="K26" s="432">
        <f>参数输入表!$I$36+J26</f>
        <v>0.9</v>
      </c>
      <c r="L26" s="431">
        <f>IF(L25-参数输入表!$I$7-参数输入表!$I$14&gt;0,100%)</f>
        <v>1</v>
      </c>
      <c r="M26" s="431">
        <f>IF(M25-参数输入表!$I$7-参数输入表!$I$14&gt;0,100%)</f>
        <v>1</v>
      </c>
      <c r="N26" s="431">
        <f>IF(N25-参数输入表!$I$7-参数输入表!$I$14&gt;0,100%)</f>
        <v>1</v>
      </c>
      <c r="O26" s="431">
        <f>IF(O25-参数输入表!$I$7-参数输入表!$I$14&gt;0,100%)</f>
        <v>1</v>
      </c>
      <c r="P26" s="431">
        <f>IF(P25-参数输入表!$I$7-参数输入表!$I$14&gt;0,100%)</f>
        <v>1</v>
      </c>
      <c r="Q26" s="431">
        <f>IF(Q25-参数输入表!$I$7-参数输入表!$I$14&gt;0,100%)</f>
        <v>1</v>
      </c>
      <c r="R26" s="431">
        <f>IF(R25-参数输入表!$I$7-参数输入表!$I$14&gt;0,100%)</f>
        <v>1</v>
      </c>
      <c r="S26" s="431">
        <f>IF(S25-参数输入表!$I$7-参数输入表!$I$14&gt;0,100%)</f>
        <v>1</v>
      </c>
      <c r="T26" s="431">
        <f>IF(T25-参数输入表!$I$7-参数输入表!$I$14&gt;0,100%)</f>
        <v>1</v>
      </c>
      <c r="U26" s="431">
        <f>IF(U25-参数输入表!$I$7-参数输入表!$I$14&gt;0,100%)</f>
        <v>1</v>
      </c>
      <c r="V26" s="431">
        <f>IF(V25-参数输入表!$I$7-参数输入表!$I$14&gt;0,100%)</f>
        <v>1</v>
      </c>
      <c r="W26" s="431">
        <f>IF(W25-参数输入表!$I$7-参数输入表!$I$14&gt;0,100%)</f>
        <v>1</v>
      </c>
      <c r="X26" s="431">
        <f>IF(X25-参数输入表!$I$7-参数输入表!$I$14&gt;0,100%)</f>
        <v>1</v>
      </c>
      <c r="Y26" s="431">
        <f>IF(Y25-参数输入表!$I$7-参数输入表!$I$14&gt;0,100%)</f>
        <v>1</v>
      </c>
      <c r="Z26" s="431">
        <f>IF(Z25-参数输入表!$I$7-参数输入表!$I$14&gt;0,100%)</f>
        <v>1</v>
      </c>
      <c r="AA26" s="431">
        <f>IF(AA25-参数输入表!$I$7-参数输入表!$I$14&gt;0,100%)</f>
        <v>1</v>
      </c>
      <c r="AB26" s="431">
        <f>IF(AB25-参数输入表!$I$7-参数输入表!$I$14&gt;0,100%)</f>
        <v>1</v>
      </c>
      <c r="AC26" s="431">
        <f>IF(AC25-参数输入表!$I$7-参数输入表!$I$14&gt;0,100%)</f>
        <v>1</v>
      </c>
      <c r="AD26" s="431">
        <f>IF(AD25-参数输入表!$I$7-参数输入表!$I$14&gt;0,100%)</f>
        <v>1</v>
      </c>
      <c r="AE26" s="431">
        <f>IF(AE25-参数输入表!$I$7-参数输入表!$I$14&gt;0,100%)</f>
        <v>1</v>
      </c>
      <c r="AF26" s="431">
        <f>IF(AF25-参数输入表!$I$7-参数输入表!$I$14&gt;0,100%)</f>
        <v>1</v>
      </c>
    </row>
    <row r="27" spans="2:32">
      <c r="B27" s="408">
        <v>1</v>
      </c>
      <c r="C27" s="259" t="s">
        <v>554</v>
      </c>
      <c r="D27" s="409"/>
      <c r="E27" s="410" t="s">
        <v>24</v>
      </c>
      <c r="F27" s="411"/>
      <c r="G27" s="411"/>
      <c r="H27" s="411"/>
      <c r="I27" s="433"/>
      <c r="J27" s="433">
        <f ca="1">IF(J25-参数输入表!$I$14-参数输入表!$I$7&lt;0,(参数输入表!$I$148-参数输入表!$I$152-参数输入表!$I$441+$I$30)*J26,参数输入表!$I$148-参数输入表!$I$152-参数输入表!$I$441+$I$30)</f>
        <v>18533.1632504256</v>
      </c>
      <c r="K27" s="433">
        <f ca="1">IF(K25-参数输入表!$I$14-参数输入表!$I$7&lt;0,(参数输入表!$I$148-参数输入表!$I$152-参数输入表!$I$441+$I$30)*K26,参数输入表!$I$148-参数输入表!$I$152-参数输入表!$I$441+$I$30)</f>
        <v>123554.421669504</v>
      </c>
      <c r="L27" s="433">
        <f ca="1">IF(L25-参数输入表!$I$14-参数输入表!$I$7&lt;0,(参数输入表!$I$148-参数输入表!$I$152-参数输入表!$I$441+$I$30)*L26,参数输入表!$I$148-参数输入表!$I$152-参数输入表!$I$441+$I$30)</f>
        <v>123554.421669504</v>
      </c>
      <c r="M27" s="433">
        <f ca="1">IF(M25-参数输入表!$I$14-参数输入表!$I$7&lt;0,(参数输入表!$I$148-参数输入表!$I$152-参数输入表!$I$441+$I$30)*M26,参数输入表!$I$148-参数输入表!$I$152-参数输入表!$I$441+$I$30)</f>
        <v>123554.421669504</v>
      </c>
      <c r="N27" s="433">
        <f ca="1">IF(N25-参数输入表!$I$14-参数输入表!$I$7&lt;0,(参数输入表!$I$148-参数输入表!$I$152-参数输入表!$I$441+$I$30)*N26,参数输入表!$I$148-参数输入表!$I$152-参数输入表!$I$441+$I$30)</f>
        <v>123554.421669504</v>
      </c>
      <c r="O27" s="433">
        <f ca="1">IF(O25-参数输入表!$I$14-参数输入表!$I$7&lt;0,(参数输入表!$I$148-参数输入表!$I$152-参数输入表!$I$441+$I$30)*O26,参数输入表!$I$148-参数输入表!$I$152-参数输入表!$I$441+$I$30)</f>
        <v>123554.421669504</v>
      </c>
      <c r="P27" s="433">
        <f ca="1">IF(P25-参数输入表!$I$14-参数输入表!$I$7&lt;0,(参数输入表!$I$148-参数输入表!$I$152-参数输入表!$I$441+$I$30)*P26,参数输入表!$I$148-参数输入表!$I$152-参数输入表!$I$441+$I$30)</f>
        <v>123554.421669504</v>
      </c>
      <c r="Q27" s="433">
        <f ca="1">IF(Q25-参数输入表!$I$14-参数输入表!$I$7&lt;0,(参数输入表!$I$148-参数输入表!$I$152-参数输入表!$I$441+$I$30)*Q26,参数输入表!$I$148-参数输入表!$I$152-参数输入表!$I$441+$I$30)</f>
        <v>123554.421669504</v>
      </c>
      <c r="R27" s="433">
        <f ca="1">IF(R25-参数输入表!$I$14-参数输入表!$I$7&lt;0,(参数输入表!$I$148-参数输入表!$I$152-参数输入表!$I$441+$I$30)*R26,参数输入表!$I$148-参数输入表!$I$152-参数输入表!$I$441+$I$30)</f>
        <v>123554.421669504</v>
      </c>
      <c r="S27" s="433">
        <f ca="1">IF(S25-参数输入表!$I$14-参数输入表!$I$7&lt;0,(参数输入表!$I$148-参数输入表!$I$152-参数输入表!$I$441+$I$30)*S26,参数输入表!$I$148-参数输入表!$I$152-参数输入表!$I$441+$I$30)</f>
        <v>123554.421669504</v>
      </c>
      <c r="T27" s="433">
        <f ca="1">IF(T25-参数输入表!$I$14-参数输入表!$I$7&lt;0,(参数输入表!$I$148-参数输入表!$I$152-参数输入表!$I$441+$I$30)*T26,参数输入表!$I$148-参数输入表!$I$152-参数输入表!$I$441+$I$30)</f>
        <v>123554.421669504</v>
      </c>
      <c r="U27" s="433">
        <f ca="1">IF(U25-参数输入表!$I$14-参数输入表!$I$7&lt;0,(参数输入表!$I$148-参数输入表!$I$152-参数输入表!$I$441+$I$30)*U26,参数输入表!$I$148-参数输入表!$I$152-参数输入表!$I$441+$I$30)</f>
        <v>123554.421669504</v>
      </c>
      <c r="V27" s="433">
        <f ca="1">IF(V25-参数输入表!$I$14-参数输入表!$I$7&lt;0,(参数输入表!$I$148-参数输入表!$I$152-参数输入表!$I$441+$I$30)*V26,参数输入表!$I$148-参数输入表!$I$152-参数输入表!$I$441+$I$30)</f>
        <v>123554.421669504</v>
      </c>
      <c r="W27" s="433">
        <f ca="1">IF(W25-参数输入表!$I$14-参数输入表!$I$7&lt;0,(参数输入表!$I$148-参数输入表!$I$152-参数输入表!$I$441+$I$30)*W26,参数输入表!$I$148-参数输入表!$I$152-参数输入表!$I$441+$I$30)</f>
        <v>123554.421669504</v>
      </c>
      <c r="X27" s="433">
        <f ca="1">IF(X25-参数输入表!$I$14-参数输入表!$I$7&lt;0,(参数输入表!$I$148-参数输入表!$I$152-参数输入表!$I$441+$I$30)*X26,参数输入表!$I$148-参数输入表!$I$152-参数输入表!$I$441+$I$30)</f>
        <v>123554.421669504</v>
      </c>
      <c r="Y27" s="433">
        <f ca="1">IF(Y25-参数输入表!$I$14-参数输入表!$I$7&lt;0,(参数输入表!$I$148-参数输入表!$I$152-参数输入表!$I$441+$I$30)*Y26,参数输入表!$I$148-参数输入表!$I$152-参数输入表!$I$441+$I$30)</f>
        <v>123554.421669504</v>
      </c>
      <c r="Z27" s="433">
        <f ca="1">IF(Z25-参数输入表!$I$14-参数输入表!$I$7&lt;0,(参数输入表!$I$148-参数输入表!$I$152-参数输入表!$I$441+$I$30)*Z26,参数输入表!$I$148-参数输入表!$I$152-参数输入表!$I$441+$I$30)</f>
        <v>123554.421669504</v>
      </c>
      <c r="AA27" s="433">
        <f ca="1">IF(AA25-参数输入表!$I$14-参数输入表!$I$7&lt;0,(参数输入表!$I$148-参数输入表!$I$152-参数输入表!$I$441+$I$30)*AA26,参数输入表!$I$148-参数输入表!$I$152-参数输入表!$I$441+$I$30)</f>
        <v>123554.421669504</v>
      </c>
      <c r="AB27" s="433">
        <f ca="1">IF(AB25-参数输入表!$I$14-参数输入表!$I$7&lt;0,(参数输入表!$I$148-参数输入表!$I$152-参数输入表!$I$441+$I$30)*AB26,参数输入表!$I$148-参数输入表!$I$152-参数输入表!$I$441+$I$30)</f>
        <v>123554.421669504</v>
      </c>
      <c r="AC27" s="433">
        <f ca="1">IF(AC25-参数输入表!$I$14-参数输入表!$I$7&lt;0,(参数输入表!$I$148-参数输入表!$I$152-参数输入表!$I$441+$I$30)*AC26,参数输入表!$I$148-参数输入表!$I$152-参数输入表!$I$441+$I$30)</f>
        <v>123554.421669504</v>
      </c>
      <c r="AD27" s="433">
        <f ca="1">IF(AD25-参数输入表!$I$14-参数输入表!$I$7&lt;0,(参数输入表!$I$148-参数输入表!$I$152-参数输入表!$I$441+$I$30)*AD26,参数输入表!$I$148-参数输入表!$I$152-参数输入表!$I$441+$I$30)</f>
        <v>123554.421669504</v>
      </c>
      <c r="AE27" s="433">
        <f ca="1">IF(AE25-参数输入表!$I$14-参数输入表!$I$7&lt;0,(参数输入表!$I$148-参数输入表!$I$152-参数输入表!$I$441+$I$30)*AE26,参数输入表!$I$148-参数输入表!$I$152-参数输入表!$I$441+$I$30)</f>
        <v>123554.421669504</v>
      </c>
      <c r="AF27" s="433">
        <f ca="1">IF(AF25-参数输入表!$I$14-参数输入表!$I$7&lt;0,(参数输入表!$I$148-参数输入表!$I$152-参数输入表!$I$441+$I$30)*AF26,参数输入表!$I$148-参数输入表!$I$152-参数输入表!$I$441+$I$30)</f>
        <v>123554.421669504</v>
      </c>
    </row>
    <row r="28" spans="2:32">
      <c r="B28" s="408"/>
      <c r="C28" s="412" t="s">
        <v>555</v>
      </c>
      <c r="D28" s="409">
        <f ca="1">SUM(F28:AF28)</f>
        <v>123554.421669504</v>
      </c>
      <c r="E28" s="410" t="s">
        <v>24</v>
      </c>
      <c r="F28" s="413"/>
      <c r="G28" s="413"/>
      <c r="H28" s="413"/>
      <c r="I28" s="434"/>
      <c r="J28" s="435">
        <f ca="1">'表1-资金筹措及还本付息表'!J8+'表1-资金筹措及还本付息表'!J9-'新建及改扩建项目投资概算明细 (光伏)'!F26-J69</f>
        <v>37178.2709138565</v>
      </c>
      <c r="K28" s="435">
        <f ca="1">'表1-资金筹措及还本付息表'!K8+'表1-资金筹措及还本付息表'!K9-'新建及改扩建项目投资概算明细 (光伏)'!G26-K69</f>
        <v>86376.1507556476</v>
      </c>
      <c r="L28" s="435">
        <f>'表1-资金筹措及还本付息表'!L8+'表1-资金筹措及还本付息表'!L9-'新建及改扩建项目投资概算明细 (光伏)'!H26-L69</f>
        <v>0</v>
      </c>
      <c r="M28" s="435">
        <f>'表1-资金筹措及还本付息表'!M8+'表1-资金筹措及还本付息表'!M9-'新建及改扩建项目投资概算明细 (光伏)'!K26-M69</f>
        <v>0</v>
      </c>
      <c r="N28" s="435">
        <f>'表1-资金筹措及还本付息表'!N8+'表1-资金筹措及还本付息表'!N9-'新建及改扩建项目投资概算明细 (光伏)'!L26-N69</f>
        <v>0</v>
      </c>
      <c r="O28" s="435">
        <f>'表1-资金筹措及还本付息表'!O8+'表1-资金筹措及还本付息表'!O9-'新建及改扩建项目投资概算明细 (光伏)'!M26-O69</f>
        <v>0</v>
      </c>
      <c r="P28" s="435">
        <f>'表1-资金筹措及还本付息表'!P8+'表1-资金筹措及还本付息表'!P9-'新建及改扩建项目投资概算明细 (光伏)'!N26-P69</f>
        <v>0</v>
      </c>
      <c r="Q28" s="435">
        <f>'表1-资金筹措及还本付息表'!Q8+'表1-资金筹措及还本付息表'!Q9-'新建及改扩建项目投资概算明细 (光伏)'!O26-Q69</f>
        <v>0</v>
      </c>
      <c r="R28" s="435">
        <f>'表1-资金筹措及还本付息表'!R8+'表1-资金筹措及还本付息表'!R9-'新建及改扩建项目投资概算明细 (光伏)'!P26-R69</f>
        <v>0</v>
      </c>
      <c r="S28" s="435">
        <f>'表1-资金筹措及还本付息表'!S8+'表1-资金筹措及还本付息表'!S9-'新建及改扩建项目投资概算明细 (光伏)'!Q26-S69</f>
        <v>0</v>
      </c>
      <c r="T28" s="435">
        <f>'表1-资金筹措及还本付息表'!T8+'表1-资金筹措及还本付息表'!T9-'新建及改扩建项目投资概算明细 (光伏)'!R26-T69</f>
        <v>0</v>
      </c>
      <c r="U28" s="435">
        <f>'表1-资金筹措及还本付息表'!U8+'表1-资金筹措及还本付息表'!U9-'新建及改扩建项目投资概算明细 (光伏)'!S26-U69</f>
        <v>0</v>
      </c>
      <c r="V28" s="435">
        <f>'表1-资金筹措及还本付息表'!V8+'表1-资金筹措及还本付息表'!V9-'新建及改扩建项目投资概算明细 (光伏)'!T26-V69</f>
        <v>0</v>
      </c>
      <c r="W28" s="435">
        <f>'表1-资金筹措及还本付息表'!W8+'表1-资金筹措及还本付息表'!W9-'新建及改扩建项目投资概算明细 (光伏)'!U26-W69</f>
        <v>0</v>
      </c>
      <c r="X28" s="435">
        <f>'表1-资金筹措及还本付息表'!X8+'表1-资金筹措及还本付息表'!X9-'新建及改扩建项目投资概算明细 (光伏)'!V26-X69</f>
        <v>0</v>
      </c>
      <c r="Y28" s="435">
        <f>'表1-资金筹措及还本付息表'!Y8+'表1-资金筹措及还本付息表'!Y9-'新建及改扩建项目投资概算明细 (光伏)'!W26-Y69</f>
        <v>0</v>
      </c>
      <c r="Z28" s="435">
        <f>'表1-资金筹措及还本付息表'!Z8+'表1-资金筹措及还本付息表'!Z9-'新建及改扩建项目投资概算明细 (光伏)'!X26-Z69</f>
        <v>0</v>
      </c>
      <c r="AA28" s="435">
        <f>'表1-资金筹措及还本付息表'!AA8+'表1-资金筹措及还本付息表'!AA9-'新建及改扩建项目投资概算明细 (光伏)'!Y26-AA69</f>
        <v>0</v>
      </c>
      <c r="AB28" s="435">
        <f>'表1-资金筹措及还本付息表'!AB8+'表1-资金筹措及还本付息表'!AB9-'新建及改扩建项目投资概算明细 (光伏)'!Z26-AB69</f>
        <v>0</v>
      </c>
      <c r="AC28" s="435">
        <f>'表1-资金筹措及还本付息表'!AC8+'表1-资金筹措及还本付息表'!AC9-'新建及改扩建项目投资概算明细 (光伏)'!AA26-AC69</f>
        <v>0</v>
      </c>
      <c r="AD28" s="435">
        <f>'表1-资金筹措及还本付息表'!AD8+'表1-资金筹措及还本付息表'!AD9-'新建及改扩建项目投资概算明细 (光伏)'!AB26-AD69</f>
        <v>0</v>
      </c>
      <c r="AE28" s="435">
        <f>'表1-资金筹措及还本付息表'!AE8+'表1-资金筹措及还本付息表'!AE9-'新建及改扩建项目投资概算明细 (光伏)'!AC26-AE69</f>
        <v>0</v>
      </c>
      <c r="AF28" s="435">
        <f>'表1-资金筹措及还本付息表'!AF8+'表1-资金筹措及还本付息表'!AF9-'新建及改扩建项目投资概算明细 (光伏)'!AD26-AF69</f>
        <v>0</v>
      </c>
    </row>
    <row r="29" spans="2:32">
      <c r="B29" s="408"/>
      <c r="C29" s="412" t="s">
        <v>556</v>
      </c>
      <c r="D29" s="409"/>
      <c r="E29" s="410" t="s">
        <v>24</v>
      </c>
      <c r="F29" s="413"/>
      <c r="G29" s="413"/>
      <c r="H29" s="413"/>
      <c r="I29" s="434"/>
      <c r="J29" s="436">
        <f ca="1">I29+J28</f>
        <v>37178.2709138565</v>
      </c>
      <c r="K29" s="436">
        <f ca="1">J29+K28</f>
        <v>123554.421669504</v>
      </c>
      <c r="L29" s="436">
        <f ca="1">K29+L28</f>
        <v>123554.421669504</v>
      </c>
      <c r="M29" s="436">
        <f ca="1" t="shared" ref="M29:AF29" si="0">L29+M28</f>
        <v>123554.421669504</v>
      </c>
      <c r="N29" s="436">
        <f ca="1" t="shared" si="0"/>
        <v>123554.421669504</v>
      </c>
      <c r="O29" s="436">
        <f ca="1" t="shared" si="0"/>
        <v>123554.421669504</v>
      </c>
      <c r="P29" s="436">
        <f ca="1" t="shared" si="0"/>
        <v>123554.421669504</v>
      </c>
      <c r="Q29" s="436">
        <f ca="1" t="shared" si="0"/>
        <v>123554.421669504</v>
      </c>
      <c r="R29" s="436">
        <f ca="1" t="shared" si="0"/>
        <v>123554.421669504</v>
      </c>
      <c r="S29" s="436">
        <f ca="1" t="shared" si="0"/>
        <v>123554.421669504</v>
      </c>
      <c r="T29" s="436">
        <f ca="1" t="shared" si="0"/>
        <v>123554.421669504</v>
      </c>
      <c r="U29" s="436">
        <f ca="1" t="shared" si="0"/>
        <v>123554.421669504</v>
      </c>
      <c r="V29" s="436">
        <f ca="1" t="shared" si="0"/>
        <v>123554.421669504</v>
      </c>
      <c r="W29" s="436">
        <f ca="1" t="shared" si="0"/>
        <v>123554.421669504</v>
      </c>
      <c r="X29" s="436">
        <f ca="1" t="shared" si="0"/>
        <v>123554.421669504</v>
      </c>
      <c r="Y29" s="436">
        <f ca="1" t="shared" si="0"/>
        <v>123554.421669504</v>
      </c>
      <c r="Z29" s="436">
        <f ca="1" t="shared" si="0"/>
        <v>123554.421669504</v>
      </c>
      <c r="AA29" s="436">
        <f ca="1" t="shared" si="0"/>
        <v>123554.421669504</v>
      </c>
      <c r="AB29" s="436">
        <f ca="1" t="shared" si="0"/>
        <v>123554.421669504</v>
      </c>
      <c r="AC29" s="436">
        <f ca="1" t="shared" si="0"/>
        <v>123554.421669504</v>
      </c>
      <c r="AD29" s="436">
        <f ca="1" t="shared" si="0"/>
        <v>123554.421669504</v>
      </c>
      <c r="AE29" s="436">
        <f ca="1" t="shared" si="0"/>
        <v>123554.421669504</v>
      </c>
      <c r="AF29" s="436">
        <f ca="1" t="shared" si="0"/>
        <v>123554.421669504</v>
      </c>
    </row>
    <row r="30" spans="2:32">
      <c r="B30" s="408"/>
      <c r="C30" s="259" t="s">
        <v>557</v>
      </c>
      <c r="D30" s="409"/>
      <c r="E30" s="410" t="s">
        <v>24</v>
      </c>
      <c r="F30" s="413"/>
      <c r="G30" s="413"/>
      <c r="H30" s="413"/>
      <c r="I30" s="434">
        <f>'表10-资产负债表(标准格式)'!H46</f>
        <v>0</v>
      </c>
      <c r="J30" s="436">
        <f ca="1">J29-J27</f>
        <v>18645.1076634309</v>
      </c>
      <c r="K30" s="436">
        <f ca="1">K29-K27</f>
        <v>0</v>
      </c>
      <c r="L30" s="436">
        <f ca="1" t="shared" ref="L30:O30" si="1">L29-L27</f>
        <v>0</v>
      </c>
      <c r="M30" s="436">
        <f ca="1" t="shared" si="1"/>
        <v>0</v>
      </c>
      <c r="N30" s="436">
        <f ca="1" t="shared" si="1"/>
        <v>0</v>
      </c>
      <c r="O30" s="436">
        <f ca="1" t="shared" si="1"/>
        <v>0</v>
      </c>
      <c r="P30" s="436">
        <f ca="1" t="shared" ref="P30:AF30" si="2">P29-P27</f>
        <v>0</v>
      </c>
      <c r="Q30" s="436">
        <f ca="1" t="shared" si="2"/>
        <v>0</v>
      </c>
      <c r="R30" s="436">
        <f ca="1" t="shared" si="2"/>
        <v>0</v>
      </c>
      <c r="S30" s="436">
        <f ca="1" t="shared" si="2"/>
        <v>0</v>
      </c>
      <c r="T30" s="436">
        <f ca="1" t="shared" si="2"/>
        <v>0</v>
      </c>
      <c r="U30" s="436">
        <f ca="1" t="shared" si="2"/>
        <v>0</v>
      </c>
      <c r="V30" s="436">
        <f ca="1" t="shared" si="2"/>
        <v>0</v>
      </c>
      <c r="W30" s="436">
        <f ca="1" t="shared" si="2"/>
        <v>0</v>
      </c>
      <c r="X30" s="436">
        <f ca="1" t="shared" si="2"/>
        <v>0</v>
      </c>
      <c r="Y30" s="436">
        <f ca="1" t="shared" si="2"/>
        <v>0</v>
      </c>
      <c r="Z30" s="436">
        <f ca="1" t="shared" si="2"/>
        <v>0</v>
      </c>
      <c r="AA30" s="436">
        <f ca="1" t="shared" si="2"/>
        <v>0</v>
      </c>
      <c r="AB30" s="436">
        <f ca="1" t="shared" si="2"/>
        <v>0</v>
      </c>
      <c r="AC30" s="436">
        <f ca="1" t="shared" si="2"/>
        <v>0</v>
      </c>
      <c r="AD30" s="436">
        <f ca="1" t="shared" si="2"/>
        <v>0</v>
      </c>
      <c r="AE30" s="436">
        <f ca="1" t="shared" si="2"/>
        <v>0</v>
      </c>
      <c r="AF30" s="436">
        <f ca="1" t="shared" si="2"/>
        <v>0</v>
      </c>
    </row>
    <row r="31" spans="2:32">
      <c r="B31" s="408"/>
      <c r="C31" s="414" t="s">
        <v>558</v>
      </c>
      <c r="D31" s="415">
        <f ca="1">SUM(F31:AF31)</f>
        <v>123554.421669504</v>
      </c>
      <c r="E31" s="410" t="s">
        <v>24</v>
      </c>
      <c r="F31" s="416"/>
      <c r="G31" s="416"/>
      <c r="H31" s="416"/>
      <c r="I31" s="416"/>
      <c r="J31" s="416">
        <f ca="1" t="shared" ref="J31:AF31" si="3">SUM(J32:J34)</f>
        <v>1029.6201805792</v>
      </c>
      <c r="K31" s="416">
        <f ca="1" t="shared" si="3"/>
        <v>6177.72108347521</v>
      </c>
      <c r="L31" s="416">
        <f ca="1" t="shared" si="3"/>
        <v>6864.13453719467</v>
      </c>
      <c r="M31" s="416">
        <f ca="1" t="shared" si="3"/>
        <v>6864.13453719467</v>
      </c>
      <c r="N31" s="416">
        <f ca="1" t="shared" si="3"/>
        <v>6864.13453719467</v>
      </c>
      <c r="O31" s="416">
        <f ca="1" t="shared" si="3"/>
        <v>6864.13453719467</v>
      </c>
      <c r="P31" s="416">
        <f ca="1" t="shared" si="3"/>
        <v>6864.13453719467</v>
      </c>
      <c r="Q31" s="416">
        <f ca="1" t="shared" si="3"/>
        <v>6864.13453719467</v>
      </c>
      <c r="R31" s="416">
        <f ca="1" t="shared" si="3"/>
        <v>6864.13453719467</v>
      </c>
      <c r="S31" s="416">
        <f ca="1" t="shared" si="3"/>
        <v>6864.13453719467</v>
      </c>
      <c r="T31" s="416">
        <f ca="1" t="shared" si="3"/>
        <v>6864.13453719467</v>
      </c>
      <c r="U31" s="416">
        <f ca="1" t="shared" si="3"/>
        <v>6864.13453719467</v>
      </c>
      <c r="V31" s="416">
        <f ca="1" t="shared" si="3"/>
        <v>6864.13453719467</v>
      </c>
      <c r="W31" s="416">
        <f ca="1" t="shared" si="3"/>
        <v>6864.13453719467</v>
      </c>
      <c r="X31" s="416">
        <f ca="1" t="shared" si="3"/>
        <v>6864.13453719467</v>
      </c>
      <c r="Y31" s="416">
        <f ca="1" t="shared" si="3"/>
        <v>6864.13453719467</v>
      </c>
      <c r="Z31" s="416">
        <f ca="1" t="shared" si="3"/>
        <v>6864.13453719467</v>
      </c>
      <c r="AA31" s="416">
        <f ca="1" t="shared" si="3"/>
        <v>6864.13453719467</v>
      </c>
      <c r="AB31" s="416">
        <f ca="1" t="shared" si="3"/>
        <v>5834.51435661547</v>
      </c>
      <c r="AC31" s="416">
        <f ca="1" t="shared" si="3"/>
        <v>686.413453719467</v>
      </c>
      <c r="AD31" s="416">
        <f t="shared" si="3"/>
        <v>0</v>
      </c>
      <c r="AE31" s="416">
        <f t="shared" si="3"/>
        <v>0</v>
      </c>
      <c r="AF31" s="416">
        <f t="shared" si="3"/>
        <v>0</v>
      </c>
    </row>
    <row r="32" s="373" customFormat="1" ht="14.5" spans="2:32">
      <c r="B32" s="408"/>
      <c r="C32" s="417" t="s">
        <v>559</v>
      </c>
      <c r="D32" s="418">
        <f ca="1">SUM(F32:AF32)</f>
        <v>18533.1632504256</v>
      </c>
      <c r="E32" s="360" t="s">
        <v>24</v>
      </c>
      <c r="F32" s="419"/>
      <c r="G32" s="419"/>
      <c r="H32" s="419"/>
      <c r="I32" s="419"/>
      <c r="J32" s="437">
        <f ca="1">(参数输入表!$I$148-参数输入表!$I$152-参数输入表!$I$441+$I$30)*(1-参数输入表!$I$439)*参数输入表!$I$35/参数输入表!$I$438</f>
        <v>1029.6201805792</v>
      </c>
      <c r="K32" s="437">
        <f ca="1">(参数输入表!$I$148-参数输入表!$I$152-参数输入表!$I$441+$I$30)*(1-参数输入表!$I$439)*参数输入表!$I$35/参数输入表!$I$438</f>
        <v>1029.6201805792</v>
      </c>
      <c r="L32" s="437">
        <f ca="1">(参数输入表!$I$148-参数输入表!$I$152-参数输入表!$I$441+$I$30)*(1-参数输入表!$I$439)*参数输入表!$I$35/参数输入表!$I$438</f>
        <v>1029.6201805792</v>
      </c>
      <c r="M32" s="437">
        <f ca="1">(参数输入表!$I$148-参数输入表!$I$152-参数输入表!$I$441+$I$30)*(1-参数输入表!$I$439)*参数输入表!$I$35/参数输入表!$I$438</f>
        <v>1029.6201805792</v>
      </c>
      <c r="N32" s="437">
        <f ca="1">(参数输入表!$I$148-参数输入表!$I$152-参数输入表!$I$441+$I$30)*(1-参数输入表!$I$439)*参数输入表!$I$35/参数输入表!$I$438</f>
        <v>1029.6201805792</v>
      </c>
      <c r="O32" s="437">
        <f ca="1">(参数输入表!$I$148-参数输入表!$I$152-参数输入表!$I$441+$I$30)*(1-参数输入表!$I$439)*参数输入表!$I$35/参数输入表!$I$438</f>
        <v>1029.6201805792</v>
      </c>
      <c r="P32" s="437">
        <f ca="1">(参数输入表!$I$148-参数输入表!$I$152-参数输入表!$I$441+$I$30)*(1-参数输入表!$I$439)*参数输入表!$I$35/参数输入表!$I$438</f>
        <v>1029.6201805792</v>
      </c>
      <c r="Q32" s="437">
        <f ca="1">(参数输入表!$I$148-参数输入表!$I$152-参数输入表!$I$441+$I$30)*(1-参数输入表!$I$439)*参数输入表!$I$35/参数输入表!$I$438</f>
        <v>1029.6201805792</v>
      </c>
      <c r="R32" s="437">
        <f ca="1">(参数输入表!$I$148-参数输入表!$I$152-参数输入表!$I$441+$I$30)*(1-参数输入表!$I$439)*参数输入表!$I$35/参数输入表!$I$438</f>
        <v>1029.6201805792</v>
      </c>
      <c r="S32" s="437">
        <f ca="1">(参数输入表!$I$148-参数输入表!$I$152-参数输入表!$I$441+$I$30)*(1-参数输入表!$I$439)*参数输入表!$I$35/参数输入表!$I$438</f>
        <v>1029.6201805792</v>
      </c>
      <c r="T32" s="437">
        <f ca="1">(参数输入表!$I$148-参数输入表!$I$152-参数输入表!$I$441+$I$30)*(1-参数输入表!$I$439)*参数输入表!$I$35/参数输入表!$I$438</f>
        <v>1029.6201805792</v>
      </c>
      <c r="U32" s="437">
        <f ca="1">(参数输入表!$I$148-参数输入表!$I$152-参数输入表!$I$441+$I$30)*(1-参数输入表!$I$439)*参数输入表!$I$35/参数输入表!$I$438</f>
        <v>1029.6201805792</v>
      </c>
      <c r="V32" s="437">
        <f ca="1">(参数输入表!$I$148-参数输入表!$I$152-参数输入表!$I$441+$I$30)*(1-参数输入表!$I$439)*参数输入表!$I$35/参数输入表!$I$438</f>
        <v>1029.6201805792</v>
      </c>
      <c r="W32" s="437">
        <f ca="1">(参数输入表!$I$148-参数输入表!$I$152-参数输入表!$I$441+$I$30)*(1-参数输入表!$I$439)*参数输入表!$I$35/参数输入表!$I$438</f>
        <v>1029.6201805792</v>
      </c>
      <c r="X32" s="437">
        <f ca="1">(参数输入表!$I$148-参数输入表!$I$152-参数输入表!$I$441+$I$30)*(1-参数输入表!$I$439)*参数输入表!$I$35/参数输入表!$I$438</f>
        <v>1029.6201805792</v>
      </c>
      <c r="Y32" s="437">
        <f ca="1">(参数输入表!$I$148-参数输入表!$I$152-参数输入表!$I$441+$I$30)*(1-参数输入表!$I$439)*参数输入表!$I$35/参数输入表!$I$438</f>
        <v>1029.6201805792</v>
      </c>
      <c r="Z32" s="437">
        <f ca="1">(参数输入表!$I$148-参数输入表!$I$152-参数输入表!$I$441+$I$30)*(1-参数输入表!$I$439)*参数输入表!$I$35/参数输入表!$I$438</f>
        <v>1029.6201805792</v>
      </c>
      <c r="AA32" s="437">
        <f ca="1">(参数输入表!$I$148-参数输入表!$I$152-参数输入表!$I$441+$I$30)*(1-参数输入表!$I$439)*参数输入表!$I$35/参数输入表!$I$438</f>
        <v>1029.6201805792</v>
      </c>
      <c r="AB32" s="419"/>
      <c r="AC32" s="419"/>
      <c r="AD32" s="419"/>
      <c r="AE32" s="419"/>
      <c r="AF32" s="419"/>
    </row>
    <row r="33" s="373" customFormat="1" ht="14.5" spans="2:32">
      <c r="B33" s="408"/>
      <c r="C33" s="417" t="s">
        <v>560</v>
      </c>
      <c r="D33" s="418">
        <f ca="1">SUM(F33:AF33)</f>
        <v>92665.8162521281</v>
      </c>
      <c r="E33" s="360" t="s">
        <v>24</v>
      </c>
      <c r="F33" s="419"/>
      <c r="G33" s="419"/>
      <c r="H33" s="419"/>
      <c r="I33" s="419"/>
      <c r="J33" s="419"/>
      <c r="K33" s="437">
        <f ca="1">(参数输入表!$I$148-参数输入表!$I$152-参数输入表!$I$441+$I$30)*(1-参数输入表!$I$439)*参数输入表!$I$36/参数输入表!$I$438</f>
        <v>5148.10090289601</v>
      </c>
      <c r="L33" s="437">
        <f ca="1">(参数输入表!$I$148-参数输入表!$I$152-参数输入表!$I$441+$I$30)*(1-参数输入表!$I$439)*参数输入表!$I$36/参数输入表!$I$438</f>
        <v>5148.10090289601</v>
      </c>
      <c r="M33" s="437">
        <f ca="1">(参数输入表!$I$148-参数输入表!$I$152-参数输入表!$I$441+$I$30)*(1-参数输入表!$I$439)*参数输入表!$I$36/参数输入表!$I$438</f>
        <v>5148.10090289601</v>
      </c>
      <c r="N33" s="437">
        <f ca="1">(参数输入表!$I$148-参数输入表!$I$152-参数输入表!$I$441+$I$30)*(1-参数输入表!$I$439)*参数输入表!$I$36/参数输入表!$I$438</f>
        <v>5148.10090289601</v>
      </c>
      <c r="O33" s="437">
        <f ca="1">(参数输入表!$I$148-参数输入表!$I$152-参数输入表!$I$441+$I$30)*(1-参数输入表!$I$439)*参数输入表!$I$36/参数输入表!$I$438</f>
        <v>5148.10090289601</v>
      </c>
      <c r="P33" s="437">
        <f ca="1">(参数输入表!$I$148-参数输入表!$I$152-参数输入表!$I$441+$I$30)*(1-参数输入表!$I$439)*参数输入表!$I$36/参数输入表!$I$438</f>
        <v>5148.10090289601</v>
      </c>
      <c r="Q33" s="437">
        <f ca="1">(参数输入表!$I$148-参数输入表!$I$152-参数输入表!$I$441+$I$30)*(1-参数输入表!$I$439)*参数输入表!$I$36/参数输入表!$I$438</f>
        <v>5148.10090289601</v>
      </c>
      <c r="R33" s="437">
        <f ca="1">(参数输入表!$I$148-参数输入表!$I$152-参数输入表!$I$441+$I$30)*(1-参数输入表!$I$439)*参数输入表!$I$36/参数输入表!$I$438</f>
        <v>5148.10090289601</v>
      </c>
      <c r="S33" s="437">
        <f ca="1">(参数输入表!$I$148-参数输入表!$I$152-参数输入表!$I$441+$I$30)*(1-参数输入表!$I$439)*参数输入表!$I$36/参数输入表!$I$438</f>
        <v>5148.10090289601</v>
      </c>
      <c r="T33" s="437">
        <f ca="1">(参数输入表!$I$148-参数输入表!$I$152-参数输入表!$I$441+$I$30)*(1-参数输入表!$I$439)*参数输入表!$I$36/参数输入表!$I$438</f>
        <v>5148.10090289601</v>
      </c>
      <c r="U33" s="437">
        <f ca="1">(参数输入表!$I$148-参数输入表!$I$152-参数输入表!$I$441+$I$30)*(1-参数输入表!$I$439)*参数输入表!$I$36/参数输入表!$I$438</f>
        <v>5148.10090289601</v>
      </c>
      <c r="V33" s="437">
        <f ca="1">(参数输入表!$I$148-参数输入表!$I$152-参数输入表!$I$441+$I$30)*(1-参数输入表!$I$439)*参数输入表!$I$36/参数输入表!$I$438</f>
        <v>5148.10090289601</v>
      </c>
      <c r="W33" s="437">
        <f ca="1">(参数输入表!$I$148-参数输入表!$I$152-参数输入表!$I$441+$I$30)*(1-参数输入表!$I$439)*参数输入表!$I$36/参数输入表!$I$438</f>
        <v>5148.10090289601</v>
      </c>
      <c r="X33" s="437">
        <f ca="1">(参数输入表!$I$148-参数输入表!$I$152-参数输入表!$I$441+$I$30)*(1-参数输入表!$I$439)*参数输入表!$I$36/参数输入表!$I$438</f>
        <v>5148.10090289601</v>
      </c>
      <c r="Y33" s="437">
        <f ca="1">(参数输入表!$I$148-参数输入表!$I$152-参数输入表!$I$441+$I$30)*(1-参数输入表!$I$439)*参数输入表!$I$36/参数输入表!$I$438</f>
        <v>5148.10090289601</v>
      </c>
      <c r="Z33" s="437">
        <f ca="1">(参数输入表!$I$148-参数输入表!$I$152-参数输入表!$I$441+$I$30)*(1-参数输入表!$I$439)*参数输入表!$I$36/参数输入表!$I$438</f>
        <v>5148.10090289601</v>
      </c>
      <c r="AA33" s="437">
        <f ca="1">(参数输入表!$I$148-参数输入表!$I$152-参数输入表!$I$441+$I$30)*(1-参数输入表!$I$439)*参数输入表!$I$36/参数输入表!$I$438</f>
        <v>5148.10090289601</v>
      </c>
      <c r="AB33" s="437">
        <f ca="1">(参数输入表!$I$148-参数输入表!$I$152-参数输入表!$I$441+$I$30)*(1-参数输入表!$I$439)*参数输入表!$I$36/参数输入表!$I$438</f>
        <v>5148.10090289601</v>
      </c>
      <c r="AC33" s="419"/>
      <c r="AD33" s="419"/>
      <c r="AE33" s="419"/>
      <c r="AF33" s="419"/>
    </row>
    <row r="34" s="373" customFormat="1" ht="14.5" spans="2:32">
      <c r="B34" s="408"/>
      <c r="C34" s="417" t="s">
        <v>561</v>
      </c>
      <c r="D34" s="418">
        <f ca="1">SUM(F34:AF34)</f>
        <v>12355.4421669504</v>
      </c>
      <c r="E34" s="360" t="s">
        <v>24</v>
      </c>
      <c r="F34" s="419"/>
      <c r="G34" s="419"/>
      <c r="H34" s="419"/>
      <c r="I34" s="419"/>
      <c r="J34" s="419"/>
      <c r="K34" s="438"/>
      <c r="L34" s="437">
        <f ca="1">(参数输入表!$I$148-参数输入表!$I$152-参数输入表!$I$441+$I$30)*(1-参数输入表!$I$439)*参数输入表!$I$37/参数输入表!$I$438</f>
        <v>686.413453719467</v>
      </c>
      <c r="M34" s="437">
        <f ca="1">(参数输入表!$I$148-参数输入表!$I$152-参数输入表!$I$441+$I$30)*(1-参数输入表!$I$439)*参数输入表!$I$37/参数输入表!$I$438</f>
        <v>686.413453719467</v>
      </c>
      <c r="N34" s="437">
        <f ca="1">(参数输入表!$I$148-参数输入表!$I$152-参数输入表!$I$441+$I$30)*(1-参数输入表!$I$439)*参数输入表!$I$37/参数输入表!$I$438</f>
        <v>686.413453719467</v>
      </c>
      <c r="O34" s="437">
        <f ca="1">(参数输入表!$I$148-参数输入表!$I$152-参数输入表!$I$441+$I$30)*(1-参数输入表!$I$439)*参数输入表!$I$37/参数输入表!$I$438</f>
        <v>686.413453719467</v>
      </c>
      <c r="P34" s="437">
        <f ca="1">(参数输入表!$I$148-参数输入表!$I$152-参数输入表!$I$441+$I$30)*(1-参数输入表!$I$439)*参数输入表!$I$37/参数输入表!$I$438</f>
        <v>686.413453719467</v>
      </c>
      <c r="Q34" s="437">
        <f ca="1">(参数输入表!$I$148-参数输入表!$I$152-参数输入表!$I$441+$I$30)*(1-参数输入表!$I$439)*参数输入表!$I$37/参数输入表!$I$438</f>
        <v>686.413453719467</v>
      </c>
      <c r="R34" s="437">
        <f ca="1">(参数输入表!$I$148-参数输入表!$I$152-参数输入表!$I$441+$I$30)*(1-参数输入表!$I$439)*参数输入表!$I$37/参数输入表!$I$438</f>
        <v>686.413453719467</v>
      </c>
      <c r="S34" s="437">
        <f ca="1">(参数输入表!$I$148-参数输入表!$I$152-参数输入表!$I$441+$I$30)*(1-参数输入表!$I$439)*参数输入表!$I$37/参数输入表!$I$438</f>
        <v>686.413453719467</v>
      </c>
      <c r="T34" s="437">
        <f ca="1">(参数输入表!$I$148-参数输入表!$I$152-参数输入表!$I$441+$I$30)*(1-参数输入表!$I$439)*参数输入表!$I$37/参数输入表!$I$438</f>
        <v>686.413453719467</v>
      </c>
      <c r="U34" s="437">
        <f ca="1">(参数输入表!$I$148-参数输入表!$I$152-参数输入表!$I$441+$I$30)*(1-参数输入表!$I$439)*参数输入表!$I$37/参数输入表!$I$438</f>
        <v>686.413453719467</v>
      </c>
      <c r="V34" s="437">
        <f ca="1">(参数输入表!$I$148-参数输入表!$I$152-参数输入表!$I$441+$I$30)*(1-参数输入表!$I$439)*参数输入表!$I$37/参数输入表!$I$438</f>
        <v>686.413453719467</v>
      </c>
      <c r="W34" s="437">
        <f ca="1">(参数输入表!$I$148-参数输入表!$I$152-参数输入表!$I$441+$I$30)*(1-参数输入表!$I$439)*参数输入表!$I$37/参数输入表!$I$438</f>
        <v>686.413453719467</v>
      </c>
      <c r="X34" s="437">
        <f ca="1">(参数输入表!$I$148-参数输入表!$I$152-参数输入表!$I$441+$I$30)*(1-参数输入表!$I$439)*参数输入表!$I$37/参数输入表!$I$438</f>
        <v>686.413453719467</v>
      </c>
      <c r="Y34" s="437">
        <f ca="1">(参数输入表!$I$148-参数输入表!$I$152-参数输入表!$I$441+$I$30)*(1-参数输入表!$I$439)*参数输入表!$I$37/参数输入表!$I$438</f>
        <v>686.413453719467</v>
      </c>
      <c r="Z34" s="437">
        <f ca="1">(参数输入表!$I$148-参数输入表!$I$152-参数输入表!$I$441+$I$30)*(1-参数输入表!$I$439)*参数输入表!$I$37/参数输入表!$I$438</f>
        <v>686.413453719467</v>
      </c>
      <c r="AA34" s="437">
        <f ca="1">(参数输入表!$I$148-参数输入表!$I$152-参数输入表!$I$441+$I$30)*(1-参数输入表!$I$439)*参数输入表!$I$37/参数输入表!$I$438</f>
        <v>686.413453719467</v>
      </c>
      <c r="AB34" s="437">
        <f ca="1">(参数输入表!$I$148-参数输入表!$I$152-参数输入表!$I$441+$I$30)*(1-参数输入表!$I$439)*参数输入表!$I$37/参数输入表!$I$438</f>
        <v>686.413453719467</v>
      </c>
      <c r="AC34" s="437">
        <f ca="1">(参数输入表!$I$148-参数输入表!$I$152-参数输入表!$I$441+$I$30)*(1-参数输入表!$I$439)*参数输入表!$I$37/参数输入表!$I$438</f>
        <v>686.413453719467</v>
      </c>
      <c r="AD34" s="419"/>
      <c r="AE34" s="419"/>
      <c r="AF34" s="419"/>
    </row>
    <row r="35" s="373" customFormat="1" spans="2:32">
      <c r="B35" s="408"/>
      <c r="C35" s="420" t="s">
        <v>562</v>
      </c>
      <c r="D35" s="421"/>
      <c r="E35" s="337" t="s">
        <v>24</v>
      </c>
      <c r="F35" s="421"/>
      <c r="G35" s="421"/>
      <c r="H35" s="421"/>
      <c r="I35" s="421"/>
      <c r="J35" s="421">
        <f ca="1">I35+J31</f>
        <v>1029.6201805792</v>
      </c>
      <c r="K35" s="421">
        <f ca="1" t="shared" ref="K35:P35" si="4">J35+K31</f>
        <v>7207.34126405441</v>
      </c>
      <c r="L35" s="421">
        <f ca="1" t="shared" si="4"/>
        <v>14071.4758012491</v>
      </c>
      <c r="M35" s="421">
        <f ca="1" t="shared" si="4"/>
        <v>20935.6103384438</v>
      </c>
      <c r="N35" s="421">
        <f ca="1" t="shared" si="4"/>
        <v>27799.7448756384</v>
      </c>
      <c r="O35" s="421">
        <f ca="1" t="shared" si="4"/>
        <v>34663.8794128331</v>
      </c>
      <c r="P35" s="421">
        <f ca="1" t="shared" si="4"/>
        <v>41528.0139500278</v>
      </c>
      <c r="Q35" s="421">
        <f ca="1" t="shared" ref="Q35:AF35" si="5">P35+Q31</f>
        <v>48392.1484872224</v>
      </c>
      <c r="R35" s="421">
        <f ca="1" t="shared" si="5"/>
        <v>55256.2830244171</v>
      </c>
      <c r="S35" s="421">
        <f ca="1" t="shared" si="5"/>
        <v>62120.4175616118</v>
      </c>
      <c r="T35" s="421">
        <f ca="1" t="shared" si="5"/>
        <v>68984.5520988065</v>
      </c>
      <c r="U35" s="421">
        <f ca="1" t="shared" si="5"/>
        <v>75848.6866360011</v>
      </c>
      <c r="V35" s="421">
        <f ca="1" t="shared" si="5"/>
        <v>82712.8211731958</v>
      </c>
      <c r="W35" s="421">
        <f ca="1" t="shared" si="5"/>
        <v>89576.9557103905</v>
      </c>
      <c r="X35" s="421">
        <f ca="1" t="shared" si="5"/>
        <v>96441.0902475852</v>
      </c>
      <c r="Y35" s="421">
        <f ca="1" t="shared" si="5"/>
        <v>103305.22478478</v>
      </c>
      <c r="Z35" s="421">
        <f ca="1" t="shared" si="5"/>
        <v>110169.359321975</v>
      </c>
      <c r="AA35" s="421">
        <f ca="1" t="shared" si="5"/>
        <v>117033.493859169</v>
      </c>
      <c r="AB35" s="421">
        <f ca="1" t="shared" si="5"/>
        <v>122868.008215785</v>
      </c>
      <c r="AC35" s="421">
        <f ca="1" t="shared" si="5"/>
        <v>123554.421669504</v>
      </c>
      <c r="AD35" s="421">
        <f ca="1" t="shared" si="5"/>
        <v>123554.421669504</v>
      </c>
      <c r="AE35" s="421">
        <f ca="1" t="shared" si="5"/>
        <v>123554.421669504</v>
      </c>
      <c r="AF35" s="421">
        <f ca="1" t="shared" si="5"/>
        <v>123554.421669504</v>
      </c>
    </row>
    <row r="36" ht="17.25" spans="2:32">
      <c r="B36" s="422"/>
      <c r="C36" s="423" t="s">
        <v>563</v>
      </c>
      <c r="D36" s="424"/>
      <c r="E36" s="425" t="s">
        <v>24</v>
      </c>
      <c r="F36" s="426"/>
      <c r="G36" s="426"/>
      <c r="H36" s="426"/>
      <c r="I36" s="426"/>
      <c r="J36" s="426">
        <f ca="1">J27-J35</f>
        <v>17503.5430698464</v>
      </c>
      <c r="K36" s="426">
        <f ca="1">K27-K35</f>
        <v>116347.08040545</v>
      </c>
      <c r="L36" s="426">
        <f ca="1" t="shared" ref="L36:AF36" si="6">L27-L35</f>
        <v>109482.945868255</v>
      </c>
      <c r="M36" s="426">
        <f ca="1" t="shared" si="6"/>
        <v>102618.81133106</v>
      </c>
      <c r="N36" s="426">
        <f ca="1" t="shared" si="6"/>
        <v>95754.6767938657</v>
      </c>
      <c r="O36" s="426">
        <f ca="1" t="shared" si="6"/>
        <v>88890.542256671</v>
      </c>
      <c r="P36" s="426">
        <f ca="1" t="shared" si="6"/>
        <v>82026.4077194764</v>
      </c>
      <c r="Q36" s="426">
        <f ca="1" t="shared" si="6"/>
        <v>75162.2731822817</v>
      </c>
      <c r="R36" s="426">
        <f ca="1" t="shared" si="6"/>
        <v>68298.138645087</v>
      </c>
      <c r="S36" s="426">
        <f ca="1" t="shared" si="6"/>
        <v>61434.0041078923</v>
      </c>
      <c r="T36" s="426">
        <f ca="1" t="shared" si="6"/>
        <v>54569.8695706977</v>
      </c>
      <c r="U36" s="426">
        <f ca="1" t="shared" si="6"/>
        <v>47705.735033503</v>
      </c>
      <c r="V36" s="426">
        <f ca="1" t="shared" si="6"/>
        <v>40841.6004963083</v>
      </c>
      <c r="W36" s="426">
        <f ca="1" t="shared" si="6"/>
        <v>33977.4659591136</v>
      </c>
      <c r="X36" s="426">
        <f ca="1" t="shared" si="6"/>
        <v>27113.3314219189</v>
      </c>
      <c r="Y36" s="426">
        <f ca="1" t="shared" si="6"/>
        <v>20249.1968847243</v>
      </c>
      <c r="Z36" s="426">
        <f ca="1" t="shared" si="6"/>
        <v>13385.0623475296</v>
      </c>
      <c r="AA36" s="426">
        <f ca="1" t="shared" si="6"/>
        <v>6520.92781033491</v>
      </c>
      <c r="AB36" s="426">
        <f ca="1" t="shared" si="6"/>
        <v>686.413453719433</v>
      </c>
      <c r="AC36" s="426">
        <f ca="1" t="shared" si="6"/>
        <v>0</v>
      </c>
      <c r="AD36" s="426">
        <f ca="1" t="shared" si="6"/>
        <v>0</v>
      </c>
      <c r="AE36" s="426">
        <f ca="1" t="shared" si="6"/>
        <v>0</v>
      </c>
      <c r="AF36" s="426">
        <f ca="1" t="shared" si="6"/>
        <v>0</v>
      </c>
    </row>
    <row r="37" spans="2:32">
      <c r="B37" s="427">
        <v>2</v>
      </c>
      <c r="C37" s="428" t="s">
        <v>564</v>
      </c>
      <c r="D37" s="429"/>
      <c r="E37" s="430" t="s">
        <v>24</v>
      </c>
      <c r="F37" s="429">
        <v>0</v>
      </c>
      <c r="G37" s="429">
        <f>F67</f>
        <v>0</v>
      </c>
      <c r="H37" s="429">
        <f t="shared" ref="H37:O37" si="7">G67</f>
        <v>0</v>
      </c>
      <c r="I37" s="429">
        <f t="shared" si="7"/>
        <v>0</v>
      </c>
      <c r="J37" s="429">
        <f t="shared" si="7"/>
        <v>0</v>
      </c>
      <c r="K37" s="429">
        <f t="shared" si="7"/>
        <v>0</v>
      </c>
      <c r="L37" s="429">
        <f t="shared" si="7"/>
        <v>0</v>
      </c>
      <c r="M37" s="429">
        <f t="shared" si="7"/>
        <v>0</v>
      </c>
      <c r="N37" s="429">
        <f t="shared" si="7"/>
        <v>366.97247706422</v>
      </c>
      <c r="O37" s="429">
        <f t="shared" si="7"/>
        <v>275.229357798165</v>
      </c>
      <c r="P37" s="429">
        <f t="shared" ref="P37:AF37" si="8">O67</f>
        <v>183.48623853211</v>
      </c>
      <c r="Q37" s="429">
        <f t="shared" si="8"/>
        <v>91.7431192660551</v>
      </c>
      <c r="R37" s="429">
        <f t="shared" si="8"/>
        <v>0</v>
      </c>
      <c r="S37" s="429">
        <f t="shared" si="8"/>
        <v>366.97247706422</v>
      </c>
      <c r="T37" s="429">
        <f t="shared" si="8"/>
        <v>275.229357798165</v>
      </c>
      <c r="U37" s="429">
        <f t="shared" si="8"/>
        <v>183.48623853211</v>
      </c>
      <c r="V37" s="429">
        <f t="shared" si="8"/>
        <v>91.7431192660551</v>
      </c>
      <c r="W37" s="429">
        <f t="shared" si="8"/>
        <v>0</v>
      </c>
      <c r="X37" s="429">
        <f t="shared" si="8"/>
        <v>366.97247706422</v>
      </c>
      <c r="Y37" s="429">
        <f t="shared" si="8"/>
        <v>275.229357798165</v>
      </c>
      <c r="Z37" s="429">
        <f t="shared" si="8"/>
        <v>183.48623853211</v>
      </c>
      <c r="AA37" s="429">
        <f t="shared" si="8"/>
        <v>91.7431192660551</v>
      </c>
      <c r="AB37" s="429">
        <f t="shared" si="8"/>
        <v>0</v>
      </c>
      <c r="AC37" s="429">
        <f t="shared" si="8"/>
        <v>366.97247706422</v>
      </c>
      <c r="AD37" s="429">
        <f t="shared" si="8"/>
        <v>275.229357798165</v>
      </c>
      <c r="AE37" s="429">
        <f t="shared" si="8"/>
        <v>183.48623853211</v>
      </c>
      <c r="AF37" s="429">
        <f t="shared" si="8"/>
        <v>91.7431192660551</v>
      </c>
    </row>
    <row r="38" spans="2:32">
      <c r="B38" s="408"/>
      <c r="C38" s="259" t="s">
        <v>565</v>
      </c>
      <c r="D38" s="409">
        <f>SUM(F38:AF38)</f>
        <v>1834.8623853211</v>
      </c>
      <c r="E38" s="410" t="s">
        <v>24</v>
      </c>
      <c r="F38" s="409">
        <f>参数输入表!I459/(1+参数输入表!I488)</f>
        <v>0</v>
      </c>
      <c r="G38" s="409">
        <f>参数输入表!I460/(1+参数输入表!I488)</f>
        <v>0</v>
      </c>
      <c r="H38" s="409">
        <f>参数输入表!I461/(1+参数输入表!I488)</f>
        <v>0</v>
      </c>
      <c r="I38" s="409">
        <f>参数输入表!I462/(1+参数输入表!I488)</f>
        <v>0</v>
      </c>
      <c r="J38" s="409">
        <f>参数输入表!I463/(1+参数输入表!I488)</f>
        <v>0</v>
      </c>
      <c r="K38" s="409">
        <f>参数输入表!I464/(1+参数输入表!I488)</f>
        <v>0</v>
      </c>
      <c r="L38" s="409">
        <f>参数输入表!I465/(1+参数输入表!I488)</f>
        <v>0</v>
      </c>
      <c r="M38" s="409">
        <f>参数输入表!I466/(1+参数输入表!I488)</f>
        <v>458.715596330275</v>
      </c>
      <c r="N38" s="409">
        <f>参数输入表!I467/(1+参数输入表!I488)</f>
        <v>0</v>
      </c>
      <c r="O38" s="409">
        <f>参数输入表!I468/(1+参数输入表!I488)</f>
        <v>0</v>
      </c>
      <c r="P38" s="409">
        <f>参数输入表!I469/(1+参数输入表!I488)</f>
        <v>0</v>
      </c>
      <c r="Q38" s="409">
        <f>参数输入表!I470/(1+参数输入表!I488)</f>
        <v>0</v>
      </c>
      <c r="R38" s="409">
        <f>参数输入表!I471/(1+参数输入表!I488)</f>
        <v>458.715596330275</v>
      </c>
      <c r="S38" s="409">
        <f>参数输入表!I472/(1+参数输入表!I488)</f>
        <v>0</v>
      </c>
      <c r="T38" s="409">
        <f>参数输入表!I473/(1+参数输入表!I488)</f>
        <v>0</v>
      </c>
      <c r="U38" s="409">
        <f>参数输入表!I474/(1+参数输入表!I488)</f>
        <v>0</v>
      </c>
      <c r="V38" s="409">
        <f>参数输入表!I475/(1+参数输入表!I488)</f>
        <v>0</v>
      </c>
      <c r="W38" s="409">
        <f>参数输入表!I476/(1+参数输入表!I488)</f>
        <v>458.715596330275</v>
      </c>
      <c r="X38" s="409">
        <f>参数输入表!I477/(1+参数输入表!I488)</f>
        <v>0</v>
      </c>
      <c r="Y38" s="409">
        <f>参数输入表!I478/(1+参数输入表!I488)</f>
        <v>0</v>
      </c>
      <c r="Z38" s="409">
        <f>参数输入表!I479/(1+参数输入表!I488)</f>
        <v>0</v>
      </c>
      <c r="AA38" s="409">
        <f>参数输入表!I480/(1+参数输入表!I488)</f>
        <v>0</v>
      </c>
      <c r="AB38" s="409">
        <f>参数输入表!I481/(1+参数输入表!I488)</f>
        <v>458.715596330275</v>
      </c>
      <c r="AC38" s="409">
        <f>参数输入表!I482/(1+参数输入表!I488)</f>
        <v>0</v>
      </c>
      <c r="AD38" s="409">
        <f>参数输入表!I483/(1+参数输入表!I488)</f>
        <v>0</v>
      </c>
      <c r="AE38" s="409">
        <f>参数输入表!I484/(1+参数输入表!I488)</f>
        <v>0</v>
      </c>
      <c r="AF38" s="409">
        <f>参数输入表!I485/(1+参数输入表!I488)</f>
        <v>0</v>
      </c>
    </row>
    <row r="39" spans="2:32">
      <c r="B39" s="408"/>
      <c r="C39" s="414" t="s">
        <v>566</v>
      </c>
      <c r="D39" s="415">
        <f>SUM(F39:AF39)</f>
        <v>1834.8623853211</v>
      </c>
      <c r="E39" s="410" t="s">
        <v>24</v>
      </c>
      <c r="F39" s="415">
        <f>SUM(F40:F66)</f>
        <v>0</v>
      </c>
      <c r="G39" s="415">
        <f t="shared" ref="G39:AF39" si="9">SUM(G40:G66)</f>
        <v>0</v>
      </c>
      <c r="H39" s="415">
        <f t="shared" si="9"/>
        <v>0</v>
      </c>
      <c r="I39" s="415">
        <f t="shared" si="9"/>
        <v>0</v>
      </c>
      <c r="J39" s="415">
        <f t="shared" si="9"/>
        <v>0</v>
      </c>
      <c r="K39" s="415">
        <f t="shared" si="9"/>
        <v>0</v>
      </c>
      <c r="L39" s="415">
        <f t="shared" si="9"/>
        <v>0</v>
      </c>
      <c r="M39" s="415">
        <f t="shared" si="9"/>
        <v>91.743119266055</v>
      </c>
      <c r="N39" s="415">
        <f t="shared" si="9"/>
        <v>91.743119266055</v>
      </c>
      <c r="O39" s="415">
        <f t="shared" si="9"/>
        <v>91.743119266055</v>
      </c>
      <c r="P39" s="415">
        <f t="shared" si="9"/>
        <v>91.743119266055</v>
      </c>
      <c r="Q39" s="415">
        <f t="shared" si="9"/>
        <v>91.743119266055</v>
      </c>
      <c r="R39" s="415">
        <f t="shared" si="9"/>
        <v>91.743119266055</v>
      </c>
      <c r="S39" s="415">
        <f t="shared" si="9"/>
        <v>91.743119266055</v>
      </c>
      <c r="T39" s="415">
        <f t="shared" si="9"/>
        <v>91.743119266055</v>
      </c>
      <c r="U39" s="415">
        <f t="shared" si="9"/>
        <v>91.743119266055</v>
      </c>
      <c r="V39" s="415">
        <f t="shared" si="9"/>
        <v>91.743119266055</v>
      </c>
      <c r="W39" s="415">
        <f t="shared" si="9"/>
        <v>91.743119266055</v>
      </c>
      <c r="X39" s="415">
        <f t="shared" si="9"/>
        <v>91.743119266055</v>
      </c>
      <c r="Y39" s="415">
        <f t="shared" si="9"/>
        <v>91.743119266055</v>
      </c>
      <c r="Z39" s="415">
        <f t="shared" si="9"/>
        <v>91.743119266055</v>
      </c>
      <c r="AA39" s="415">
        <f t="shared" si="9"/>
        <v>91.743119266055</v>
      </c>
      <c r="AB39" s="415">
        <f t="shared" si="9"/>
        <v>91.743119266055</v>
      </c>
      <c r="AC39" s="415">
        <f t="shared" si="9"/>
        <v>91.743119266055</v>
      </c>
      <c r="AD39" s="415">
        <f t="shared" si="9"/>
        <v>91.743119266055</v>
      </c>
      <c r="AE39" s="415">
        <f t="shared" si="9"/>
        <v>91.743119266055</v>
      </c>
      <c r="AF39" s="415">
        <f t="shared" si="9"/>
        <v>91.743119266055</v>
      </c>
    </row>
    <row r="40" s="373" customFormat="1" ht="14.5" spans="2:32">
      <c r="B40" s="408"/>
      <c r="C40" s="417" t="s">
        <v>328</v>
      </c>
      <c r="D40" s="418">
        <f t="shared" ref="D40:D66" si="10">SUM(F40:AF40)</f>
        <v>0</v>
      </c>
      <c r="E40" s="360" t="s">
        <v>24</v>
      </c>
      <c r="F40" s="419">
        <f>IF('表2-折旧摊销表'!$AF$25+1-'表2-折旧摊销表'!$F$25&gt;='表2-折旧摊销表'!$D$14,$F$38/$D$14,$F$38/('表2-折旧摊销表'!$AF$25+1-'表2-折旧摊销表'!$F$25))</f>
        <v>0</v>
      </c>
      <c r="G40" s="419">
        <f>IF('表2-折旧摊销表'!$AF$25+1-'表2-折旧摊销表'!$F$25&gt;='表2-折旧摊销表'!$D$14,$F$38/$D$14,$F$38/('表2-折旧摊销表'!$AF$25+1-'表2-折旧摊销表'!$F$25))</f>
        <v>0</v>
      </c>
      <c r="H40" s="419">
        <f>IF('表2-折旧摊销表'!$AF$25+1-'表2-折旧摊销表'!$F$25&gt;='表2-折旧摊销表'!$D$14,$F$38/$D$14,$F$38/('表2-折旧摊销表'!$AF$25+1-'表2-折旧摊销表'!$F$25))</f>
        <v>0</v>
      </c>
      <c r="I40" s="419">
        <f>IF('表2-折旧摊销表'!$AF$25+1-'表2-折旧摊销表'!$F$25&gt;='表2-折旧摊销表'!$D$14,$F$38/$D$14,$F$38/('表2-折旧摊销表'!$AF$25+1-'表2-折旧摊销表'!$F$25))</f>
        <v>0</v>
      </c>
      <c r="J40" s="419">
        <f>IF('表2-折旧摊销表'!$AF$25+1-'表2-折旧摊销表'!$F$25&gt;='表2-折旧摊销表'!$D$14,$F$38/$D$14,$F$38/('表2-折旧摊销表'!$AF$25+1-'表2-折旧摊销表'!$F$25))</f>
        <v>0</v>
      </c>
      <c r="K40" s="419"/>
      <c r="L40" s="419"/>
      <c r="M40" s="419"/>
      <c r="N40" s="419"/>
      <c r="O40" s="419"/>
      <c r="P40" s="419"/>
      <c r="Q40" s="419"/>
      <c r="R40" s="419"/>
      <c r="S40" s="419"/>
      <c r="T40" s="419"/>
      <c r="U40" s="419"/>
      <c r="V40" s="419"/>
      <c r="W40" s="419"/>
      <c r="X40" s="419"/>
      <c r="Y40" s="419"/>
      <c r="Z40" s="419"/>
      <c r="AA40" s="419"/>
      <c r="AB40" s="419"/>
      <c r="AC40" s="419"/>
      <c r="AD40" s="419"/>
      <c r="AE40" s="419"/>
      <c r="AF40" s="419"/>
    </row>
    <row r="41" s="373" customFormat="1" ht="14.5" spans="2:32">
      <c r="B41" s="408"/>
      <c r="C41" s="417" t="s">
        <v>330</v>
      </c>
      <c r="D41" s="418">
        <f t="shared" si="10"/>
        <v>0</v>
      </c>
      <c r="E41" s="360" t="s">
        <v>24</v>
      </c>
      <c r="F41" s="419"/>
      <c r="G41" s="419">
        <f>IF('表2-折旧摊销表'!$AF$25+1-'表2-折旧摊销表'!$G$25&gt;='表2-折旧摊销表'!$D$14,$G$38/$D$14,$G$38/('表2-折旧摊销表'!$AF$25+1-'表2-折旧摊销表'!$G$25))</f>
        <v>0</v>
      </c>
      <c r="H41" s="419">
        <f>IF('表2-折旧摊销表'!$AF$25+1-'表2-折旧摊销表'!$G$25&gt;='表2-折旧摊销表'!$D$14,$G$38/$D$14,$G$38/('表2-折旧摊销表'!$AF$25+1-'表2-折旧摊销表'!$G$25))</f>
        <v>0</v>
      </c>
      <c r="I41" s="419">
        <f>IF('表2-折旧摊销表'!$AF$25+1-'表2-折旧摊销表'!$G$25&gt;='表2-折旧摊销表'!$D$14,$G$38/$D$14,$G$38/('表2-折旧摊销表'!$AF$25+1-'表2-折旧摊销表'!$G$25))</f>
        <v>0</v>
      </c>
      <c r="J41" s="419">
        <f>IF('表2-折旧摊销表'!$AF$25+1-'表2-折旧摊销表'!$G$25&gt;='表2-折旧摊销表'!$D$14,$G$38/$D$14,$G$38/('表2-折旧摊销表'!$AF$25+1-'表2-折旧摊销表'!$G$25))</f>
        <v>0</v>
      </c>
      <c r="K41" s="419">
        <f>IF('表2-折旧摊销表'!$AF$25+1-'表2-折旧摊销表'!$G$25&gt;='表2-折旧摊销表'!$D$14,$G$38/$D$14,$G$38/('表2-折旧摊销表'!$AF$25+1-'表2-折旧摊销表'!$G$25))</f>
        <v>0</v>
      </c>
      <c r="L41" s="419"/>
      <c r="M41" s="419"/>
      <c r="N41" s="419"/>
      <c r="O41" s="419"/>
      <c r="P41" s="419"/>
      <c r="Q41" s="419"/>
      <c r="R41" s="419"/>
      <c r="S41" s="419"/>
      <c r="T41" s="419"/>
      <c r="U41" s="419"/>
      <c r="V41" s="419"/>
      <c r="W41" s="419"/>
      <c r="X41" s="419"/>
      <c r="Y41" s="419"/>
      <c r="Z41" s="419"/>
      <c r="AA41" s="419"/>
      <c r="AB41" s="419"/>
      <c r="AC41" s="419"/>
      <c r="AD41" s="419"/>
      <c r="AE41" s="419"/>
      <c r="AF41" s="419"/>
    </row>
    <row r="42" s="373" customFormat="1" ht="14.5" spans="2:32">
      <c r="B42" s="408"/>
      <c r="C42" s="417" t="s">
        <v>331</v>
      </c>
      <c r="D42" s="418">
        <f t="shared" si="10"/>
        <v>0</v>
      </c>
      <c r="E42" s="360" t="s">
        <v>24</v>
      </c>
      <c r="F42" s="419"/>
      <c r="G42" s="419"/>
      <c r="H42" s="419">
        <f>IF('表2-折旧摊销表'!$AF$25+1-'表2-折旧摊销表'!$H$25&gt;='表2-折旧摊销表'!$D$14,$H$38/$D$14,$H$38/('表2-折旧摊销表'!$AF$25+1-'表2-折旧摊销表'!$H$25))</f>
        <v>0</v>
      </c>
      <c r="I42" s="419">
        <f>IF('表2-折旧摊销表'!$AF$25+1-'表2-折旧摊销表'!$H$25&gt;='表2-折旧摊销表'!$D$14,$H$38/$D$14,$H$38/('表2-折旧摊销表'!$AF$25+1-'表2-折旧摊销表'!$H$25))</f>
        <v>0</v>
      </c>
      <c r="J42" s="419">
        <f>IF('表2-折旧摊销表'!$AF$25+1-'表2-折旧摊销表'!$H$25&gt;='表2-折旧摊销表'!$D$14,$H$38/$D$14,$H$38/('表2-折旧摊销表'!$AF$25+1-'表2-折旧摊销表'!$H$25))</f>
        <v>0</v>
      </c>
      <c r="K42" s="419">
        <f>IF('表2-折旧摊销表'!$AF$25+1-'表2-折旧摊销表'!$H$25&gt;='表2-折旧摊销表'!$D$14,$H$38/$D$14,$H$38/('表2-折旧摊销表'!$AF$25+1-'表2-折旧摊销表'!$H$25))</f>
        <v>0</v>
      </c>
      <c r="L42" s="419">
        <f>IF('表2-折旧摊销表'!$AF$25+1-'表2-折旧摊销表'!$H$25&gt;='表2-折旧摊销表'!$D$14,$H$38/$D$14,$H$38/('表2-折旧摊销表'!$AF$25+1-'表2-折旧摊销表'!$H$25))</f>
        <v>0</v>
      </c>
      <c r="M42" s="419"/>
      <c r="N42" s="419"/>
      <c r="O42" s="419"/>
      <c r="P42" s="419"/>
      <c r="Q42" s="419"/>
      <c r="R42" s="419"/>
      <c r="S42" s="419"/>
      <c r="T42" s="419"/>
      <c r="U42" s="419"/>
      <c r="V42" s="419"/>
      <c r="W42" s="419"/>
      <c r="X42" s="419"/>
      <c r="Y42" s="419"/>
      <c r="Z42" s="419"/>
      <c r="AA42" s="419"/>
      <c r="AB42" s="419"/>
      <c r="AC42" s="419"/>
      <c r="AD42" s="419"/>
      <c r="AE42" s="419"/>
      <c r="AF42" s="419"/>
    </row>
    <row r="43" s="373" customFormat="1" ht="14.5" spans="2:32">
      <c r="B43" s="408"/>
      <c r="C43" s="417" t="s">
        <v>332</v>
      </c>
      <c r="D43" s="418">
        <f t="shared" si="10"/>
        <v>0</v>
      </c>
      <c r="E43" s="360" t="s">
        <v>24</v>
      </c>
      <c r="F43" s="419"/>
      <c r="G43" s="419"/>
      <c r="H43" s="419"/>
      <c r="I43" s="419">
        <f>IF('表2-折旧摊销表'!$AF$25+1-'表2-折旧摊销表'!$I$25&gt;='表2-折旧摊销表'!$D$14,$I$38/$D$14,$I$38/('表2-折旧摊销表'!$AF$25+1-'表2-折旧摊销表'!$I$25))</f>
        <v>0</v>
      </c>
      <c r="J43" s="419">
        <f>IF('表2-折旧摊销表'!$AF$25+1-'表2-折旧摊销表'!$I$25&gt;='表2-折旧摊销表'!$D$14,$I$38/$D$14,$I$38/('表2-折旧摊销表'!$AF$25+1-'表2-折旧摊销表'!$I$25))</f>
        <v>0</v>
      </c>
      <c r="K43" s="419">
        <f>IF('表2-折旧摊销表'!$AF$25+1-'表2-折旧摊销表'!$I$25&gt;='表2-折旧摊销表'!$D$14,$I$38/$D$14,$I$38/('表2-折旧摊销表'!$AF$25+1-'表2-折旧摊销表'!$I$25))</f>
        <v>0</v>
      </c>
      <c r="L43" s="419">
        <f>IF('表2-折旧摊销表'!$AF$25+1-'表2-折旧摊销表'!$I$25&gt;='表2-折旧摊销表'!$D$14,$I$38/$D$14,$I$38/('表2-折旧摊销表'!$AF$25+1-'表2-折旧摊销表'!$I$25))</f>
        <v>0</v>
      </c>
      <c r="M43" s="419">
        <f>IF('表2-折旧摊销表'!$AF$25+1-'表2-折旧摊销表'!$I$25&gt;='表2-折旧摊销表'!$D$14,$I$38/$D$14,$I$38/('表2-折旧摊销表'!$AF$25+1-'表2-折旧摊销表'!$I$25))</f>
        <v>0</v>
      </c>
      <c r="N43" s="419"/>
      <c r="O43" s="419"/>
      <c r="P43" s="419"/>
      <c r="Q43" s="419"/>
      <c r="R43" s="419"/>
      <c r="S43" s="419"/>
      <c r="T43" s="419"/>
      <c r="U43" s="419"/>
      <c r="V43" s="419"/>
      <c r="W43" s="419"/>
      <c r="X43" s="419"/>
      <c r="Y43" s="419"/>
      <c r="Z43" s="419"/>
      <c r="AA43" s="419"/>
      <c r="AB43" s="419"/>
      <c r="AC43" s="419"/>
      <c r="AD43" s="419"/>
      <c r="AE43" s="419"/>
      <c r="AF43" s="419"/>
    </row>
    <row r="44" s="373" customFormat="1" ht="14.5" spans="2:32">
      <c r="B44" s="408"/>
      <c r="C44" s="417" t="s">
        <v>333</v>
      </c>
      <c r="D44" s="418">
        <f t="shared" si="10"/>
        <v>0</v>
      </c>
      <c r="E44" s="360" t="s">
        <v>24</v>
      </c>
      <c r="F44" s="419"/>
      <c r="G44" s="419"/>
      <c r="H44" s="419"/>
      <c r="I44" s="419"/>
      <c r="J44" s="419">
        <f>IF('表2-折旧摊销表'!$AF$25+1-'表2-折旧摊销表'!$J$25&gt;='表2-折旧摊销表'!$D$14,$J$38/$D$14,$J$38/('表2-折旧摊销表'!$AF$25+1-'表2-折旧摊销表'!$J$25))</f>
        <v>0</v>
      </c>
      <c r="K44" s="419">
        <f>IF('表2-折旧摊销表'!$AF$25+1-'表2-折旧摊销表'!$J$25&gt;='表2-折旧摊销表'!$D$14,$J$38/$D$14,$J$38/('表2-折旧摊销表'!$AF$25+1-'表2-折旧摊销表'!$J$25))</f>
        <v>0</v>
      </c>
      <c r="L44" s="419">
        <f>IF('表2-折旧摊销表'!$AF$25+1-'表2-折旧摊销表'!$J$25&gt;='表2-折旧摊销表'!$D$14,$J$38/$D$14,$J$38/('表2-折旧摊销表'!$AF$25+1-'表2-折旧摊销表'!$J$25))</f>
        <v>0</v>
      </c>
      <c r="M44" s="419">
        <f>IF('表2-折旧摊销表'!$AF$25+1-'表2-折旧摊销表'!$J$25&gt;='表2-折旧摊销表'!$D$14,$J$38/$D$14,$J$38/('表2-折旧摊销表'!$AF$25+1-'表2-折旧摊销表'!$J$25))</f>
        <v>0</v>
      </c>
      <c r="N44" s="419">
        <f>IF('表2-折旧摊销表'!$AF$25+1-'表2-折旧摊销表'!$J$25&gt;='表2-折旧摊销表'!$D$14,$J$38/$D$14,$J$38/('表2-折旧摊销表'!$AF$25+1-'表2-折旧摊销表'!$J$25))</f>
        <v>0</v>
      </c>
      <c r="O44" s="419"/>
      <c r="P44" s="419"/>
      <c r="Q44" s="419"/>
      <c r="R44" s="419"/>
      <c r="S44" s="419"/>
      <c r="T44" s="419"/>
      <c r="U44" s="419"/>
      <c r="V44" s="419"/>
      <c r="W44" s="419"/>
      <c r="X44" s="419"/>
      <c r="Y44" s="419"/>
      <c r="Z44" s="419"/>
      <c r="AA44" s="419"/>
      <c r="AB44" s="419"/>
      <c r="AC44" s="419"/>
      <c r="AD44" s="419"/>
      <c r="AE44" s="419"/>
      <c r="AF44" s="419"/>
    </row>
    <row r="45" s="373" customFormat="1" ht="14.5" spans="2:32">
      <c r="B45" s="408"/>
      <c r="C45" s="417" t="s">
        <v>334</v>
      </c>
      <c r="D45" s="418">
        <f t="shared" si="10"/>
        <v>0</v>
      </c>
      <c r="E45" s="360" t="s">
        <v>24</v>
      </c>
      <c r="F45" s="419"/>
      <c r="G45" s="419"/>
      <c r="H45" s="419"/>
      <c r="I45" s="419"/>
      <c r="J45" s="419"/>
      <c r="K45" s="419">
        <f>IF('表2-折旧摊销表'!$AF$25+1-'表2-折旧摊销表'!$K$25&gt;='表2-折旧摊销表'!$D$14,$K$38/$D$14,$K$38/('表2-折旧摊销表'!$AF$25+1-'表2-折旧摊销表'!$K$25))</f>
        <v>0</v>
      </c>
      <c r="L45" s="419">
        <f>IF('表2-折旧摊销表'!$AF$25+1-'表2-折旧摊销表'!$K$25&gt;='表2-折旧摊销表'!$D$14,$K$38/$D$14,$K$38/('表2-折旧摊销表'!$AF$25+1-'表2-折旧摊销表'!$K$25))</f>
        <v>0</v>
      </c>
      <c r="M45" s="419">
        <f>IF('表2-折旧摊销表'!$AF$25+1-'表2-折旧摊销表'!$K$25&gt;='表2-折旧摊销表'!$D$14,$K$38/$D$14,$K$38/('表2-折旧摊销表'!$AF$25+1-'表2-折旧摊销表'!$K$25))</f>
        <v>0</v>
      </c>
      <c r="N45" s="419">
        <f>IF('表2-折旧摊销表'!$AF$25+1-'表2-折旧摊销表'!$K$25&gt;='表2-折旧摊销表'!$D$14,$K$38/$D$14,$K$38/('表2-折旧摊销表'!$AF$25+1-'表2-折旧摊销表'!$K$25))</f>
        <v>0</v>
      </c>
      <c r="O45" s="419">
        <f>IF('表2-折旧摊销表'!$AF$25+1-'表2-折旧摊销表'!$K$25&gt;='表2-折旧摊销表'!$D$14,$K$38/$D$14,$K$38/('表2-折旧摊销表'!$AF$25+1-'表2-折旧摊销表'!$K$25))</f>
        <v>0</v>
      </c>
      <c r="P45" s="419"/>
      <c r="Q45" s="419"/>
      <c r="R45" s="419"/>
      <c r="S45" s="419"/>
      <c r="T45" s="419"/>
      <c r="U45" s="419"/>
      <c r="V45" s="419"/>
      <c r="W45" s="419"/>
      <c r="X45" s="419"/>
      <c r="Y45" s="419"/>
      <c r="Z45" s="419"/>
      <c r="AA45" s="419"/>
      <c r="AB45" s="419"/>
      <c r="AC45" s="419"/>
      <c r="AD45" s="419"/>
      <c r="AE45" s="419"/>
      <c r="AF45" s="419"/>
    </row>
    <row r="46" s="373" customFormat="1" ht="14.5" spans="2:32">
      <c r="B46" s="408"/>
      <c r="C46" s="417" t="s">
        <v>335</v>
      </c>
      <c r="D46" s="418">
        <f t="shared" si="10"/>
        <v>0</v>
      </c>
      <c r="E46" s="360" t="s">
        <v>24</v>
      </c>
      <c r="F46" s="419"/>
      <c r="G46" s="419"/>
      <c r="H46" s="419"/>
      <c r="I46" s="419"/>
      <c r="J46" s="419"/>
      <c r="K46" s="419"/>
      <c r="L46" s="419">
        <f>IF('表2-折旧摊销表'!$AF$25+1-'表2-折旧摊销表'!$L$25&gt;='表2-折旧摊销表'!$D$14,$L$38/$D$14,$L$38/('表2-折旧摊销表'!$AF$25+1-'表2-折旧摊销表'!$L$25))</f>
        <v>0</v>
      </c>
      <c r="M46" s="419">
        <f>IF('表2-折旧摊销表'!$AF$25+1-'表2-折旧摊销表'!$L$25&gt;='表2-折旧摊销表'!$D$14,$L$38/$D$14,$L$38/('表2-折旧摊销表'!$AF$25+1-'表2-折旧摊销表'!$L$25))</f>
        <v>0</v>
      </c>
      <c r="N46" s="419">
        <f>IF('表2-折旧摊销表'!$AF$25+1-'表2-折旧摊销表'!$L$25&gt;='表2-折旧摊销表'!$D$14,$L$38/$D$14,$L$38/('表2-折旧摊销表'!$AF$25+1-'表2-折旧摊销表'!$L$25))</f>
        <v>0</v>
      </c>
      <c r="O46" s="419">
        <f>IF('表2-折旧摊销表'!$AF$25+1-'表2-折旧摊销表'!$L$25&gt;='表2-折旧摊销表'!$D$14,$L$38/$D$14,$L$38/('表2-折旧摊销表'!$AF$25+1-'表2-折旧摊销表'!$L$25))</f>
        <v>0</v>
      </c>
      <c r="P46" s="419">
        <f>IF('表2-折旧摊销表'!$AF$25+1-'表2-折旧摊销表'!$L$25&gt;='表2-折旧摊销表'!$D$14,$L$38/$D$14,$L$38/('表2-折旧摊销表'!$AF$25+1-'表2-折旧摊销表'!$L$25))</f>
        <v>0</v>
      </c>
      <c r="Q46" s="419"/>
      <c r="R46" s="419"/>
      <c r="S46" s="419"/>
      <c r="T46" s="419"/>
      <c r="U46" s="419"/>
      <c r="V46" s="419"/>
      <c r="W46" s="419"/>
      <c r="X46" s="419"/>
      <c r="Y46" s="419"/>
      <c r="Z46" s="419"/>
      <c r="AA46" s="419"/>
      <c r="AB46" s="419"/>
      <c r="AC46" s="419"/>
      <c r="AD46" s="419"/>
      <c r="AE46" s="419"/>
      <c r="AF46" s="419"/>
    </row>
    <row r="47" s="373" customFormat="1" ht="14.5" spans="2:32">
      <c r="B47" s="408"/>
      <c r="C47" s="417" t="s">
        <v>336</v>
      </c>
      <c r="D47" s="418">
        <f t="shared" si="10"/>
        <v>458.715596330275</v>
      </c>
      <c r="E47" s="360" t="s">
        <v>24</v>
      </c>
      <c r="F47" s="419"/>
      <c r="G47" s="419"/>
      <c r="H47" s="419"/>
      <c r="I47" s="419"/>
      <c r="J47" s="419"/>
      <c r="K47" s="419"/>
      <c r="L47" s="419"/>
      <c r="M47" s="419">
        <f>IF('表2-折旧摊销表'!$AF$25+1-'表2-折旧摊销表'!$M$25&gt;='表2-折旧摊销表'!$D$14,$M$38/$D$14,$M$38/('表2-折旧摊销表'!$AF$25+1-'表2-折旧摊销表'!$M$25))</f>
        <v>91.743119266055</v>
      </c>
      <c r="N47" s="419">
        <f>IF('表2-折旧摊销表'!$AF$25+1-'表2-折旧摊销表'!$M$25&gt;='表2-折旧摊销表'!$D$14,$M$38/$D$14,$M$38/('表2-折旧摊销表'!$AF$25+1-'表2-折旧摊销表'!$M$25))</f>
        <v>91.743119266055</v>
      </c>
      <c r="O47" s="419">
        <f>IF('表2-折旧摊销表'!$AF$25+1-'表2-折旧摊销表'!$M$25&gt;='表2-折旧摊销表'!$D$14,$M$38/$D$14,$M$38/('表2-折旧摊销表'!$AF$25+1-'表2-折旧摊销表'!$M$25))</f>
        <v>91.743119266055</v>
      </c>
      <c r="P47" s="419">
        <f>IF('表2-折旧摊销表'!$AF$25+1-'表2-折旧摊销表'!$M$25&gt;='表2-折旧摊销表'!$D$14,$M$38/$D$14,$M$38/('表2-折旧摊销表'!$AF$25+1-'表2-折旧摊销表'!$M$25))</f>
        <v>91.743119266055</v>
      </c>
      <c r="Q47" s="419">
        <f>IF('表2-折旧摊销表'!$AF$25+1-'表2-折旧摊销表'!$M$25&gt;='表2-折旧摊销表'!$D$14,$M$38/$D$14,$M$38/('表2-折旧摊销表'!$AF$25+1-'表2-折旧摊销表'!$M$25))</f>
        <v>91.743119266055</v>
      </c>
      <c r="R47" s="419"/>
      <c r="S47" s="419"/>
      <c r="T47" s="419"/>
      <c r="U47" s="419"/>
      <c r="V47" s="419"/>
      <c r="W47" s="419"/>
      <c r="X47" s="419"/>
      <c r="Y47" s="419"/>
      <c r="Z47" s="419"/>
      <c r="AA47" s="419"/>
      <c r="AB47" s="419"/>
      <c r="AC47" s="419"/>
      <c r="AD47" s="419"/>
      <c r="AE47" s="419"/>
      <c r="AF47" s="419"/>
    </row>
    <row r="48" s="373" customFormat="1" ht="14.5" spans="2:32">
      <c r="B48" s="408"/>
      <c r="C48" s="417" t="s">
        <v>337</v>
      </c>
      <c r="D48" s="418">
        <f t="shared" si="10"/>
        <v>0</v>
      </c>
      <c r="E48" s="360" t="s">
        <v>24</v>
      </c>
      <c r="F48" s="419"/>
      <c r="G48" s="419"/>
      <c r="H48" s="419"/>
      <c r="I48" s="419"/>
      <c r="J48" s="419"/>
      <c r="K48" s="419"/>
      <c r="L48" s="419"/>
      <c r="M48" s="419"/>
      <c r="N48" s="419">
        <f>IF('表2-折旧摊销表'!$AF$25+1-'表2-折旧摊销表'!$N$25&gt;='表2-折旧摊销表'!$D$14,$N$38/$D$14,$N$38/('表2-折旧摊销表'!$AF$25+1-'表2-折旧摊销表'!$N$25))</f>
        <v>0</v>
      </c>
      <c r="O48" s="419">
        <f>IF('表2-折旧摊销表'!$AF$25+1-'表2-折旧摊销表'!$N$25&gt;='表2-折旧摊销表'!$D$14,$N$38/$D$14,$N$38/('表2-折旧摊销表'!$AF$25+1-'表2-折旧摊销表'!$N$25))</f>
        <v>0</v>
      </c>
      <c r="P48" s="419">
        <f>IF('表2-折旧摊销表'!$AF$25+1-'表2-折旧摊销表'!$N$25&gt;='表2-折旧摊销表'!$D$14,$N$38/$D$14,$N$38/('表2-折旧摊销表'!$AF$25+1-'表2-折旧摊销表'!$N$25))</f>
        <v>0</v>
      </c>
      <c r="Q48" s="419">
        <f>IF('表2-折旧摊销表'!$AF$25+1-'表2-折旧摊销表'!$N$25&gt;='表2-折旧摊销表'!$D$14,$N$38/$D$14,$N$38/('表2-折旧摊销表'!$AF$25+1-'表2-折旧摊销表'!$N$25))</f>
        <v>0</v>
      </c>
      <c r="R48" s="419">
        <f>IF('表2-折旧摊销表'!$AF$25+1-'表2-折旧摊销表'!$N$25&gt;='表2-折旧摊销表'!$D$14,$N$38/$D$14,$N$38/('表2-折旧摊销表'!$AF$25+1-'表2-折旧摊销表'!$N$25))</f>
        <v>0</v>
      </c>
      <c r="S48" s="419"/>
      <c r="T48" s="419"/>
      <c r="U48" s="419"/>
      <c r="V48" s="419"/>
      <c r="W48" s="419"/>
      <c r="X48" s="419"/>
      <c r="Y48" s="419"/>
      <c r="Z48" s="419"/>
      <c r="AA48" s="419"/>
      <c r="AB48" s="419"/>
      <c r="AC48" s="419"/>
      <c r="AD48" s="419"/>
      <c r="AE48" s="419"/>
      <c r="AF48" s="419"/>
    </row>
    <row r="49" s="373" customFormat="1" ht="14.5" spans="2:32">
      <c r="B49" s="408"/>
      <c r="C49" s="417" t="s">
        <v>338</v>
      </c>
      <c r="D49" s="418">
        <f t="shared" si="10"/>
        <v>0</v>
      </c>
      <c r="E49" s="360" t="s">
        <v>24</v>
      </c>
      <c r="F49" s="419"/>
      <c r="G49" s="419"/>
      <c r="H49" s="419"/>
      <c r="I49" s="419"/>
      <c r="J49" s="419"/>
      <c r="K49" s="419"/>
      <c r="L49" s="419"/>
      <c r="M49" s="419"/>
      <c r="N49" s="419"/>
      <c r="O49" s="419">
        <f>IF('表2-折旧摊销表'!$AF$25+1-'表2-折旧摊销表'!$O$25&gt;='表2-折旧摊销表'!$D$14,$O$38/$D$14,$O$38/('表2-折旧摊销表'!$AF$25+1-'表2-折旧摊销表'!$O$25))</f>
        <v>0</v>
      </c>
      <c r="P49" s="419">
        <f>IF('表2-折旧摊销表'!$AF$25+1-'表2-折旧摊销表'!$O$25&gt;='表2-折旧摊销表'!$D$14,$O$38/$D$14,$O$38/('表2-折旧摊销表'!$AF$25+1-'表2-折旧摊销表'!$O$25))</f>
        <v>0</v>
      </c>
      <c r="Q49" s="419">
        <f>IF('表2-折旧摊销表'!$AF$25+1-'表2-折旧摊销表'!$O$25&gt;='表2-折旧摊销表'!$D$14,$O$38/$D$14,$O$38/('表2-折旧摊销表'!$AF$25+1-'表2-折旧摊销表'!$O$25))</f>
        <v>0</v>
      </c>
      <c r="R49" s="419">
        <f>IF('表2-折旧摊销表'!$AF$25+1-'表2-折旧摊销表'!$O$25&gt;='表2-折旧摊销表'!$D$14,$O$38/$D$14,$O$38/('表2-折旧摊销表'!$AF$25+1-'表2-折旧摊销表'!$O$25))</f>
        <v>0</v>
      </c>
      <c r="S49" s="419">
        <f>IF('表2-折旧摊销表'!$AF$25+1-'表2-折旧摊销表'!$O$25&gt;='表2-折旧摊销表'!$D$14,$O$38/$D$14,$O$38/('表2-折旧摊销表'!$AF$25+1-'表2-折旧摊销表'!$O$25))</f>
        <v>0</v>
      </c>
      <c r="T49" s="419"/>
      <c r="U49" s="419"/>
      <c r="V49" s="419"/>
      <c r="W49" s="419"/>
      <c r="X49" s="419"/>
      <c r="Y49" s="419"/>
      <c r="Z49" s="419"/>
      <c r="AA49" s="419"/>
      <c r="AB49" s="419"/>
      <c r="AC49" s="419"/>
      <c r="AD49" s="419"/>
      <c r="AE49" s="419"/>
      <c r="AF49" s="419"/>
    </row>
    <row r="50" s="373" customFormat="1" ht="14.5" spans="2:32">
      <c r="B50" s="408"/>
      <c r="C50" s="417" t="s">
        <v>339</v>
      </c>
      <c r="D50" s="418">
        <f t="shared" si="10"/>
        <v>0</v>
      </c>
      <c r="E50" s="360" t="s">
        <v>24</v>
      </c>
      <c r="F50" s="419"/>
      <c r="G50" s="419"/>
      <c r="H50" s="419"/>
      <c r="I50" s="419"/>
      <c r="J50" s="419"/>
      <c r="K50" s="419"/>
      <c r="L50" s="419"/>
      <c r="M50" s="419"/>
      <c r="N50" s="419"/>
      <c r="O50" s="419"/>
      <c r="P50" s="419">
        <f>IF('表2-折旧摊销表'!$AF$25+1-'表2-折旧摊销表'!$P$25&gt;='表2-折旧摊销表'!$D$14,$P$38/$D$14,$P$38/('表2-折旧摊销表'!$AF$25+1-'表2-折旧摊销表'!$P$25))</f>
        <v>0</v>
      </c>
      <c r="Q50" s="419">
        <f>IF('表2-折旧摊销表'!$AF$25+1-'表2-折旧摊销表'!$P$25&gt;='表2-折旧摊销表'!$D$14,$P$38/$D$14,$P$38/('表2-折旧摊销表'!$AF$25+1-'表2-折旧摊销表'!$P$25))</f>
        <v>0</v>
      </c>
      <c r="R50" s="419">
        <f>IF('表2-折旧摊销表'!$AF$25+1-'表2-折旧摊销表'!$P$25&gt;='表2-折旧摊销表'!$D$14,$P$38/$D$14,$P$38/('表2-折旧摊销表'!$AF$25+1-'表2-折旧摊销表'!$P$25))</f>
        <v>0</v>
      </c>
      <c r="S50" s="419">
        <f>IF('表2-折旧摊销表'!$AF$25+1-'表2-折旧摊销表'!$P$25&gt;='表2-折旧摊销表'!$D$14,$P$38/$D$14,$P$38/('表2-折旧摊销表'!$AF$25+1-'表2-折旧摊销表'!$P$25))</f>
        <v>0</v>
      </c>
      <c r="T50" s="419">
        <f>IF('表2-折旧摊销表'!$AF$25+1-'表2-折旧摊销表'!$P$25&gt;='表2-折旧摊销表'!$D$14,$P$38/$D$14,$P$38/('表2-折旧摊销表'!$AF$25+1-'表2-折旧摊销表'!$P$25))</f>
        <v>0</v>
      </c>
      <c r="U50" s="419"/>
      <c r="V50" s="419"/>
      <c r="W50" s="419"/>
      <c r="X50" s="419"/>
      <c r="Y50" s="419"/>
      <c r="Z50" s="419"/>
      <c r="AA50" s="419"/>
      <c r="AB50" s="419"/>
      <c r="AC50" s="419"/>
      <c r="AD50" s="419"/>
      <c r="AE50" s="419"/>
      <c r="AF50" s="419"/>
    </row>
    <row r="51" s="373" customFormat="1" ht="14.5" spans="2:32">
      <c r="B51" s="408"/>
      <c r="C51" s="417" t="s">
        <v>340</v>
      </c>
      <c r="D51" s="418">
        <f t="shared" si="10"/>
        <v>0</v>
      </c>
      <c r="E51" s="360" t="s">
        <v>24</v>
      </c>
      <c r="F51" s="419"/>
      <c r="G51" s="419"/>
      <c r="H51" s="419"/>
      <c r="I51" s="419"/>
      <c r="J51" s="419"/>
      <c r="K51" s="419"/>
      <c r="L51" s="419"/>
      <c r="M51" s="419"/>
      <c r="N51" s="419"/>
      <c r="O51" s="419"/>
      <c r="P51" s="419"/>
      <c r="Q51" s="419">
        <f>IF('表2-折旧摊销表'!$AF$25+1-'表2-折旧摊销表'!$Q$25&gt;='表2-折旧摊销表'!$D$14,$Q$38/$D$14,$Q$38/('表2-折旧摊销表'!$AF$25+1-'表2-折旧摊销表'!$Q$25))</f>
        <v>0</v>
      </c>
      <c r="R51" s="419">
        <f>IF('表2-折旧摊销表'!$AF$25+1-'表2-折旧摊销表'!$Q$25&gt;='表2-折旧摊销表'!$D$14,$Q$38/$D$14,$Q$38/('表2-折旧摊销表'!$AF$25+1-'表2-折旧摊销表'!$Q$25))</f>
        <v>0</v>
      </c>
      <c r="S51" s="419">
        <f>IF('表2-折旧摊销表'!$AF$25+1-'表2-折旧摊销表'!$Q$25&gt;='表2-折旧摊销表'!$D$14,$Q$38/$D$14,$Q$38/('表2-折旧摊销表'!$AF$25+1-'表2-折旧摊销表'!$Q$25))</f>
        <v>0</v>
      </c>
      <c r="T51" s="419">
        <f>IF('表2-折旧摊销表'!$AF$25+1-'表2-折旧摊销表'!$Q$25&gt;='表2-折旧摊销表'!$D$14,$Q$38/$D$14,$Q$38/('表2-折旧摊销表'!$AF$25+1-'表2-折旧摊销表'!$Q$25))</f>
        <v>0</v>
      </c>
      <c r="U51" s="419">
        <f>IF('表2-折旧摊销表'!$AF$25+1-'表2-折旧摊销表'!$Q$25&gt;='表2-折旧摊销表'!$D$14,$Q$38/$D$14,$Q$38/('表2-折旧摊销表'!$AF$25+1-'表2-折旧摊销表'!$Q$25))</f>
        <v>0</v>
      </c>
      <c r="V51" s="419"/>
      <c r="W51" s="419"/>
      <c r="X51" s="419"/>
      <c r="Y51" s="419"/>
      <c r="Z51" s="419"/>
      <c r="AA51" s="419"/>
      <c r="AB51" s="419"/>
      <c r="AC51" s="419"/>
      <c r="AD51" s="419"/>
      <c r="AE51" s="419"/>
      <c r="AF51" s="419"/>
    </row>
    <row r="52" s="373" customFormat="1" ht="14.5" spans="2:32">
      <c r="B52" s="408"/>
      <c r="C52" s="417" t="s">
        <v>341</v>
      </c>
      <c r="D52" s="418">
        <f t="shared" si="10"/>
        <v>458.715596330275</v>
      </c>
      <c r="E52" s="360" t="s">
        <v>24</v>
      </c>
      <c r="F52" s="419"/>
      <c r="G52" s="419"/>
      <c r="H52" s="419"/>
      <c r="I52" s="419"/>
      <c r="J52" s="419"/>
      <c r="K52" s="419"/>
      <c r="L52" s="419"/>
      <c r="M52" s="419"/>
      <c r="N52" s="419"/>
      <c r="O52" s="419"/>
      <c r="P52" s="419"/>
      <c r="Q52" s="419"/>
      <c r="R52" s="419">
        <f>IF('表2-折旧摊销表'!$AF$25+1-'表2-折旧摊销表'!$R$25&gt;='表2-折旧摊销表'!$D$14,$R$38/$D$14,$R$38/('表2-折旧摊销表'!$AF$25+1-'表2-折旧摊销表'!$R$25))</f>
        <v>91.743119266055</v>
      </c>
      <c r="S52" s="419">
        <f>IF('表2-折旧摊销表'!$AF$25+1-'表2-折旧摊销表'!$R$25&gt;='表2-折旧摊销表'!$D$14,$R$38/$D$14,$R$38/('表2-折旧摊销表'!$AF$25+1-'表2-折旧摊销表'!$R$25))</f>
        <v>91.743119266055</v>
      </c>
      <c r="T52" s="419">
        <f>IF('表2-折旧摊销表'!$AF$25+1-'表2-折旧摊销表'!$R$25&gt;='表2-折旧摊销表'!$D$14,$R$38/$D$14,$R$38/('表2-折旧摊销表'!$AF$25+1-'表2-折旧摊销表'!$R$25))</f>
        <v>91.743119266055</v>
      </c>
      <c r="U52" s="419">
        <f>IF('表2-折旧摊销表'!$AF$25+1-'表2-折旧摊销表'!$R$25&gt;='表2-折旧摊销表'!$D$14,$R$38/$D$14,$R$38/('表2-折旧摊销表'!$AF$25+1-'表2-折旧摊销表'!$R$25))</f>
        <v>91.743119266055</v>
      </c>
      <c r="V52" s="419">
        <f>IF('表2-折旧摊销表'!$AF$25+1-'表2-折旧摊销表'!$R$25&gt;='表2-折旧摊销表'!$D$14,$R$38/$D$14,$R$38/('表2-折旧摊销表'!$AF$25+1-'表2-折旧摊销表'!$R$25))</f>
        <v>91.743119266055</v>
      </c>
      <c r="W52" s="419"/>
      <c r="X52" s="419"/>
      <c r="Y52" s="419"/>
      <c r="Z52" s="419"/>
      <c r="AA52" s="419"/>
      <c r="AB52" s="419"/>
      <c r="AC52" s="419"/>
      <c r="AD52" s="419"/>
      <c r="AE52" s="419"/>
      <c r="AF52" s="419"/>
    </row>
    <row r="53" s="373" customFormat="1" ht="14.5" spans="2:32">
      <c r="B53" s="408"/>
      <c r="C53" s="417" t="s">
        <v>342</v>
      </c>
      <c r="D53" s="418">
        <f t="shared" si="10"/>
        <v>0</v>
      </c>
      <c r="E53" s="360" t="s">
        <v>24</v>
      </c>
      <c r="F53" s="419"/>
      <c r="G53" s="419"/>
      <c r="H53" s="419"/>
      <c r="I53" s="419"/>
      <c r="J53" s="419"/>
      <c r="K53" s="419"/>
      <c r="L53" s="419"/>
      <c r="M53" s="419"/>
      <c r="N53" s="419"/>
      <c r="O53" s="419"/>
      <c r="P53" s="419"/>
      <c r="Q53" s="419"/>
      <c r="R53" s="419"/>
      <c r="S53" s="419">
        <f>IF('表2-折旧摊销表'!$AF$25+1-'表2-折旧摊销表'!$S$25&gt;='表2-折旧摊销表'!$D$14,$S$38/$D$14,$S$38/('表2-折旧摊销表'!$AF$25+1-'表2-折旧摊销表'!$S$25))</f>
        <v>0</v>
      </c>
      <c r="T53" s="419">
        <f>IF('表2-折旧摊销表'!$AF$25+1-'表2-折旧摊销表'!$S$25&gt;='表2-折旧摊销表'!$D$14,$S$38/$D$14,$S$38/('表2-折旧摊销表'!$AF$25+1-'表2-折旧摊销表'!$S$25))</f>
        <v>0</v>
      </c>
      <c r="U53" s="419">
        <f>IF('表2-折旧摊销表'!$AF$25+1-'表2-折旧摊销表'!$S$25&gt;='表2-折旧摊销表'!$D$14,$S$38/$D$14,$S$38/('表2-折旧摊销表'!$AF$25+1-'表2-折旧摊销表'!$S$25))</f>
        <v>0</v>
      </c>
      <c r="V53" s="419">
        <f>IF('表2-折旧摊销表'!$AF$25+1-'表2-折旧摊销表'!$S$25&gt;='表2-折旧摊销表'!$D$14,$S$38/$D$14,$S$38/('表2-折旧摊销表'!$AF$25+1-'表2-折旧摊销表'!$S$25))</f>
        <v>0</v>
      </c>
      <c r="W53" s="419">
        <f>IF('表2-折旧摊销表'!$AF$25+1-'表2-折旧摊销表'!$S$25&gt;='表2-折旧摊销表'!$D$14,$S$38/$D$14,$S$38/('表2-折旧摊销表'!$AF$25+1-'表2-折旧摊销表'!$S$25))</f>
        <v>0</v>
      </c>
      <c r="X53" s="419"/>
      <c r="Y53" s="419"/>
      <c r="Z53" s="419"/>
      <c r="AA53" s="419"/>
      <c r="AB53" s="419"/>
      <c r="AC53" s="419"/>
      <c r="AD53" s="419"/>
      <c r="AE53" s="419"/>
      <c r="AF53" s="419"/>
    </row>
    <row r="54" s="373" customFormat="1" ht="14.5" spans="2:32">
      <c r="B54" s="408"/>
      <c r="C54" s="417" t="s">
        <v>343</v>
      </c>
      <c r="D54" s="418">
        <f t="shared" si="10"/>
        <v>0</v>
      </c>
      <c r="E54" s="360" t="s">
        <v>24</v>
      </c>
      <c r="F54" s="419"/>
      <c r="G54" s="419"/>
      <c r="H54" s="419"/>
      <c r="I54" s="419"/>
      <c r="J54" s="419"/>
      <c r="K54" s="419"/>
      <c r="L54" s="419"/>
      <c r="M54" s="419"/>
      <c r="N54" s="419"/>
      <c r="O54" s="419"/>
      <c r="P54" s="419"/>
      <c r="Q54" s="419"/>
      <c r="R54" s="419"/>
      <c r="S54" s="419"/>
      <c r="T54" s="419">
        <f>IF('表2-折旧摊销表'!$AF$25+1-'表2-折旧摊销表'!$T$25&gt;='表2-折旧摊销表'!$D$14,$T$38/$D$14,$T$38/('表2-折旧摊销表'!$AF$25+1-'表2-折旧摊销表'!$T$25))</f>
        <v>0</v>
      </c>
      <c r="U54" s="419">
        <f>IF('表2-折旧摊销表'!$AF$25+1-'表2-折旧摊销表'!$T$25&gt;='表2-折旧摊销表'!$D$14,$T$38/$D$14,$T$38/('表2-折旧摊销表'!$AF$25+1-'表2-折旧摊销表'!$T$25))</f>
        <v>0</v>
      </c>
      <c r="V54" s="419">
        <f>IF('表2-折旧摊销表'!$AF$25+1-'表2-折旧摊销表'!$T$25&gt;='表2-折旧摊销表'!$D$14,$T$38/$D$14,$T$38/('表2-折旧摊销表'!$AF$25+1-'表2-折旧摊销表'!$T$25))</f>
        <v>0</v>
      </c>
      <c r="W54" s="419">
        <f>IF('表2-折旧摊销表'!$AF$25+1-'表2-折旧摊销表'!$T$25&gt;='表2-折旧摊销表'!$D$14,$T$38/$D$14,$T$38/('表2-折旧摊销表'!$AF$25+1-'表2-折旧摊销表'!$T$25))</f>
        <v>0</v>
      </c>
      <c r="X54" s="419">
        <f>IF('表2-折旧摊销表'!$AF$25+1-'表2-折旧摊销表'!$T$25&gt;='表2-折旧摊销表'!$D$14,$T$38/$D$14,$T$38/('表2-折旧摊销表'!$AF$25+1-'表2-折旧摊销表'!$T$25))</f>
        <v>0</v>
      </c>
      <c r="Y54" s="419"/>
      <c r="Z54" s="419"/>
      <c r="AA54" s="419"/>
      <c r="AB54" s="419"/>
      <c r="AC54" s="419"/>
      <c r="AD54" s="419"/>
      <c r="AE54" s="419"/>
      <c r="AF54" s="419"/>
    </row>
    <row r="55" s="373" customFormat="1" ht="14.5" spans="2:32">
      <c r="B55" s="408"/>
      <c r="C55" s="417" t="s">
        <v>344</v>
      </c>
      <c r="D55" s="418">
        <f t="shared" si="10"/>
        <v>0</v>
      </c>
      <c r="E55" s="360" t="s">
        <v>24</v>
      </c>
      <c r="F55" s="419"/>
      <c r="G55" s="419"/>
      <c r="H55" s="419"/>
      <c r="I55" s="419"/>
      <c r="J55" s="419"/>
      <c r="K55" s="419"/>
      <c r="L55" s="419"/>
      <c r="M55" s="419"/>
      <c r="N55" s="419"/>
      <c r="O55" s="419"/>
      <c r="P55" s="419"/>
      <c r="Q55" s="419"/>
      <c r="R55" s="419"/>
      <c r="S55" s="419"/>
      <c r="T55" s="419"/>
      <c r="U55" s="419">
        <f>IF('表2-折旧摊销表'!$AF$25+1-'表2-折旧摊销表'!$U$25&gt;='表2-折旧摊销表'!$D$14,$U$38/$D$14,$U$38/('表2-折旧摊销表'!$AF$25+1-'表2-折旧摊销表'!$U$25))</f>
        <v>0</v>
      </c>
      <c r="V55" s="419">
        <f>IF('表2-折旧摊销表'!$AF$25+1-'表2-折旧摊销表'!$U$25&gt;='表2-折旧摊销表'!$D$14,$U$38/$D$14,$U$38/('表2-折旧摊销表'!$AF$25+1-'表2-折旧摊销表'!$U$25))</f>
        <v>0</v>
      </c>
      <c r="W55" s="419">
        <f>IF('表2-折旧摊销表'!$AF$25+1-'表2-折旧摊销表'!$U$25&gt;='表2-折旧摊销表'!$D$14,$U$38/$D$14,$U$38/('表2-折旧摊销表'!$AF$25+1-'表2-折旧摊销表'!$U$25))</f>
        <v>0</v>
      </c>
      <c r="X55" s="419">
        <f>IF('表2-折旧摊销表'!$AF$25+1-'表2-折旧摊销表'!$U$25&gt;='表2-折旧摊销表'!$D$14,$U$38/$D$14,$U$38/('表2-折旧摊销表'!$AF$25+1-'表2-折旧摊销表'!$U$25))</f>
        <v>0</v>
      </c>
      <c r="Y55" s="419">
        <f>IF('表2-折旧摊销表'!$AF$25+1-'表2-折旧摊销表'!$U$25&gt;='表2-折旧摊销表'!$D$14,$U$38/$D$14,$U$38/('表2-折旧摊销表'!$AF$25+1-'表2-折旧摊销表'!$U$25))</f>
        <v>0</v>
      </c>
      <c r="Z55" s="419"/>
      <c r="AA55" s="419"/>
      <c r="AB55" s="419"/>
      <c r="AC55" s="419"/>
      <c r="AD55" s="419"/>
      <c r="AE55" s="419"/>
      <c r="AF55" s="419"/>
    </row>
    <row r="56" s="373" customFormat="1" ht="14.5" spans="2:32">
      <c r="B56" s="408"/>
      <c r="C56" s="417" t="s">
        <v>345</v>
      </c>
      <c r="D56" s="418">
        <f t="shared" si="10"/>
        <v>0</v>
      </c>
      <c r="E56" s="360" t="s">
        <v>24</v>
      </c>
      <c r="F56" s="419"/>
      <c r="G56" s="419"/>
      <c r="H56" s="419"/>
      <c r="I56" s="419"/>
      <c r="J56" s="419"/>
      <c r="K56" s="419"/>
      <c r="L56" s="419"/>
      <c r="M56" s="419"/>
      <c r="N56" s="419"/>
      <c r="O56" s="419"/>
      <c r="P56" s="419"/>
      <c r="Q56" s="419"/>
      <c r="R56" s="419"/>
      <c r="S56" s="419"/>
      <c r="T56" s="419"/>
      <c r="U56" s="419"/>
      <c r="V56" s="419">
        <f>IF('表2-折旧摊销表'!$AF$25+1-'表2-折旧摊销表'!$V$25&gt;='表2-折旧摊销表'!$D$14,$V$38/$D$14,$V$38/('表2-折旧摊销表'!$AF$25+1-'表2-折旧摊销表'!$V$25))</f>
        <v>0</v>
      </c>
      <c r="W56" s="419">
        <f>IF('表2-折旧摊销表'!$AF$25+1-'表2-折旧摊销表'!$V$25&gt;='表2-折旧摊销表'!$D$14,$V$38/$D$14,$V$38/('表2-折旧摊销表'!$AF$25+1-'表2-折旧摊销表'!$V$25))</f>
        <v>0</v>
      </c>
      <c r="X56" s="419">
        <f>IF('表2-折旧摊销表'!$AF$25+1-'表2-折旧摊销表'!$V$25&gt;='表2-折旧摊销表'!$D$14,$V$38/$D$14,$V$38/('表2-折旧摊销表'!$AF$25+1-'表2-折旧摊销表'!$V$25))</f>
        <v>0</v>
      </c>
      <c r="Y56" s="419">
        <f>IF('表2-折旧摊销表'!$AF$25+1-'表2-折旧摊销表'!$V$25&gt;='表2-折旧摊销表'!$D$14,$V$38/$D$14,$V$38/('表2-折旧摊销表'!$AF$25+1-'表2-折旧摊销表'!$V$25))</f>
        <v>0</v>
      </c>
      <c r="Z56" s="419">
        <f>IF('表2-折旧摊销表'!$AF$25+1-'表2-折旧摊销表'!$V$25&gt;='表2-折旧摊销表'!$D$14,$V$38/$D$14,$V$38/('表2-折旧摊销表'!$AF$25+1-'表2-折旧摊销表'!$V$25))</f>
        <v>0</v>
      </c>
      <c r="AA56" s="419"/>
      <c r="AB56" s="419"/>
      <c r="AC56" s="419"/>
      <c r="AD56" s="419"/>
      <c r="AE56" s="419"/>
      <c r="AF56" s="419"/>
    </row>
    <row r="57" s="373" customFormat="1" ht="14.5" spans="2:32">
      <c r="B57" s="408"/>
      <c r="C57" s="417" t="s">
        <v>346</v>
      </c>
      <c r="D57" s="418">
        <f t="shared" si="10"/>
        <v>458.715596330275</v>
      </c>
      <c r="E57" s="360" t="s">
        <v>24</v>
      </c>
      <c r="F57" s="419"/>
      <c r="G57" s="419"/>
      <c r="H57" s="419"/>
      <c r="I57" s="419"/>
      <c r="J57" s="419"/>
      <c r="K57" s="419"/>
      <c r="L57" s="419"/>
      <c r="M57" s="419"/>
      <c r="N57" s="419"/>
      <c r="O57" s="419"/>
      <c r="P57" s="419"/>
      <c r="Q57" s="419"/>
      <c r="R57" s="419"/>
      <c r="S57" s="419"/>
      <c r="T57" s="419"/>
      <c r="U57" s="419"/>
      <c r="V57" s="419"/>
      <c r="W57" s="419">
        <f>IF('表2-折旧摊销表'!$AF$25+1-'表2-折旧摊销表'!$W$25&gt;='表2-折旧摊销表'!$D$14,$W$38/$D$14,$W$38/('表2-折旧摊销表'!$AF$25+1-'表2-折旧摊销表'!$W$25))</f>
        <v>91.743119266055</v>
      </c>
      <c r="X57" s="419">
        <f>IF('表2-折旧摊销表'!$AF$25+1-'表2-折旧摊销表'!$W$25&gt;='表2-折旧摊销表'!$D$14,$W$38/$D$14,$W$38/('表2-折旧摊销表'!$AF$25+1-'表2-折旧摊销表'!$W$25))</f>
        <v>91.743119266055</v>
      </c>
      <c r="Y57" s="419">
        <f>IF('表2-折旧摊销表'!$AF$25+1-'表2-折旧摊销表'!$W$25&gt;='表2-折旧摊销表'!$D$14,$W$38/$D$14,$W$38/('表2-折旧摊销表'!$AF$25+1-'表2-折旧摊销表'!$W$25))</f>
        <v>91.743119266055</v>
      </c>
      <c r="Z57" s="419">
        <f>IF('表2-折旧摊销表'!$AF$25+1-'表2-折旧摊销表'!$W$25&gt;='表2-折旧摊销表'!$D$14,$W$38/$D$14,$W$38/('表2-折旧摊销表'!$AF$25+1-'表2-折旧摊销表'!$W$25))</f>
        <v>91.743119266055</v>
      </c>
      <c r="AA57" s="419">
        <f>IF('表2-折旧摊销表'!$AF$25+1-'表2-折旧摊销表'!$W$25&gt;='表2-折旧摊销表'!$D$14,$W$38/$D$14,$W$38/('表2-折旧摊销表'!$AF$25+1-'表2-折旧摊销表'!$W$25))</f>
        <v>91.743119266055</v>
      </c>
      <c r="AB57" s="419"/>
      <c r="AC57" s="419"/>
      <c r="AD57" s="419"/>
      <c r="AE57" s="419"/>
      <c r="AF57" s="419"/>
    </row>
    <row r="58" s="373" customFormat="1" ht="14.5" spans="2:32">
      <c r="B58" s="408"/>
      <c r="C58" s="417" t="s">
        <v>347</v>
      </c>
      <c r="D58" s="418">
        <f t="shared" si="10"/>
        <v>0</v>
      </c>
      <c r="E58" s="360" t="s">
        <v>24</v>
      </c>
      <c r="F58" s="419"/>
      <c r="G58" s="419"/>
      <c r="H58" s="419"/>
      <c r="I58" s="419"/>
      <c r="J58" s="419"/>
      <c r="K58" s="419"/>
      <c r="L58" s="419"/>
      <c r="M58" s="419"/>
      <c r="N58" s="419"/>
      <c r="O58" s="419"/>
      <c r="P58" s="419"/>
      <c r="Q58" s="419"/>
      <c r="R58" s="419"/>
      <c r="S58" s="419"/>
      <c r="T58" s="419"/>
      <c r="U58" s="419"/>
      <c r="V58" s="419"/>
      <c r="W58" s="419"/>
      <c r="X58" s="419">
        <f>IF('表2-折旧摊销表'!$AF$25+1-'表2-折旧摊销表'!$X$25&gt;='表2-折旧摊销表'!$D$14,$X$38/$D$14,$X$38/('表2-折旧摊销表'!$AF$25+1-'表2-折旧摊销表'!$X$25))</f>
        <v>0</v>
      </c>
      <c r="Y58" s="419">
        <f>IF('表2-折旧摊销表'!$AF$25+1-'表2-折旧摊销表'!$X$25&gt;='表2-折旧摊销表'!$D$14,$X$38/$D$14,$X$38/('表2-折旧摊销表'!$AF$25+1-'表2-折旧摊销表'!$X$25))</f>
        <v>0</v>
      </c>
      <c r="Z58" s="419">
        <f>IF('表2-折旧摊销表'!$AF$25+1-'表2-折旧摊销表'!$X$25&gt;='表2-折旧摊销表'!$D$14,$X$38/$D$14,$X$38/('表2-折旧摊销表'!$AF$25+1-'表2-折旧摊销表'!$X$25))</f>
        <v>0</v>
      </c>
      <c r="AA58" s="419">
        <f>IF('表2-折旧摊销表'!$AF$25+1-'表2-折旧摊销表'!$X$25&gt;='表2-折旧摊销表'!$D$14,$X$38/$D$14,$X$38/('表2-折旧摊销表'!$AF$25+1-'表2-折旧摊销表'!$X$25))</f>
        <v>0</v>
      </c>
      <c r="AB58" s="419">
        <f>IF('表2-折旧摊销表'!$AF$25+1-'表2-折旧摊销表'!$X$25&gt;='表2-折旧摊销表'!$D$14,$X$38/$D$14,$X$38/('表2-折旧摊销表'!$AF$25+1-'表2-折旧摊销表'!$X$25))</f>
        <v>0</v>
      </c>
      <c r="AC58" s="419"/>
      <c r="AD58" s="419"/>
      <c r="AE58" s="419"/>
      <c r="AF58" s="419"/>
    </row>
    <row r="59" s="373" customFormat="1" ht="14.5" spans="2:32">
      <c r="B59" s="408"/>
      <c r="C59" s="417" t="s">
        <v>348</v>
      </c>
      <c r="D59" s="418">
        <f t="shared" si="10"/>
        <v>0</v>
      </c>
      <c r="E59" s="360" t="s">
        <v>24</v>
      </c>
      <c r="F59" s="419"/>
      <c r="G59" s="419"/>
      <c r="H59" s="419"/>
      <c r="I59" s="419"/>
      <c r="J59" s="419"/>
      <c r="K59" s="419"/>
      <c r="L59" s="419"/>
      <c r="M59" s="419"/>
      <c r="N59" s="419"/>
      <c r="O59" s="419"/>
      <c r="P59" s="419"/>
      <c r="Q59" s="419"/>
      <c r="R59" s="419"/>
      <c r="S59" s="419"/>
      <c r="T59" s="419"/>
      <c r="U59" s="419"/>
      <c r="V59" s="419"/>
      <c r="W59" s="419"/>
      <c r="X59" s="419"/>
      <c r="Y59" s="419">
        <f>IF('表2-折旧摊销表'!$AF$25+1-'表2-折旧摊销表'!$Y$25&gt;='表2-折旧摊销表'!$D$14,$Y$38/$D$14,$Y$38/('表2-折旧摊销表'!$AF$25+1-'表2-折旧摊销表'!$Y$25))</f>
        <v>0</v>
      </c>
      <c r="Z59" s="419">
        <f>IF('表2-折旧摊销表'!$AF$25+1-'表2-折旧摊销表'!$Y$25&gt;='表2-折旧摊销表'!$D$14,$Y$38/$D$14,$Y$38/('表2-折旧摊销表'!$AF$25+1-'表2-折旧摊销表'!$Y$25))</f>
        <v>0</v>
      </c>
      <c r="AA59" s="419">
        <f>IF('表2-折旧摊销表'!$AF$25+1-'表2-折旧摊销表'!$Y$25&gt;='表2-折旧摊销表'!$D$14,$Y$38/$D$14,$Y$38/('表2-折旧摊销表'!$AF$25+1-'表2-折旧摊销表'!$Y$25))</f>
        <v>0</v>
      </c>
      <c r="AB59" s="419">
        <f>IF('表2-折旧摊销表'!$AF$25+1-'表2-折旧摊销表'!$Y$25&gt;='表2-折旧摊销表'!$D$14,$Y$38/$D$14,$Y$38/('表2-折旧摊销表'!$AF$25+1-'表2-折旧摊销表'!$Y$25))</f>
        <v>0</v>
      </c>
      <c r="AC59" s="419">
        <f>IF('表2-折旧摊销表'!$AF$25+1-'表2-折旧摊销表'!$Y$25&gt;='表2-折旧摊销表'!$D$14,$Y$38/$D$14,$Y$38/('表2-折旧摊销表'!$AF$25+1-'表2-折旧摊销表'!$Y$25))</f>
        <v>0</v>
      </c>
      <c r="AD59" s="419"/>
      <c r="AE59" s="419"/>
      <c r="AF59" s="419"/>
    </row>
    <row r="60" s="373" customFormat="1" ht="14.5" spans="2:32">
      <c r="B60" s="408"/>
      <c r="C60" s="417" t="s">
        <v>349</v>
      </c>
      <c r="D60" s="418">
        <f t="shared" si="10"/>
        <v>0</v>
      </c>
      <c r="E60" s="360" t="s">
        <v>24</v>
      </c>
      <c r="F60" s="419"/>
      <c r="G60" s="419"/>
      <c r="H60" s="419"/>
      <c r="I60" s="419"/>
      <c r="J60" s="419"/>
      <c r="K60" s="419"/>
      <c r="L60" s="419"/>
      <c r="M60" s="419"/>
      <c r="N60" s="419"/>
      <c r="O60" s="419"/>
      <c r="P60" s="419"/>
      <c r="Q60" s="419"/>
      <c r="R60" s="419"/>
      <c r="S60" s="419"/>
      <c r="T60" s="419"/>
      <c r="U60" s="419"/>
      <c r="V60" s="419"/>
      <c r="W60" s="419"/>
      <c r="X60" s="419"/>
      <c r="Y60" s="419"/>
      <c r="Z60" s="419">
        <f>IF('表2-折旧摊销表'!$AF$25+1-'表2-折旧摊销表'!$Z$25&gt;='表2-折旧摊销表'!$D$14,$Z$38/$D$14,$Z$38/('表2-折旧摊销表'!$AF$25+1-'表2-折旧摊销表'!$Z$25))</f>
        <v>0</v>
      </c>
      <c r="AA60" s="419">
        <f>IF('表2-折旧摊销表'!$AF$25+1-'表2-折旧摊销表'!$Z$25&gt;='表2-折旧摊销表'!$D$14,$Z$38/$D$14,$Z$38/('表2-折旧摊销表'!$AF$25+1-'表2-折旧摊销表'!$Z$25))</f>
        <v>0</v>
      </c>
      <c r="AB60" s="419">
        <f>IF('表2-折旧摊销表'!$AF$25+1-'表2-折旧摊销表'!$Z$25&gt;='表2-折旧摊销表'!$D$14,$Z$38/$D$14,$Z$38/('表2-折旧摊销表'!$AF$25+1-'表2-折旧摊销表'!$Z$25))</f>
        <v>0</v>
      </c>
      <c r="AC60" s="419">
        <f>IF('表2-折旧摊销表'!$AF$25+1-'表2-折旧摊销表'!$Z$25&gt;='表2-折旧摊销表'!$D$14,$Z$38/$D$14,$Z$38/('表2-折旧摊销表'!$AF$25+1-'表2-折旧摊销表'!$Z$25))</f>
        <v>0</v>
      </c>
      <c r="AD60" s="419">
        <f>IF('表2-折旧摊销表'!$AF$25+1-'表2-折旧摊销表'!$Z$25&gt;='表2-折旧摊销表'!$D$14,$Z$38/$D$14,$Z$38/('表2-折旧摊销表'!$AF$25+1-'表2-折旧摊销表'!$Z$25))</f>
        <v>0</v>
      </c>
      <c r="AE60" s="419"/>
      <c r="AF60" s="419"/>
    </row>
    <row r="61" s="373" customFormat="1" ht="14.5" spans="2:32">
      <c r="B61" s="408"/>
      <c r="C61" s="417" t="s">
        <v>350</v>
      </c>
      <c r="D61" s="418">
        <f t="shared" si="10"/>
        <v>0</v>
      </c>
      <c r="E61" s="360" t="s">
        <v>24</v>
      </c>
      <c r="F61" s="419"/>
      <c r="G61" s="419"/>
      <c r="H61" s="419"/>
      <c r="I61" s="419"/>
      <c r="J61" s="419"/>
      <c r="K61" s="419"/>
      <c r="L61" s="419"/>
      <c r="M61" s="419"/>
      <c r="N61" s="419"/>
      <c r="O61" s="419"/>
      <c r="P61" s="419"/>
      <c r="Q61" s="419"/>
      <c r="R61" s="419"/>
      <c r="S61" s="419"/>
      <c r="T61" s="419"/>
      <c r="U61" s="419"/>
      <c r="V61" s="419"/>
      <c r="W61" s="419"/>
      <c r="X61" s="419"/>
      <c r="Y61" s="419"/>
      <c r="Z61" s="419"/>
      <c r="AA61" s="419">
        <f>IF('表2-折旧摊销表'!$AF$25+1-'表2-折旧摊销表'!$AA$25&gt;='表2-折旧摊销表'!$D$14,$AA$38/$D$14,$AA$38/('表2-折旧摊销表'!$AF$25+1-'表2-折旧摊销表'!$AA$25))</f>
        <v>0</v>
      </c>
      <c r="AB61" s="419">
        <f>IF('表2-折旧摊销表'!$AF$25+1-'表2-折旧摊销表'!$AA$25&gt;='表2-折旧摊销表'!$D$14,$AA$38/$D$14,$AA$38/('表2-折旧摊销表'!$AF$25+1-'表2-折旧摊销表'!$AA$25))</f>
        <v>0</v>
      </c>
      <c r="AC61" s="419">
        <f>IF('表2-折旧摊销表'!$AF$25+1-'表2-折旧摊销表'!$AA$25&gt;='表2-折旧摊销表'!$D$14,$AA$38/$D$14,$AA$38/('表2-折旧摊销表'!$AF$25+1-'表2-折旧摊销表'!$AA$25))</f>
        <v>0</v>
      </c>
      <c r="AD61" s="419">
        <f>IF('表2-折旧摊销表'!$AF$25+1-'表2-折旧摊销表'!$AA$25&gt;='表2-折旧摊销表'!$D$14,$AA$38/$D$14,$AA$38/('表2-折旧摊销表'!$AF$25+1-'表2-折旧摊销表'!$AA$25))</f>
        <v>0</v>
      </c>
      <c r="AE61" s="419">
        <f>IF('表2-折旧摊销表'!$AF$25+1-'表2-折旧摊销表'!$AA$25&gt;='表2-折旧摊销表'!$D$14,$AA$38/$D$14,$AA$38/('表2-折旧摊销表'!$AF$25+1-'表2-折旧摊销表'!$AA$25))</f>
        <v>0</v>
      </c>
      <c r="AF61" s="419"/>
    </row>
    <row r="62" s="373" customFormat="1" ht="14.5" spans="2:32">
      <c r="B62" s="408"/>
      <c r="C62" s="417" t="s">
        <v>351</v>
      </c>
      <c r="D62" s="418">
        <f t="shared" si="10"/>
        <v>458.715596330275</v>
      </c>
      <c r="E62" s="360" t="s">
        <v>24</v>
      </c>
      <c r="F62" s="419"/>
      <c r="G62" s="419"/>
      <c r="H62" s="419"/>
      <c r="I62" s="419"/>
      <c r="J62" s="419"/>
      <c r="K62" s="419"/>
      <c r="L62" s="419"/>
      <c r="M62" s="419"/>
      <c r="N62" s="419"/>
      <c r="O62" s="419"/>
      <c r="P62" s="419"/>
      <c r="Q62" s="419"/>
      <c r="R62" s="419"/>
      <c r="S62" s="419"/>
      <c r="T62" s="419"/>
      <c r="U62" s="419"/>
      <c r="V62" s="419"/>
      <c r="W62" s="419"/>
      <c r="X62" s="419"/>
      <c r="Y62" s="419"/>
      <c r="Z62" s="419"/>
      <c r="AA62" s="419"/>
      <c r="AB62" s="419">
        <f>IF('表2-折旧摊销表'!$AF$25+1-'表2-折旧摊销表'!$AB$25&gt;='表2-折旧摊销表'!$D$14,$AB$38/$D$14,$AB$38/('表2-折旧摊销表'!$AF$25+1-'表2-折旧摊销表'!$AB$25))</f>
        <v>91.743119266055</v>
      </c>
      <c r="AC62" s="419">
        <f>IF('表2-折旧摊销表'!$AF$25+1-'表2-折旧摊销表'!$AB$25&gt;='表2-折旧摊销表'!$D$14,$AB$38/$D$14,$AB$38/('表2-折旧摊销表'!$AF$25+1-'表2-折旧摊销表'!$AB$25))</f>
        <v>91.743119266055</v>
      </c>
      <c r="AD62" s="419">
        <f>IF('表2-折旧摊销表'!$AF$25+1-'表2-折旧摊销表'!$AB$25&gt;='表2-折旧摊销表'!$D$14,$AB$38/$D$14,$AB$38/('表2-折旧摊销表'!$AF$25+1-'表2-折旧摊销表'!$AB$25))</f>
        <v>91.743119266055</v>
      </c>
      <c r="AE62" s="419">
        <f>IF('表2-折旧摊销表'!$AF$25+1-'表2-折旧摊销表'!$AB$25&gt;='表2-折旧摊销表'!$D$14,$AB$38/$D$14,$AB$38/('表2-折旧摊销表'!$AF$25+1-'表2-折旧摊销表'!$AB$25))</f>
        <v>91.743119266055</v>
      </c>
      <c r="AF62" s="419">
        <f>IF('表2-折旧摊销表'!$AF$25+1-'表2-折旧摊销表'!$AB$25&gt;='表2-折旧摊销表'!$D$14,$AB$38/$D$14,$AB$38/('表2-折旧摊销表'!$AF$25+1-'表2-折旧摊销表'!$AB$25))</f>
        <v>91.743119266055</v>
      </c>
    </row>
    <row r="63" s="373" customFormat="1" ht="14.5" spans="2:32">
      <c r="B63" s="408"/>
      <c r="C63" s="417" t="s">
        <v>352</v>
      </c>
      <c r="D63" s="418">
        <f t="shared" si="10"/>
        <v>0</v>
      </c>
      <c r="E63" s="360" t="s">
        <v>24</v>
      </c>
      <c r="F63" s="419"/>
      <c r="G63" s="419"/>
      <c r="H63" s="419"/>
      <c r="I63" s="419"/>
      <c r="J63" s="419"/>
      <c r="K63" s="419"/>
      <c r="L63" s="419"/>
      <c r="M63" s="419"/>
      <c r="N63" s="419"/>
      <c r="O63" s="419"/>
      <c r="P63" s="419"/>
      <c r="Q63" s="419"/>
      <c r="R63" s="419"/>
      <c r="S63" s="419"/>
      <c r="T63" s="419"/>
      <c r="U63" s="419"/>
      <c r="V63" s="419"/>
      <c r="W63" s="419"/>
      <c r="X63" s="419"/>
      <c r="Y63" s="419"/>
      <c r="Z63" s="419"/>
      <c r="AA63" s="419"/>
      <c r="AB63" s="419"/>
      <c r="AC63" s="419">
        <f>IF('表2-折旧摊销表'!$AF$25+1-'表2-折旧摊销表'!$AC$25&gt;='表2-折旧摊销表'!$D$14,$AC$38/$D$14,$AC$38/('表2-折旧摊销表'!$AF$25+1-'表2-折旧摊销表'!$AC$25))</f>
        <v>0</v>
      </c>
      <c r="AD63" s="419">
        <f>IF('表2-折旧摊销表'!$AF$25+1-'表2-折旧摊销表'!$AC$25&gt;='表2-折旧摊销表'!$D$14,$AC$38/$D$14,$AC$38/('表2-折旧摊销表'!$AF$25+1-'表2-折旧摊销表'!$AC$25))</f>
        <v>0</v>
      </c>
      <c r="AE63" s="419">
        <f>IF('表2-折旧摊销表'!$AF$25+1-'表2-折旧摊销表'!$AC$25&gt;='表2-折旧摊销表'!$D$14,$AC$38/$D$14,$AC$38/('表2-折旧摊销表'!$AF$25+1-'表2-折旧摊销表'!$AC$25))</f>
        <v>0</v>
      </c>
      <c r="AF63" s="419">
        <f>IF('表2-折旧摊销表'!$AF$25+1-'表2-折旧摊销表'!$AC$25&gt;='表2-折旧摊销表'!$D$14,$AC$38/$D$14,$AC$38/('表2-折旧摊销表'!$AF$25+1-'表2-折旧摊销表'!$AC$25))</f>
        <v>0</v>
      </c>
    </row>
    <row r="64" s="373" customFormat="1" ht="14.5" spans="2:32">
      <c r="B64" s="408"/>
      <c r="C64" s="417" t="s">
        <v>353</v>
      </c>
      <c r="D64" s="418">
        <f t="shared" si="10"/>
        <v>0</v>
      </c>
      <c r="E64" s="360" t="s">
        <v>24</v>
      </c>
      <c r="F64" s="419"/>
      <c r="G64" s="419"/>
      <c r="H64" s="419"/>
      <c r="I64" s="419"/>
      <c r="J64" s="419"/>
      <c r="K64" s="419"/>
      <c r="L64" s="419"/>
      <c r="M64" s="419"/>
      <c r="N64" s="419"/>
      <c r="O64" s="419"/>
      <c r="P64" s="419"/>
      <c r="Q64" s="419"/>
      <c r="R64" s="419"/>
      <c r="S64" s="419"/>
      <c r="T64" s="419"/>
      <c r="U64" s="419"/>
      <c r="V64" s="419"/>
      <c r="W64" s="419"/>
      <c r="X64" s="419"/>
      <c r="Y64" s="419"/>
      <c r="Z64" s="419"/>
      <c r="AA64" s="419"/>
      <c r="AB64" s="419"/>
      <c r="AC64" s="419"/>
      <c r="AD64" s="419">
        <f>IF('表2-折旧摊销表'!$AF$25+1-'表2-折旧摊销表'!$AD$25&gt;='表2-折旧摊销表'!$D$14,$AD$38/$D$14,$AD$38/('表2-折旧摊销表'!$AF$25+1-'表2-折旧摊销表'!$AD$25))</f>
        <v>0</v>
      </c>
      <c r="AE64" s="419">
        <f>IF('表2-折旧摊销表'!$AF$25+1-'表2-折旧摊销表'!$AD$25&gt;='表2-折旧摊销表'!$D$14,$AD$38/$D$14,$AD$38/('表2-折旧摊销表'!$AF$25+1-'表2-折旧摊销表'!$AD$25))</f>
        <v>0</v>
      </c>
      <c r="AF64" s="419">
        <f>IF('表2-折旧摊销表'!$AF$25+1-'表2-折旧摊销表'!$AD$25&gt;='表2-折旧摊销表'!$D$14,$AD$38/$D$14,$AD$38/('表2-折旧摊销表'!$AF$25+1-'表2-折旧摊销表'!$AD$25))</f>
        <v>0</v>
      </c>
    </row>
    <row r="65" s="373" customFormat="1" ht="14.5" spans="2:32">
      <c r="B65" s="408"/>
      <c r="C65" s="417" t="s">
        <v>354</v>
      </c>
      <c r="D65" s="418">
        <f t="shared" si="10"/>
        <v>0</v>
      </c>
      <c r="E65" s="360" t="s">
        <v>24</v>
      </c>
      <c r="F65" s="419"/>
      <c r="G65" s="419"/>
      <c r="H65" s="419"/>
      <c r="I65" s="419"/>
      <c r="J65" s="419"/>
      <c r="K65" s="419"/>
      <c r="L65" s="419"/>
      <c r="M65" s="419"/>
      <c r="N65" s="419"/>
      <c r="O65" s="419"/>
      <c r="P65" s="419"/>
      <c r="Q65" s="419"/>
      <c r="R65" s="419"/>
      <c r="S65" s="419"/>
      <c r="T65" s="419"/>
      <c r="U65" s="419"/>
      <c r="V65" s="419"/>
      <c r="W65" s="419"/>
      <c r="X65" s="419"/>
      <c r="Y65" s="419"/>
      <c r="Z65" s="419"/>
      <c r="AA65" s="419"/>
      <c r="AB65" s="419"/>
      <c r="AC65" s="419"/>
      <c r="AD65" s="419"/>
      <c r="AE65" s="419">
        <f>IF('表2-折旧摊销表'!$AF$25+1-'表2-折旧摊销表'!$AE$25&gt;='表2-折旧摊销表'!$D$14,$AE$38/$D$14,$AE$38/('表2-折旧摊销表'!$AF$25+1-'表2-折旧摊销表'!$AE$25))</f>
        <v>0</v>
      </c>
      <c r="AF65" s="419">
        <f>IF('表2-折旧摊销表'!$AF$25+1-'表2-折旧摊销表'!$AE$25&gt;='表2-折旧摊销表'!$D$14,$AE$38/$D$14,$AE$38/('表2-折旧摊销表'!$AF$25+1-'表2-折旧摊销表'!$AE$25))</f>
        <v>0</v>
      </c>
    </row>
    <row r="66" s="373" customFormat="1" ht="14.5" spans="2:32">
      <c r="B66" s="408"/>
      <c r="C66" s="417" t="s">
        <v>355</v>
      </c>
      <c r="D66" s="418">
        <f t="shared" si="10"/>
        <v>0</v>
      </c>
      <c r="E66" s="360" t="s">
        <v>24</v>
      </c>
      <c r="F66" s="419"/>
      <c r="G66" s="419"/>
      <c r="H66" s="419"/>
      <c r="I66" s="419"/>
      <c r="J66" s="419"/>
      <c r="K66" s="419"/>
      <c r="L66" s="419"/>
      <c r="M66" s="419"/>
      <c r="N66" s="419"/>
      <c r="O66" s="419"/>
      <c r="P66" s="419"/>
      <c r="Q66" s="419"/>
      <c r="R66" s="419"/>
      <c r="S66" s="419"/>
      <c r="T66" s="419"/>
      <c r="U66" s="419"/>
      <c r="V66" s="419"/>
      <c r="W66" s="419"/>
      <c r="X66" s="419"/>
      <c r="Y66" s="419"/>
      <c r="Z66" s="419"/>
      <c r="AA66" s="419"/>
      <c r="AB66" s="419"/>
      <c r="AC66" s="419"/>
      <c r="AD66" s="419"/>
      <c r="AE66" s="419"/>
      <c r="AF66" s="419">
        <f>IF('表2-折旧摊销表'!$AF$25+1-'表2-折旧摊销表'!$AF$25&gt;='表2-折旧摊销表'!$D$14,$AF$38/$D$14,$AF$38/('表2-折旧摊销表'!$AF$25+1-'表2-折旧摊销表'!$AF$25))</f>
        <v>0</v>
      </c>
    </row>
    <row r="67" ht="17.25" spans="2:32">
      <c r="B67" s="422"/>
      <c r="C67" s="423" t="s">
        <v>567</v>
      </c>
      <c r="D67" s="426"/>
      <c r="E67" s="425" t="s">
        <v>24</v>
      </c>
      <c r="F67" s="426">
        <f>F37+F38-F39</f>
        <v>0</v>
      </c>
      <c r="G67" s="426">
        <f t="shared" ref="G67:N67" si="11">G37+G38-G39</f>
        <v>0</v>
      </c>
      <c r="H67" s="426">
        <f t="shared" si="11"/>
        <v>0</v>
      </c>
      <c r="I67" s="426">
        <f t="shared" si="11"/>
        <v>0</v>
      </c>
      <c r="J67" s="426">
        <f t="shared" si="11"/>
        <v>0</v>
      </c>
      <c r="K67" s="426">
        <f t="shared" si="11"/>
        <v>0</v>
      </c>
      <c r="L67" s="426">
        <f t="shared" si="11"/>
        <v>0</v>
      </c>
      <c r="M67" s="426">
        <f t="shared" si="11"/>
        <v>366.97247706422</v>
      </c>
      <c r="N67" s="426">
        <f t="shared" si="11"/>
        <v>275.229357798165</v>
      </c>
      <c r="O67" s="426">
        <f t="shared" ref="O67:AF67" si="12">O37+O38-O39</f>
        <v>183.48623853211</v>
      </c>
      <c r="P67" s="426">
        <f t="shared" si="12"/>
        <v>91.7431192660551</v>
      </c>
      <c r="Q67" s="426">
        <f t="shared" si="12"/>
        <v>0</v>
      </c>
      <c r="R67" s="426">
        <f t="shared" si="12"/>
        <v>366.97247706422</v>
      </c>
      <c r="S67" s="426">
        <f t="shared" si="12"/>
        <v>275.229357798165</v>
      </c>
      <c r="T67" s="426">
        <f t="shared" si="12"/>
        <v>183.48623853211</v>
      </c>
      <c r="U67" s="426">
        <f t="shared" si="12"/>
        <v>91.7431192660551</v>
      </c>
      <c r="V67" s="426">
        <f t="shared" si="12"/>
        <v>0</v>
      </c>
      <c r="W67" s="426">
        <f t="shared" si="12"/>
        <v>366.97247706422</v>
      </c>
      <c r="X67" s="426">
        <f t="shared" si="12"/>
        <v>275.229357798165</v>
      </c>
      <c r="Y67" s="426">
        <f t="shared" si="12"/>
        <v>183.48623853211</v>
      </c>
      <c r="Z67" s="426">
        <f t="shared" si="12"/>
        <v>91.7431192660551</v>
      </c>
      <c r="AA67" s="426">
        <f t="shared" si="12"/>
        <v>0</v>
      </c>
      <c r="AB67" s="426">
        <f t="shared" si="12"/>
        <v>366.97247706422</v>
      </c>
      <c r="AC67" s="426">
        <f t="shared" si="12"/>
        <v>275.229357798165</v>
      </c>
      <c r="AD67" s="426">
        <f t="shared" si="12"/>
        <v>183.48623853211</v>
      </c>
      <c r="AE67" s="426">
        <f t="shared" si="12"/>
        <v>91.7431192660551</v>
      </c>
      <c r="AF67" s="426">
        <f t="shared" si="12"/>
        <v>0</v>
      </c>
    </row>
    <row r="68" spans="2:32">
      <c r="B68" s="427">
        <v>3</v>
      </c>
      <c r="C68" s="439" t="s">
        <v>568</v>
      </c>
      <c r="D68" s="429"/>
      <c r="E68" s="430" t="s">
        <v>24</v>
      </c>
      <c r="F68" s="429">
        <v>0</v>
      </c>
      <c r="G68" s="429">
        <f>F77</f>
        <v>0</v>
      </c>
      <c r="H68" s="429">
        <f>G77</f>
        <v>0</v>
      </c>
      <c r="I68" s="429">
        <f>H77</f>
        <v>0</v>
      </c>
      <c r="J68" s="493">
        <f>参数输入表!$I$441*J26</f>
        <v>270</v>
      </c>
      <c r="K68" s="493">
        <f>参数输入表!$I$441*K26</f>
        <v>1620</v>
      </c>
      <c r="L68" s="493">
        <f>参数输入表!$I$441*L26</f>
        <v>1800</v>
      </c>
      <c r="M68" s="493">
        <f>参数输入表!$I$441*M26</f>
        <v>1800</v>
      </c>
      <c r="N68" s="493">
        <f>参数输入表!$I$441*N26</f>
        <v>1800</v>
      </c>
      <c r="O68" s="493">
        <f>参数输入表!$I$441*O26</f>
        <v>1800</v>
      </c>
      <c r="P68" s="493">
        <f>参数输入表!$I$441*P26</f>
        <v>1800</v>
      </c>
      <c r="Q68" s="493">
        <f>参数输入表!$I$441*Q26</f>
        <v>1800</v>
      </c>
      <c r="R68" s="493">
        <f>参数输入表!$I$441*R26</f>
        <v>1800</v>
      </c>
      <c r="S68" s="493">
        <f>参数输入表!$I$441*S26</f>
        <v>1800</v>
      </c>
      <c r="T68" s="493">
        <f>参数输入表!$I$441*T26</f>
        <v>1800</v>
      </c>
      <c r="U68" s="493">
        <f>参数输入表!$I$441*U26</f>
        <v>1800</v>
      </c>
      <c r="V68" s="493">
        <f>参数输入表!$I$441*V26</f>
        <v>1800</v>
      </c>
      <c r="W68" s="493">
        <f>参数输入表!$I$441*W26</f>
        <v>1800</v>
      </c>
      <c r="X68" s="493">
        <f>参数输入表!$I$441*X26</f>
        <v>1800</v>
      </c>
      <c r="Y68" s="493">
        <f>参数输入表!$I$441*Y26</f>
        <v>1800</v>
      </c>
      <c r="Z68" s="493">
        <f>参数输入表!$I$441*Z26</f>
        <v>1800</v>
      </c>
      <c r="AA68" s="493">
        <f>参数输入表!$I$441*AA26</f>
        <v>1800</v>
      </c>
      <c r="AB68" s="493">
        <f>参数输入表!$I$441*AB26</f>
        <v>1800</v>
      </c>
      <c r="AC68" s="493">
        <f>参数输入表!$I$441*AC26</f>
        <v>1800</v>
      </c>
      <c r="AD68" s="493">
        <f>参数输入表!$I$441*AD26</f>
        <v>1800</v>
      </c>
      <c r="AE68" s="493">
        <f>参数输入表!$I$441*AE26</f>
        <v>1800</v>
      </c>
      <c r="AF68" s="493">
        <f>参数输入表!$I$441*AF26</f>
        <v>1800</v>
      </c>
    </row>
    <row r="69" spans="2:32">
      <c r="B69" s="408"/>
      <c r="C69" s="440" t="s">
        <v>569</v>
      </c>
      <c r="D69" s="409">
        <f>SUM(F69:AF69)</f>
        <v>1800</v>
      </c>
      <c r="E69" s="410" t="s">
        <v>24</v>
      </c>
      <c r="F69" s="411"/>
      <c r="G69" s="411"/>
      <c r="H69" s="441"/>
      <c r="I69" s="441"/>
      <c r="J69" s="411">
        <f>参数输入表!$I$441*参数输入表!$I$18</f>
        <v>540</v>
      </c>
      <c r="K69" s="411">
        <f>参数输入表!$I$441*参数输入表!$I$19</f>
        <v>1260</v>
      </c>
      <c r="L69" s="441"/>
      <c r="M69" s="441"/>
      <c r="N69" s="441"/>
      <c r="O69" s="441"/>
      <c r="P69" s="441"/>
      <c r="Q69" s="441"/>
      <c r="R69" s="441"/>
      <c r="S69" s="441"/>
      <c r="T69" s="441"/>
      <c r="U69" s="441"/>
      <c r="V69" s="441"/>
      <c r="W69" s="441"/>
      <c r="X69" s="441"/>
      <c r="Y69" s="441"/>
      <c r="Z69" s="441"/>
      <c r="AA69" s="441"/>
      <c r="AB69" s="441"/>
      <c r="AC69" s="441"/>
      <c r="AD69" s="441"/>
      <c r="AE69" s="441"/>
      <c r="AF69" s="441"/>
    </row>
    <row r="70" spans="2:32">
      <c r="B70" s="408"/>
      <c r="C70" s="442" t="s">
        <v>570</v>
      </c>
      <c r="D70" s="409"/>
      <c r="E70" s="410" t="s">
        <v>24</v>
      </c>
      <c r="F70" s="411"/>
      <c r="G70" s="411"/>
      <c r="H70" s="441"/>
      <c r="I70" s="441"/>
      <c r="J70" s="433">
        <f>I70+J69</f>
        <v>540</v>
      </c>
      <c r="K70" s="433">
        <f>J70+K69</f>
        <v>1800</v>
      </c>
      <c r="L70" s="433">
        <f>K70+L69</f>
        <v>1800</v>
      </c>
      <c r="M70" s="433">
        <f t="shared" ref="M70:AF70" si="13">L70+M69</f>
        <v>1800</v>
      </c>
      <c r="N70" s="433">
        <f t="shared" si="13"/>
        <v>1800</v>
      </c>
      <c r="O70" s="433">
        <f t="shared" si="13"/>
        <v>1800</v>
      </c>
      <c r="P70" s="433">
        <f t="shared" si="13"/>
        <v>1800</v>
      </c>
      <c r="Q70" s="433">
        <f t="shared" si="13"/>
        <v>1800</v>
      </c>
      <c r="R70" s="433">
        <f t="shared" si="13"/>
        <v>1800</v>
      </c>
      <c r="S70" s="433">
        <f t="shared" si="13"/>
        <v>1800</v>
      </c>
      <c r="T70" s="433">
        <f t="shared" si="13"/>
        <v>1800</v>
      </c>
      <c r="U70" s="433">
        <f t="shared" si="13"/>
        <v>1800</v>
      </c>
      <c r="V70" s="433">
        <f t="shared" si="13"/>
        <v>1800</v>
      </c>
      <c r="W70" s="433">
        <f t="shared" si="13"/>
        <v>1800</v>
      </c>
      <c r="X70" s="433">
        <f t="shared" si="13"/>
        <v>1800</v>
      </c>
      <c r="Y70" s="433">
        <f t="shared" si="13"/>
        <v>1800</v>
      </c>
      <c r="Z70" s="433">
        <f t="shared" si="13"/>
        <v>1800</v>
      </c>
      <c r="AA70" s="433">
        <f t="shared" si="13"/>
        <v>1800</v>
      </c>
      <c r="AB70" s="433">
        <f t="shared" si="13"/>
        <v>1800</v>
      </c>
      <c r="AC70" s="433">
        <f t="shared" si="13"/>
        <v>1800</v>
      </c>
      <c r="AD70" s="433">
        <f t="shared" si="13"/>
        <v>1800</v>
      </c>
      <c r="AE70" s="433">
        <f t="shared" si="13"/>
        <v>1800</v>
      </c>
      <c r="AF70" s="433">
        <f t="shared" si="13"/>
        <v>1800</v>
      </c>
    </row>
    <row r="71" spans="2:32">
      <c r="B71" s="408"/>
      <c r="C71" s="443" t="s">
        <v>571</v>
      </c>
      <c r="D71" s="409"/>
      <c r="E71" s="410" t="s">
        <v>24</v>
      </c>
      <c r="F71" s="411"/>
      <c r="G71" s="411"/>
      <c r="H71" s="441"/>
      <c r="I71" s="441"/>
      <c r="J71" s="494">
        <f>J70-J68</f>
        <v>270</v>
      </c>
      <c r="K71" s="494">
        <f t="shared" ref="K71:AF71" si="14">K70-K68</f>
        <v>180</v>
      </c>
      <c r="L71" s="494">
        <f t="shared" si="14"/>
        <v>0</v>
      </c>
      <c r="M71" s="494">
        <f t="shared" si="14"/>
        <v>0</v>
      </c>
      <c r="N71" s="494">
        <f t="shared" si="14"/>
        <v>0</v>
      </c>
      <c r="O71" s="494">
        <f t="shared" si="14"/>
        <v>0</v>
      </c>
      <c r="P71" s="494">
        <f t="shared" si="14"/>
        <v>0</v>
      </c>
      <c r="Q71" s="494">
        <f t="shared" si="14"/>
        <v>0</v>
      </c>
      <c r="R71" s="494">
        <f t="shared" si="14"/>
        <v>0</v>
      </c>
      <c r="S71" s="494">
        <f t="shared" si="14"/>
        <v>0</v>
      </c>
      <c r="T71" s="494">
        <f t="shared" si="14"/>
        <v>0</v>
      </c>
      <c r="U71" s="494">
        <f t="shared" si="14"/>
        <v>0</v>
      </c>
      <c r="V71" s="494">
        <f t="shared" si="14"/>
        <v>0</v>
      </c>
      <c r="W71" s="494">
        <f t="shared" si="14"/>
        <v>0</v>
      </c>
      <c r="X71" s="494">
        <f t="shared" si="14"/>
        <v>0</v>
      </c>
      <c r="Y71" s="494">
        <f t="shared" si="14"/>
        <v>0</v>
      </c>
      <c r="Z71" s="494">
        <f t="shared" si="14"/>
        <v>0</v>
      </c>
      <c r="AA71" s="494">
        <f t="shared" si="14"/>
        <v>0</v>
      </c>
      <c r="AB71" s="494">
        <f t="shared" si="14"/>
        <v>0</v>
      </c>
      <c r="AC71" s="494">
        <f t="shared" si="14"/>
        <v>0</v>
      </c>
      <c r="AD71" s="494">
        <f t="shared" si="14"/>
        <v>0</v>
      </c>
      <c r="AE71" s="494">
        <f t="shared" si="14"/>
        <v>0</v>
      </c>
      <c r="AF71" s="494">
        <f t="shared" si="14"/>
        <v>0</v>
      </c>
    </row>
    <row r="72" spans="2:32">
      <c r="B72" s="408"/>
      <c r="C72" s="414" t="s">
        <v>572</v>
      </c>
      <c r="D72" s="415">
        <f>SUM(F72:AF72)</f>
        <v>1800</v>
      </c>
      <c r="E72" s="410" t="s">
        <v>24</v>
      </c>
      <c r="F72" s="415">
        <f>SUM(F73:F75)</f>
        <v>0</v>
      </c>
      <c r="G72" s="415">
        <f t="shared" ref="G72:AF72" si="15">SUM(G73:G75)</f>
        <v>0</v>
      </c>
      <c r="H72" s="415">
        <f t="shared" si="15"/>
        <v>0</v>
      </c>
      <c r="I72" s="415">
        <f t="shared" si="15"/>
        <v>0</v>
      </c>
      <c r="J72" s="415">
        <f t="shared" si="15"/>
        <v>15</v>
      </c>
      <c r="K72" s="415">
        <f t="shared" si="15"/>
        <v>90</v>
      </c>
      <c r="L72" s="415">
        <f t="shared" si="15"/>
        <v>100</v>
      </c>
      <c r="M72" s="415">
        <f t="shared" si="15"/>
        <v>100</v>
      </c>
      <c r="N72" s="415">
        <f t="shared" si="15"/>
        <v>100</v>
      </c>
      <c r="O72" s="415">
        <f t="shared" si="15"/>
        <v>100</v>
      </c>
      <c r="P72" s="415">
        <f t="shared" si="15"/>
        <v>100</v>
      </c>
      <c r="Q72" s="415">
        <f t="shared" si="15"/>
        <v>100</v>
      </c>
      <c r="R72" s="415">
        <f t="shared" si="15"/>
        <v>100</v>
      </c>
      <c r="S72" s="415">
        <f t="shared" si="15"/>
        <v>100</v>
      </c>
      <c r="T72" s="415">
        <f t="shared" si="15"/>
        <v>100</v>
      </c>
      <c r="U72" s="415">
        <f t="shared" si="15"/>
        <v>100</v>
      </c>
      <c r="V72" s="415">
        <f t="shared" si="15"/>
        <v>100</v>
      </c>
      <c r="W72" s="415">
        <f t="shared" si="15"/>
        <v>100</v>
      </c>
      <c r="X72" s="415">
        <f t="shared" si="15"/>
        <v>100</v>
      </c>
      <c r="Y72" s="415">
        <f t="shared" si="15"/>
        <v>100</v>
      </c>
      <c r="Z72" s="415">
        <f t="shared" si="15"/>
        <v>100</v>
      </c>
      <c r="AA72" s="415">
        <f t="shared" si="15"/>
        <v>100</v>
      </c>
      <c r="AB72" s="415">
        <f t="shared" si="15"/>
        <v>85</v>
      </c>
      <c r="AC72" s="415">
        <f t="shared" si="15"/>
        <v>10</v>
      </c>
      <c r="AD72" s="415">
        <f t="shared" si="15"/>
        <v>0</v>
      </c>
      <c r="AE72" s="415">
        <f t="shared" si="15"/>
        <v>0</v>
      </c>
      <c r="AF72" s="415">
        <f t="shared" si="15"/>
        <v>0</v>
      </c>
    </row>
    <row r="73" spans="2:32">
      <c r="B73" s="408"/>
      <c r="C73" s="444" t="s">
        <v>559</v>
      </c>
      <c r="D73" s="445">
        <f>SUM(F73:AF73)</f>
        <v>270</v>
      </c>
      <c r="E73" s="446" t="s">
        <v>24</v>
      </c>
      <c r="F73" s="411"/>
      <c r="G73" s="411"/>
      <c r="H73" s="411"/>
      <c r="I73" s="411"/>
      <c r="J73" s="445">
        <f>参数输入表!$I$441*(1-参数输入表!$I$444)*参数输入表!$I$35/参数输入表!$I$443</f>
        <v>15</v>
      </c>
      <c r="K73" s="445">
        <f>参数输入表!$I$441*(1-参数输入表!$I$444)*参数输入表!$I$35/参数输入表!$I$443</f>
        <v>15</v>
      </c>
      <c r="L73" s="445">
        <f>参数输入表!$I$441*(1-参数输入表!$I$444)*参数输入表!$I$35/参数输入表!$I$443</f>
        <v>15</v>
      </c>
      <c r="M73" s="445">
        <f>参数输入表!$I$441*(1-参数输入表!$I$444)*参数输入表!$I$35/参数输入表!$I$443</f>
        <v>15</v>
      </c>
      <c r="N73" s="445">
        <f>参数输入表!$I$441*(1-参数输入表!$I$444)*参数输入表!$I$35/参数输入表!$I$443</f>
        <v>15</v>
      </c>
      <c r="O73" s="445">
        <f>参数输入表!$I$441*(1-参数输入表!$I$444)*参数输入表!$I$35/参数输入表!$I$443</f>
        <v>15</v>
      </c>
      <c r="P73" s="445">
        <f>参数输入表!$I$441*(1-参数输入表!$I$444)*参数输入表!$I$35/参数输入表!$I$443</f>
        <v>15</v>
      </c>
      <c r="Q73" s="445">
        <f>参数输入表!$I$441*(1-参数输入表!$I$444)*参数输入表!$I$35/参数输入表!$I$443</f>
        <v>15</v>
      </c>
      <c r="R73" s="445">
        <f>参数输入表!$I$441*(1-参数输入表!$I$444)*参数输入表!$I$35/参数输入表!$I$443</f>
        <v>15</v>
      </c>
      <c r="S73" s="445">
        <f>参数输入表!$I$441*(1-参数输入表!$I$444)*参数输入表!$I$35/参数输入表!$I$443</f>
        <v>15</v>
      </c>
      <c r="T73" s="445">
        <f>参数输入表!$I$441*(1-参数输入表!$I$444)*参数输入表!$I$35/参数输入表!$I$443</f>
        <v>15</v>
      </c>
      <c r="U73" s="445">
        <f>参数输入表!$I$441*(1-参数输入表!$I$444)*参数输入表!$I$35/参数输入表!$I$443</f>
        <v>15</v>
      </c>
      <c r="V73" s="445">
        <f>参数输入表!$I$441*(1-参数输入表!$I$444)*参数输入表!$I$35/参数输入表!$I$443</f>
        <v>15</v>
      </c>
      <c r="W73" s="445">
        <f>参数输入表!$I$441*(1-参数输入表!$I$444)*参数输入表!$I$35/参数输入表!$I$443</f>
        <v>15</v>
      </c>
      <c r="X73" s="445">
        <f>参数输入表!$I$441*(1-参数输入表!$I$444)*参数输入表!$I$35/参数输入表!$I$443</f>
        <v>15</v>
      </c>
      <c r="Y73" s="445">
        <f>参数输入表!$I$441*(1-参数输入表!$I$444)*参数输入表!$I$35/参数输入表!$I$443</f>
        <v>15</v>
      </c>
      <c r="Z73" s="445">
        <f>参数输入表!$I$441*(1-参数输入表!$I$444)*参数输入表!$I$35/参数输入表!$I$443</f>
        <v>15</v>
      </c>
      <c r="AA73" s="445">
        <f>参数输入表!$I$441*(1-参数输入表!$I$444)*参数输入表!$I$35/参数输入表!$I$443</f>
        <v>15</v>
      </c>
      <c r="AB73" s="504"/>
      <c r="AC73" s="504"/>
      <c r="AD73" s="504"/>
      <c r="AE73" s="504"/>
      <c r="AF73" s="504"/>
    </row>
    <row r="74" spans="2:32">
      <c r="B74" s="408"/>
      <c r="C74" s="444" t="s">
        <v>560</v>
      </c>
      <c r="D74" s="445">
        <f>SUM(F74:AF74)</f>
        <v>1350</v>
      </c>
      <c r="E74" s="446" t="s">
        <v>24</v>
      </c>
      <c r="F74" s="411"/>
      <c r="G74" s="411"/>
      <c r="H74" s="411"/>
      <c r="I74" s="411"/>
      <c r="J74" s="433"/>
      <c r="K74" s="433">
        <f>参数输入表!$I$441*(1-参数输入表!$I$444)*参数输入表!$I$36/参数输入表!$I$443</f>
        <v>75</v>
      </c>
      <c r="L74" s="433">
        <f>参数输入表!$I$441*(1-参数输入表!$I$444)*参数输入表!$I$36/参数输入表!$I$443</f>
        <v>75</v>
      </c>
      <c r="M74" s="433">
        <f>参数输入表!$I$441*(1-参数输入表!$I$444)*参数输入表!$I$36/参数输入表!$I$443</f>
        <v>75</v>
      </c>
      <c r="N74" s="433">
        <f>参数输入表!$I$441*(1-参数输入表!$I$444)*参数输入表!$I$36/参数输入表!$I$443</f>
        <v>75</v>
      </c>
      <c r="O74" s="433">
        <f>参数输入表!$I$441*(1-参数输入表!$I$444)*参数输入表!$I$36/参数输入表!$I$443</f>
        <v>75</v>
      </c>
      <c r="P74" s="433">
        <f>参数输入表!$I$441*(1-参数输入表!$I$444)*参数输入表!$I$36/参数输入表!$I$443</f>
        <v>75</v>
      </c>
      <c r="Q74" s="433">
        <f>参数输入表!$I$441*(1-参数输入表!$I$444)*参数输入表!$I$36/参数输入表!$I$443</f>
        <v>75</v>
      </c>
      <c r="R74" s="433">
        <f>参数输入表!$I$441*(1-参数输入表!$I$444)*参数输入表!$I$36/参数输入表!$I$443</f>
        <v>75</v>
      </c>
      <c r="S74" s="433">
        <f>参数输入表!$I$441*(1-参数输入表!$I$444)*参数输入表!$I$36/参数输入表!$I$443</f>
        <v>75</v>
      </c>
      <c r="T74" s="433">
        <f>参数输入表!$I$441*(1-参数输入表!$I$444)*参数输入表!$I$36/参数输入表!$I$443</f>
        <v>75</v>
      </c>
      <c r="U74" s="433">
        <f>参数输入表!$I$441*(1-参数输入表!$I$444)*参数输入表!$I$36/参数输入表!$I$443</f>
        <v>75</v>
      </c>
      <c r="V74" s="433">
        <f>参数输入表!$I$441*(1-参数输入表!$I$444)*参数输入表!$I$36/参数输入表!$I$443</f>
        <v>75</v>
      </c>
      <c r="W74" s="433">
        <f>参数输入表!$I$441*(1-参数输入表!$I$444)*参数输入表!$I$36/参数输入表!$I$443</f>
        <v>75</v>
      </c>
      <c r="X74" s="433">
        <f>参数输入表!$I$441*(1-参数输入表!$I$444)*参数输入表!$I$36/参数输入表!$I$443</f>
        <v>75</v>
      </c>
      <c r="Y74" s="433">
        <f>参数输入表!$I$441*(1-参数输入表!$I$444)*参数输入表!$I$36/参数输入表!$I$443</f>
        <v>75</v>
      </c>
      <c r="Z74" s="433">
        <f>参数输入表!$I$441*(1-参数输入表!$I$444)*参数输入表!$I$36/参数输入表!$I$443</f>
        <v>75</v>
      </c>
      <c r="AA74" s="433">
        <f>参数输入表!$I$441*(1-参数输入表!$I$444)*参数输入表!$I$36/参数输入表!$I$443</f>
        <v>75</v>
      </c>
      <c r="AB74" s="433">
        <f>参数输入表!$I$441*(1-参数输入表!$I$444)*参数输入表!$I$36/参数输入表!$I$443</f>
        <v>75</v>
      </c>
      <c r="AC74" s="504"/>
      <c r="AD74" s="504"/>
      <c r="AE74" s="504"/>
      <c r="AF74" s="504"/>
    </row>
    <row r="75" spans="2:32">
      <c r="B75" s="408"/>
      <c r="C75" s="444" t="s">
        <v>561</v>
      </c>
      <c r="D75" s="445">
        <f>SUM(F75:AF75)</f>
        <v>180</v>
      </c>
      <c r="E75" s="446" t="s">
        <v>24</v>
      </c>
      <c r="F75" s="411"/>
      <c r="G75" s="411"/>
      <c r="H75" s="447"/>
      <c r="I75" s="447"/>
      <c r="J75" s="447"/>
      <c r="K75" s="447"/>
      <c r="L75" s="433">
        <f>参数输入表!$I$441*(1-参数输入表!$I$444)*参数输入表!$I$37/参数输入表!$I$443</f>
        <v>10</v>
      </c>
      <c r="M75" s="433">
        <f>参数输入表!$I$441*(1-参数输入表!$I$444)*参数输入表!$I$37/参数输入表!$I$443</f>
        <v>10</v>
      </c>
      <c r="N75" s="433">
        <f>参数输入表!$I$441*(1-参数输入表!$I$444)*参数输入表!$I$37/参数输入表!$I$443</f>
        <v>10</v>
      </c>
      <c r="O75" s="433">
        <f>参数输入表!$I$441*(1-参数输入表!$I$444)*参数输入表!$I$37/参数输入表!$I$443</f>
        <v>10</v>
      </c>
      <c r="P75" s="433">
        <f>参数输入表!$I$441*(1-参数输入表!$I$444)*参数输入表!$I$37/参数输入表!$I$443</f>
        <v>10</v>
      </c>
      <c r="Q75" s="433">
        <f>参数输入表!$I$441*(1-参数输入表!$I$444)*参数输入表!$I$37/参数输入表!$I$443</f>
        <v>10</v>
      </c>
      <c r="R75" s="433">
        <f>参数输入表!$I$441*(1-参数输入表!$I$444)*参数输入表!$I$37/参数输入表!$I$443</f>
        <v>10</v>
      </c>
      <c r="S75" s="433">
        <f>参数输入表!$I$441*(1-参数输入表!$I$444)*参数输入表!$I$37/参数输入表!$I$443</f>
        <v>10</v>
      </c>
      <c r="T75" s="433">
        <f>参数输入表!$I$441*(1-参数输入表!$I$444)*参数输入表!$I$37/参数输入表!$I$443</f>
        <v>10</v>
      </c>
      <c r="U75" s="433">
        <f>参数输入表!$I$441*(1-参数输入表!$I$444)*参数输入表!$I$37/参数输入表!$I$443</f>
        <v>10</v>
      </c>
      <c r="V75" s="433">
        <f>参数输入表!$I$441*(1-参数输入表!$I$444)*参数输入表!$I$37/参数输入表!$I$443</f>
        <v>10</v>
      </c>
      <c r="W75" s="433">
        <f>参数输入表!$I$441*(1-参数输入表!$I$444)*参数输入表!$I$37/参数输入表!$I$443</f>
        <v>10</v>
      </c>
      <c r="X75" s="433">
        <f>参数输入表!$I$441*(1-参数输入表!$I$444)*参数输入表!$I$37/参数输入表!$I$443</f>
        <v>10</v>
      </c>
      <c r="Y75" s="433">
        <f>参数输入表!$I$441*(1-参数输入表!$I$444)*参数输入表!$I$37/参数输入表!$I$443</f>
        <v>10</v>
      </c>
      <c r="Z75" s="433">
        <f>参数输入表!$I$441*(1-参数输入表!$I$444)*参数输入表!$I$37/参数输入表!$I$443</f>
        <v>10</v>
      </c>
      <c r="AA75" s="433">
        <f>参数输入表!$I$441*(1-参数输入表!$I$444)*参数输入表!$I$37/参数输入表!$I$443</f>
        <v>10</v>
      </c>
      <c r="AB75" s="433">
        <f>参数输入表!$I$441*(1-参数输入表!$I$444)*参数输入表!$I$37/参数输入表!$I$443</f>
        <v>10</v>
      </c>
      <c r="AC75" s="433">
        <f>参数输入表!$I$441*(1-参数输入表!$I$444)*参数输入表!$I$37/参数输入表!$I$443</f>
        <v>10</v>
      </c>
      <c r="AD75" s="504"/>
      <c r="AE75" s="504"/>
      <c r="AF75" s="504"/>
    </row>
    <row r="76" spans="2:32">
      <c r="B76" s="408"/>
      <c r="C76" s="443" t="s">
        <v>573</v>
      </c>
      <c r="D76" s="436"/>
      <c r="E76" s="448" t="s">
        <v>24</v>
      </c>
      <c r="F76" s="413"/>
      <c r="G76" s="413"/>
      <c r="H76" s="449"/>
      <c r="I76" s="449"/>
      <c r="J76" s="495">
        <f>J72</f>
        <v>15</v>
      </c>
      <c r="K76" s="495">
        <f>J76+K72</f>
        <v>105</v>
      </c>
      <c r="L76" s="495">
        <f t="shared" ref="L76:AF76" si="16">K76+L72</f>
        <v>205</v>
      </c>
      <c r="M76" s="495">
        <f t="shared" si="16"/>
        <v>305</v>
      </c>
      <c r="N76" s="495">
        <f t="shared" si="16"/>
        <v>405</v>
      </c>
      <c r="O76" s="495">
        <f t="shared" si="16"/>
        <v>505</v>
      </c>
      <c r="P76" s="495">
        <f t="shared" si="16"/>
        <v>605</v>
      </c>
      <c r="Q76" s="495">
        <f t="shared" si="16"/>
        <v>705</v>
      </c>
      <c r="R76" s="495">
        <f t="shared" si="16"/>
        <v>805</v>
      </c>
      <c r="S76" s="495">
        <f t="shared" si="16"/>
        <v>905</v>
      </c>
      <c r="T76" s="495">
        <f t="shared" si="16"/>
        <v>1005</v>
      </c>
      <c r="U76" s="495">
        <f t="shared" si="16"/>
        <v>1105</v>
      </c>
      <c r="V76" s="495">
        <f t="shared" si="16"/>
        <v>1205</v>
      </c>
      <c r="W76" s="495">
        <f t="shared" si="16"/>
        <v>1305</v>
      </c>
      <c r="X76" s="495">
        <f t="shared" si="16"/>
        <v>1405</v>
      </c>
      <c r="Y76" s="495">
        <f t="shared" si="16"/>
        <v>1505</v>
      </c>
      <c r="Z76" s="495">
        <f t="shared" si="16"/>
        <v>1605</v>
      </c>
      <c r="AA76" s="495">
        <f t="shared" si="16"/>
        <v>1705</v>
      </c>
      <c r="AB76" s="495">
        <f t="shared" si="16"/>
        <v>1790</v>
      </c>
      <c r="AC76" s="495">
        <f t="shared" si="16"/>
        <v>1800</v>
      </c>
      <c r="AD76" s="495">
        <f t="shared" si="16"/>
        <v>1800</v>
      </c>
      <c r="AE76" s="495">
        <f t="shared" si="16"/>
        <v>1800</v>
      </c>
      <c r="AF76" s="495">
        <f t="shared" si="16"/>
        <v>1800</v>
      </c>
    </row>
    <row r="77" ht="17.25" spans="2:32">
      <c r="B77" s="422"/>
      <c r="C77" s="423" t="s">
        <v>574</v>
      </c>
      <c r="D77" s="423"/>
      <c r="E77" s="425" t="s">
        <v>24</v>
      </c>
      <c r="F77" s="426">
        <f>F68+F69-F72</f>
        <v>0</v>
      </c>
      <c r="G77" s="426">
        <f>G68+G69-G72</f>
        <v>0</v>
      </c>
      <c r="H77" s="426">
        <f>H68+H69-H72</f>
        <v>0</v>
      </c>
      <c r="I77" s="426">
        <f>I68+I69-I72</f>
        <v>0</v>
      </c>
      <c r="J77" s="496">
        <f>J68-J76</f>
        <v>255</v>
      </c>
      <c r="K77" s="496">
        <f t="shared" ref="K77:AF77" si="17">K68-K76</f>
        <v>1515</v>
      </c>
      <c r="L77" s="496">
        <f t="shared" si="17"/>
        <v>1595</v>
      </c>
      <c r="M77" s="496">
        <f t="shared" si="17"/>
        <v>1495</v>
      </c>
      <c r="N77" s="496">
        <f t="shared" si="17"/>
        <v>1395</v>
      </c>
      <c r="O77" s="496">
        <f t="shared" si="17"/>
        <v>1295</v>
      </c>
      <c r="P77" s="496">
        <f t="shared" si="17"/>
        <v>1195</v>
      </c>
      <c r="Q77" s="496">
        <f t="shared" si="17"/>
        <v>1095</v>
      </c>
      <c r="R77" s="496">
        <f t="shared" si="17"/>
        <v>995</v>
      </c>
      <c r="S77" s="496">
        <f t="shared" si="17"/>
        <v>895</v>
      </c>
      <c r="T77" s="496">
        <f t="shared" si="17"/>
        <v>795</v>
      </c>
      <c r="U77" s="496">
        <f t="shared" si="17"/>
        <v>695</v>
      </c>
      <c r="V77" s="496">
        <f t="shared" si="17"/>
        <v>595</v>
      </c>
      <c r="W77" s="496">
        <f t="shared" si="17"/>
        <v>495</v>
      </c>
      <c r="X77" s="496">
        <f t="shared" si="17"/>
        <v>395</v>
      </c>
      <c r="Y77" s="496">
        <f t="shared" si="17"/>
        <v>295</v>
      </c>
      <c r="Z77" s="496">
        <f t="shared" si="17"/>
        <v>195</v>
      </c>
      <c r="AA77" s="496">
        <f t="shared" si="17"/>
        <v>95</v>
      </c>
      <c r="AB77" s="496">
        <f t="shared" si="17"/>
        <v>10</v>
      </c>
      <c r="AC77" s="496">
        <f t="shared" si="17"/>
        <v>0</v>
      </c>
      <c r="AD77" s="496">
        <f t="shared" si="17"/>
        <v>0</v>
      </c>
      <c r="AE77" s="496">
        <f t="shared" si="17"/>
        <v>0</v>
      </c>
      <c r="AF77" s="496">
        <f t="shared" si="17"/>
        <v>0</v>
      </c>
    </row>
    <row r="78" spans="2:32">
      <c r="B78" s="450">
        <v>4</v>
      </c>
      <c r="C78" s="428" t="s">
        <v>575</v>
      </c>
      <c r="D78" s="429"/>
      <c r="E78" s="451" t="s">
        <v>24</v>
      </c>
      <c r="F78" s="429">
        <v>0</v>
      </c>
      <c r="G78" s="429">
        <f>F109</f>
        <v>0</v>
      </c>
      <c r="H78" s="429">
        <f t="shared" ref="H78:O78" si="18">G109</f>
        <v>0</v>
      </c>
      <c r="I78" s="429">
        <f t="shared" si="18"/>
        <v>0</v>
      </c>
      <c r="J78" s="429">
        <f t="shared" si="18"/>
        <v>0</v>
      </c>
      <c r="K78" s="429">
        <f t="shared" si="18"/>
        <v>0</v>
      </c>
      <c r="L78" s="429">
        <f t="shared" si="18"/>
        <v>0</v>
      </c>
      <c r="M78" s="429">
        <f t="shared" si="18"/>
        <v>0</v>
      </c>
      <c r="N78" s="429">
        <f t="shared" si="18"/>
        <v>0</v>
      </c>
      <c r="O78" s="429">
        <f t="shared" si="18"/>
        <v>0</v>
      </c>
      <c r="P78" s="429">
        <f t="shared" ref="P78:AF78" si="19">O109</f>
        <v>0</v>
      </c>
      <c r="Q78" s="429">
        <f t="shared" si="19"/>
        <v>0</v>
      </c>
      <c r="R78" s="429">
        <f t="shared" si="19"/>
        <v>0</v>
      </c>
      <c r="S78" s="429">
        <f t="shared" si="19"/>
        <v>0</v>
      </c>
      <c r="T78" s="429">
        <f t="shared" si="19"/>
        <v>0</v>
      </c>
      <c r="U78" s="429">
        <f t="shared" si="19"/>
        <v>0</v>
      </c>
      <c r="V78" s="429">
        <f t="shared" si="19"/>
        <v>0</v>
      </c>
      <c r="W78" s="429">
        <f t="shared" si="19"/>
        <v>0</v>
      </c>
      <c r="X78" s="429">
        <f t="shared" si="19"/>
        <v>0</v>
      </c>
      <c r="Y78" s="429">
        <f t="shared" si="19"/>
        <v>0</v>
      </c>
      <c r="Z78" s="429">
        <f t="shared" si="19"/>
        <v>0</v>
      </c>
      <c r="AA78" s="429">
        <f t="shared" si="19"/>
        <v>0</v>
      </c>
      <c r="AB78" s="429">
        <f t="shared" si="19"/>
        <v>0</v>
      </c>
      <c r="AC78" s="429">
        <f t="shared" si="19"/>
        <v>0</v>
      </c>
      <c r="AD78" s="429">
        <f t="shared" si="19"/>
        <v>0</v>
      </c>
      <c r="AE78" s="429">
        <f t="shared" si="19"/>
        <v>0</v>
      </c>
      <c r="AF78" s="429">
        <f t="shared" si="19"/>
        <v>0</v>
      </c>
    </row>
    <row r="79" spans="2:32">
      <c r="B79" s="452"/>
      <c r="C79" s="259" t="s">
        <v>576</v>
      </c>
      <c r="D79" s="409">
        <f>SUM(F79:AF79)</f>
        <v>0</v>
      </c>
      <c r="E79" s="410" t="s">
        <v>24</v>
      </c>
      <c r="F79" s="453">
        <f>IF(F25-参数输入表!$I$14&lt;=0,0)</f>
        <v>0</v>
      </c>
      <c r="G79" s="453">
        <f>IF(G25-参数输入表!$I$14&lt;=0,0)</f>
        <v>0</v>
      </c>
      <c r="H79" s="409">
        <f>参数输入表!I498/(1+参数输入表!$I$525)</f>
        <v>0</v>
      </c>
      <c r="I79" s="409">
        <f>参数输入表!I499/(1+参数输入表!$I$525)</f>
        <v>0</v>
      </c>
      <c r="J79" s="409">
        <f>参数输入表!I500/(1+参数输入表!$I$525)</f>
        <v>0</v>
      </c>
      <c r="K79" s="409">
        <f>参数输入表!I501/(1+参数输入表!$I$525)</f>
        <v>0</v>
      </c>
      <c r="L79" s="409">
        <f>参数输入表!I502/(1+参数输入表!$I$525)</f>
        <v>0</v>
      </c>
      <c r="M79" s="409">
        <f>参数输入表!I503/(1+参数输入表!$I$525)</f>
        <v>0</v>
      </c>
      <c r="N79" s="409">
        <f>参数输入表!I504/(1+参数输入表!$I$525)</f>
        <v>0</v>
      </c>
      <c r="O79" s="409">
        <f>参数输入表!I505/(1+参数输入表!$I$525)</f>
        <v>0</v>
      </c>
      <c r="P79" s="409">
        <f>参数输入表!I506/(1+参数输入表!$I$525)</f>
        <v>0</v>
      </c>
      <c r="Q79" s="409">
        <f>参数输入表!I507/(1+参数输入表!$I$525)</f>
        <v>0</v>
      </c>
      <c r="R79" s="409">
        <f>参数输入表!I508/(1+参数输入表!$I$525)</f>
        <v>0</v>
      </c>
      <c r="S79" s="409">
        <f>参数输入表!I509/(1+参数输入表!$I$525)</f>
        <v>0</v>
      </c>
      <c r="T79" s="409">
        <f>参数输入表!I510/(1+参数输入表!$I$525)</f>
        <v>0</v>
      </c>
      <c r="U79" s="409">
        <f>参数输入表!I511/(1+参数输入表!$I$525)</f>
        <v>0</v>
      </c>
      <c r="V79" s="409">
        <f>参数输入表!I512/(1+参数输入表!$I$525)</f>
        <v>0</v>
      </c>
      <c r="W79" s="409">
        <f>参数输入表!I513/(1+参数输入表!$I$525)</f>
        <v>0</v>
      </c>
      <c r="X79" s="409">
        <f>参数输入表!I514/(1+参数输入表!$I$525)</f>
        <v>0</v>
      </c>
      <c r="Y79" s="409">
        <f>参数输入表!I515/(1+参数输入表!$I$525)</f>
        <v>0</v>
      </c>
      <c r="Z79" s="409">
        <f>参数输入表!I516/(1+参数输入表!$I$525)</f>
        <v>0</v>
      </c>
      <c r="AA79" s="409">
        <f>参数输入表!I517/(1+参数输入表!$I$525)</f>
        <v>0</v>
      </c>
      <c r="AB79" s="409">
        <f>参数输入表!I518/(1+参数输入表!$I$525)</f>
        <v>0</v>
      </c>
      <c r="AC79" s="409">
        <f>参数输入表!I519/(1+参数输入表!$I$525)</f>
        <v>0</v>
      </c>
      <c r="AD79" s="409">
        <f>参数输入表!I520/(1+参数输入表!$I$525)</f>
        <v>0</v>
      </c>
      <c r="AE79" s="409">
        <f>参数输入表!I521/(1+参数输入表!$I$525)</f>
        <v>0</v>
      </c>
      <c r="AF79" s="409">
        <f>参数输入表!I522/(1+参数输入表!$I$525)</f>
        <v>0</v>
      </c>
    </row>
    <row r="80" spans="2:32">
      <c r="B80" s="452"/>
      <c r="C80" s="414" t="s">
        <v>577</v>
      </c>
      <c r="D80" s="415">
        <f>SUM(F80:AF80)</f>
        <v>0</v>
      </c>
      <c r="E80" s="410" t="s">
        <v>24</v>
      </c>
      <c r="F80" s="415">
        <f>SUM(F81:F107)</f>
        <v>0</v>
      </c>
      <c r="G80" s="415">
        <f t="shared" ref="G80:AF80" si="20">SUM(G81:G107)</f>
        <v>0</v>
      </c>
      <c r="H80" s="415">
        <f t="shared" si="20"/>
        <v>0</v>
      </c>
      <c r="I80" s="415">
        <f t="shared" si="20"/>
        <v>0</v>
      </c>
      <c r="J80" s="415">
        <f t="shared" si="20"/>
        <v>0</v>
      </c>
      <c r="K80" s="415">
        <f t="shared" si="20"/>
        <v>0</v>
      </c>
      <c r="L80" s="415">
        <f t="shared" si="20"/>
        <v>0</v>
      </c>
      <c r="M80" s="415">
        <f t="shared" si="20"/>
        <v>0</v>
      </c>
      <c r="N80" s="415">
        <f t="shared" si="20"/>
        <v>0</v>
      </c>
      <c r="O80" s="415">
        <f t="shared" si="20"/>
        <v>0</v>
      </c>
      <c r="P80" s="415">
        <f t="shared" si="20"/>
        <v>0</v>
      </c>
      <c r="Q80" s="415">
        <f t="shared" si="20"/>
        <v>0</v>
      </c>
      <c r="R80" s="415">
        <f t="shared" si="20"/>
        <v>0</v>
      </c>
      <c r="S80" s="415">
        <f t="shared" si="20"/>
        <v>0</v>
      </c>
      <c r="T80" s="415">
        <f t="shared" si="20"/>
        <v>0</v>
      </c>
      <c r="U80" s="415">
        <f t="shared" si="20"/>
        <v>0</v>
      </c>
      <c r="V80" s="415">
        <f t="shared" si="20"/>
        <v>0</v>
      </c>
      <c r="W80" s="415">
        <f t="shared" si="20"/>
        <v>0</v>
      </c>
      <c r="X80" s="415">
        <f t="shared" si="20"/>
        <v>0</v>
      </c>
      <c r="Y80" s="415">
        <f t="shared" si="20"/>
        <v>0</v>
      </c>
      <c r="Z80" s="415">
        <f t="shared" si="20"/>
        <v>0</v>
      </c>
      <c r="AA80" s="415">
        <f t="shared" si="20"/>
        <v>0</v>
      </c>
      <c r="AB80" s="415">
        <f t="shared" si="20"/>
        <v>0</v>
      </c>
      <c r="AC80" s="415">
        <f t="shared" si="20"/>
        <v>0</v>
      </c>
      <c r="AD80" s="415">
        <f t="shared" si="20"/>
        <v>0</v>
      </c>
      <c r="AE80" s="415">
        <f t="shared" si="20"/>
        <v>0</v>
      </c>
      <c r="AF80" s="415">
        <f t="shared" si="20"/>
        <v>0</v>
      </c>
    </row>
    <row r="81" spans="2:32">
      <c r="B81" s="454"/>
      <c r="C81" s="417" t="s">
        <v>328</v>
      </c>
      <c r="D81" s="418">
        <f>SUM(F81:AF81)</f>
        <v>0</v>
      </c>
      <c r="E81" s="360" t="s">
        <v>24</v>
      </c>
      <c r="F81" s="455">
        <f>IF('表2-折旧摊销表'!$AF$25+1-'表2-折旧摊销表'!$F$25&gt;='表2-折旧摊销表'!$D$21,$F$79/$D$21,$F$79/('表2-折旧摊销表'!$AF$25+1-'表2-折旧摊销表'!$F$25))</f>
        <v>0</v>
      </c>
      <c r="G81" s="455">
        <f>IF('表2-折旧摊销表'!$AF$25+1-'表2-折旧摊销表'!$F$25&gt;='表2-折旧摊销表'!$D$21,$F$79/$D$21,$F$79/('表2-折旧摊销表'!$AF$25+1-'表2-折旧摊销表'!$F$25))</f>
        <v>0</v>
      </c>
      <c r="H81" s="455">
        <f>IF('表2-折旧摊销表'!$AF$25+1-'表2-折旧摊销表'!$F$25&gt;='表2-折旧摊销表'!$D$21,$F$79/$D$21,$F$79/('表2-折旧摊销表'!$AF$25+1-'表2-折旧摊销表'!$F$25))</f>
        <v>0</v>
      </c>
      <c r="I81" s="455">
        <f>IF('表2-折旧摊销表'!$AF$25+1-'表2-折旧摊销表'!$F$25&gt;='表2-折旧摊销表'!$D$21,$F$79/$D$21,$F$79/('表2-折旧摊销表'!$AF$25+1-'表2-折旧摊销表'!$F$25))</f>
        <v>0</v>
      </c>
      <c r="J81" s="455">
        <f>IF('表2-折旧摊销表'!$AF$25+1-'表2-折旧摊销表'!$F$25&gt;='表2-折旧摊销表'!$D$21,$F$79/$D$21,$F$79/('表2-折旧摊销表'!$AF$25+1-'表2-折旧摊销表'!$F$25))</f>
        <v>0</v>
      </c>
      <c r="K81" s="455">
        <f>IF('表2-折旧摊销表'!$AF$25+1-'表2-折旧摊销表'!$F$25&gt;='表2-折旧摊销表'!$D$21,$F$79/$D$21,$F$79/('表2-折旧摊销表'!$AF$25+1-'表2-折旧摊销表'!$F$25))</f>
        <v>0</v>
      </c>
      <c r="L81" s="455">
        <f>IF('表2-折旧摊销表'!$AF$25+1-'表2-折旧摊销表'!$F$25&gt;='表2-折旧摊销表'!$D$21,$F$79/$D$21,$F$79/('表2-折旧摊销表'!$AF$25+1-'表2-折旧摊销表'!$F$25))</f>
        <v>0</v>
      </c>
      <c r="M81" s="455">
        <f>IF('表2-折旧摊销表'!$AF$25+1-'表2-折旧摊销表'!$F$25&gt;='表2-折旧摊销表'!$D$21,$F$79/$D$21,$F$79/('表2-折旧摊销表'!$AF$25+1-'表2-折旧摊销表'!$F$25))</f>
        <v>0</v>
      </c>
      <c r="N81" s="455">
        <f>IF('表2-折旧摊销表'!$AF$25+1-'表2-折旧摊销表'!$F$25&gt;='表2-折旧摊销表'!$D$21,$F$79/$D$21,$F$79/('表2-折旧摊销表'!$AF$25+1-'表2-折旧摊销表'!$F$25))</f>
        <v>0</v>
      </c>
      <c r="O81" s="455">
        <f>IF('表2-折旧摊销表'!$AF$25+1-'表2-折旧摊销表'!$F$25&gt;='表2-折旧摊销表'!$D$21,$F$79/$D$21,$F$79/('表2-折旧摊销表'!$AF$25+1-'表2-折旧摊销表'!$F$25))</f>
        <v>0</v>
      </c>
      <c r="P81" s="455"/>
      <c r="Q81" s="455"/>
      <c r="R81" s="455"/>
      <c r="S81" s="455"/>
      <c r="T81" s="455"/>
      <c r="U81" s="455"/>
      <c r="V81" s="455"/>
      <c r="W81" s="455"/>
      <c r="X81" s="455"/>
      <c r="Y81" s="455"/>
      <c r="Z81" s="455"/>
      <c r="AA81" s="455"/>
      <c r="AB81" s="455"/>
      <c r="AC81" s="455"/>
      <c r="AD81" s="455"/>
      <c r="AE81" s="455"/>
      <c r="AF81" s="455"/>
    </row>
    <row r="82" spans="2:32">
      <c r="B82" s="454"/>
      <c r="C82" s="417" t="s">
        <v>330</v>
      </c>
      <c r="D82" s="418">
        <f>SUM(F82:AF82)</f>
        <v>0</v>
      </c>
      <c r="E82" s="360" t="s">
        <v>24</v>
      </c>
      <c r="F82" s="455"/>
      <c r="G82" s="455">
        <f>IF('表2-折旧摊销表'!$AF$25+1-'表2-折旧摊销表'!$G$25&gt;='表2-折旧摊销表'!$D$21,$G$79/$D$21,$G$79/('表2-折旧摊销表'!$AF$25+1-'表2-折旧摊销表'!$G$25))</f>
        <v>0</v>
      </c>
      <c r="H82" s="455">
        <f>IF('表2-折旧摊销表'!$AF$25+1-'表2-折旧摊销表'!$G$25&gt;='表2-折旧摊销表'!$D$21,$G$79/$D$21,$G$79/('表2-折旧摊销表'!$AF$25+1-'表2-折旧摊销表'!$G$25))</f>
        <v>0</v>
      </c>
      <c r="I82" s="455">
        <f>IF('表2-折旧摊销表'!$AF$25+1-'表2-折旧摊销表'!$G$25&gt;='表2-折旧摊销表'!$D$21,$G$79/$D$21,$G$79/('表2-折旧摊销表'!$AF$25+1-'表2-折旧摊销表'!$G$25))</f>
        <v>0</v>
      </c>
      <c r="J82" s="455">
        <f>IF('表2-折旧摊销表'!$AF$25+1-'表2-折旧摊销表'!$G$25&gt;='表2-折旧摊销表'!$D$21,$G$79/$D$21,$G$79/('表2-折旧摊销表'!$AF$25+1-'表2-折旧摊销表'!$G$25))</f>
        <v>0</v>
      </c>
      <c r="K82" s="455">
        <f>IF('表2-折旧摊销表'!$AF$25+1-'表2-折旧摊销表'!$G$25&gt;='表2-折旧摊销表'!$D$21,$G$79/$D$21,$G$79/('表2-折旧摊销表'!$AF$25+1-'表2-折旧摊销表'!$G$25))</f>
        <v>0</v>
      </c>
      <c r="L82" s="455">
        <f>IF('表2-折旧摊销表'!$AF$25+1-'表2-折旧摊销表'!$G$25&gt;='表2-折旧摊销表'!$D$21,$G$79/$D$21,$G$79/('表2-折旧摊销表'!$AF$25+1-'表2-折旧摊销表'!$G$25))</f>
        <v>0</v>
      </c>
      <c r="M82" s="455">
        <f>IF('表2-折旧摊销表'!$AF$25+1-'表2-折旧摊销表'!$G$25&gt;='表2-折旧摊销表'!$D$21,$G$79/$D$21,$G$79/('表2-折旧摊销表'!$AF$25+1-'表2-折旧摊销表'!$G$25))</f>
        <v>0</v>
      </c>
      <c r="N82" s="455">
        <f>IF('表2-折旧摊销表'!$AF$25+1-'表2-折旧摊销表'!$G$25&gt;='表2-折旧摊销表'!$D$21,$G$79/$D$21,$G$79/('表2-折旧摊销表'!$AF$25+1-'表2-折旧摊销表'!$G$25))</f>
        <v>0</v>
      </c>
      <c r="O82" s="455">
        <f>IF('表2-折旧摊销表'!$AF$25+1-'表2-折旧摊销表'!$G$25&gt;='表2-折旧摊销表'!$D$21,$G$79/$D$21,$G$79/('表2-折旧摊销表'!$AF$25+1-'表2-折旧摊销表'!$G$25))</f>
        <v>0</v>
      </c>
      <c r="P82" s="455">
        <f>IF('表2-折旧摊销表'!$AF$25+1-'表2-折旧摊销表'!$G$25&gt;='表2-折旧摊销表'!$D$21,$G$79/$D$21,$G$79/('表2-折旧摊销表'!$AF$25+1-'表2-折旧摊销表'!$G$25))</f>
        <v>0</v>
      </c>
      <c r="Q82" s="455"/>
      <c r="R82" s="455"/>
      <c r="S82" s="455"/>
      <c r="T82" s="455"/>
      <c r="U82" s="455"/>
      <c r="V82" s="455"/>
      <c r="W82" s="455"/>
      <c r="X82" s="455"/>
      <c r="Y82" s="455"/>
      <c r="Z82" s="455"/>
      <c r="AA82" s="455"/>
      <c r="AB82" s="455"/>
      <c r="AC82" s="455"/>
      <c r="AD82" s="455"/>
      <c r="AE82" s="455"/>
      <c r="AF82" s="455"/>
    </row>
    <row r="83" spans="2:32">
      <c r="B83" s="454"/>
      <c r="C83" s="417" t="s">
        <v>331</v>
      </c>
      <c r="D83" s="418">
        <f t="shared" ref="D83:D108" si="21">SUM(F83:AF83)</f>
        <v>0</v>
      </c>
      <c r="E83" s="360" t="s">
        <v>24</v>
      </c>
      <c r="F83" s="455"/>
      <c r="G83" s="455"/>
      <c r="H83" s="455">
        <f>IF('表2-折旧摊销表'!$AF$25+1-'表2-折旧摊销表'!$H$25&gt;='表2-折旧摊销表'!$D$21,$H$79/$D$21,$H$79/('表2-折旧摊销表'!$AF$25+1-'表2-折旧摊销表'!$H$25))</f>
        <v>0</v>
      </c>
      <c r="I83" s="455">
        <f>IF('表2-折旧摊销表'!$AF$25+1-'表2-折旧摊销表'!$H$25&gt;='表2-折旧摊销表'!$D$21,$H$79/$D$21,$H$79/('表2-折旧摊销表'!$AF$25+1-'表2-折旧摊销表'!$H$25))</f>
        <v>0</v>
      </c>
      <c r="J83" s="455">
        <f>IF('表2-折旧摊销表'!$AF$25+1-'表2-折旧摊销表'!$H$25&gt;='表2-折旧摊销表'!$D$21,$H$79/$D$21,$H$79/('表2-折旧摊销表'!$AF$25+1-'表2-折旧摊销表'!$H$25))</f>
        <v>0</v>
      </c>
      <c r="K83" s="455">
        <f>IF('表2-折旧摊销表'!$AF$25+1-'表2-折旧摊销表'!$H$25&gt;='表2-折旧摊销表'!$D$21,$H$79/$D$21,$H$79/('表2-折旧摊销表'!$AF$25+1-'表2-折旧摊销表'!$H$25))</f>
        <v>0</v>
      </c>
      <c r="L83" s="455">
        <f>IF('表2-折旧摊销表'!$AF$25+1-'表2-折旧摊销表'!$H$25&gt;='表2-折旧摊销表'!$D$21,$H$79/$D$21,$H$79/('表2-折旧摊销表'!$AF$25+1-'表2-折旧摊销表'!$H$25))</f>
        <v>0</v>
      </c>
      <c r="M83" s="455">
        <f>IF('表2-折旧摊销表'!$AF$25+1-'表2-折旧摊销表'!$H$25&gt;='表2-折旧摊销表'!$D$21,$H$79/$D$21,$H$79/('表2-折旧摊销表'!$AF$25+1-'表2-折旧摊销表'!$H$25))</f>
        <v>0</v>
      </c>
      <c r="N83" s="455">
        <f>IF('表2-折旧摊销表'!$AF$25+1-'表2-折旧摊销表'!$H$25&gt;='表2-折旧摊销表'!$D$21,$H$79/$D$21,$H$79/('表2-折旧摊销表'!$AF$25+1-'表2-折旧摊销表'!$H$25))</f>
        <v>0</v>
      </c>
      <c r="O83" s="455">
        <f>IF('表2-折旧摊销表'!$AF$25+1-'表2-折旧摊销表'!$H$25&gt;='表2-折旧摊销表'!$D$21,$H$79/$D$21,$H$79/('表2-折旧摊销表'!$AF$25+1-'表2-折旧摊销表'!$H$25))</f>
        <v>0</v>
      </c>
      <c r="P83" s="455">
        <f>IF('表2-折旧摊销表'!$AF$25+1-'表2-折旧摊销表'!$H$25&gt;='表2-折旧摊销表'!$D$21,$H$79/$D$21,$H$79/('表2-折旧摊销表'!$AF$25+1-'表2-折旧摊销表'!$H$25))</f>
        <v>0</v>
      </c>
      <c r="Q83" s="455">
        <f>IF('表2-折旧摊销表'!$AF$25+1-'表2-折旧摊销表'!$H$25&gt;='表2-折旧摊销表'!$D$21,$H$79/$D$21,$H$79/('表2-折旧摊销表'!$AF$25+1-'表2-折旧摊销表'!$H$25))</f>
        <v>0</v>
      </c>
      <c r="R83" s="455"/>
      <c r="S83" s="455"/>
      <c r="T83" s="455"/>
      <c r="U83" s="455"/>
      <c r="V83" s="455"/>
      <c r="W83" s="455"/>
      <c r="X83" s="455"/>
      <c r="Y83" s="455"/>
      <c r="Z83" s="455"/>
      <c r="AA83" s="455"/>
      <c r="AB83" s="455"/>
      <c r="AC83" s="455"/>
      <c r="AD83" s="455"/>
      <c r="AE83" s="455"/>
      <c r="AF83" s="455"/>
    </row>
    <row r="84" spans="2:32">
      <c r="B84" s="454"/>
      <c r="C84" s="417" t="s">
        <v>332</v>
      </c>
      <c r="D84" s="418">
        <f t="shared" si="21"/>
        <v>0</v>
      </c>
      <c r="E84" s="360" t="s">
        <v>24</v>
      </c>
      <c r="F84" s="455"/>
      <c r="G84" s="455"/>
      <c r="H84" s="455"/>
      <c r="I84" s="455">
        <f>IF('表2-折旧摊销表'!$AF$25+1-'表2-折旧摊销表'!$I$25&gt;='表2-折旧摊销表'!$D$21,$I$79/$D$21,$I$79/('表2-折旧摊销表'!$AF$25+1-'表2-折旧摊销表'!$I$25))</f>
        <v>0</v>
      </c>
      <c r="J84" s="455">
        <f>IF('表2-折旧摊销表'!$AF$25+1-'表2-折旧摊销表'!$I$25&gt;='表2-折旧摊销表'!$D$21,$I$79/$D$21,$I$79/('表2-折旧摊销表'!$AF$25+1-'表2-折旧摊销表'!$I$25))</f>
        <v>0</v>
      </c>
      <c r="K84" s="455">
        <f>IF('表2-折旧摊销表'!$AF$25+1-'表2-折旧摊销表'!$I$25&gt;='表2-折旧摊销表'!$D$21,$I$79/$D$21,$I$79/('表2-折旧摊销表'!$AF$25+1-'表2-折旧摊销表'!$I$25))</f>
        <v>0</v>
      </c>
      <c r="L84" s="455">
        <f>IF('表2-折旧摊销表'!$AF$25+1-'表2-折旧摊销表'!$I$25&gt;='表2-折旧摊销表'!$D$21,$I$79/$D$21,$I$79/('表2-折旧摊销表'!$AF$25+1-'表2-折旧摊销表'!$I$25))</f>
        <v>0</v>
      </c>
      <c r="M84" s="455">
        <f>IF('表2-折旧摊销表'!$AF$25+1-'表2-折旧摊销表'!$I$25&gt;='表2-折旧摊销表'!$D$21,$I$79/$D$21,$I$79/('表2-折旧摊销表'!$AF$25+1-'表2-折旧摊销表'!$I$25))</f>
        <v>0</v>
      </c>
      <c r="N84" s="455">
        <f>IF('表2-折旧摊销表'!$AF$25+1-'表2-折旧摊销表'!$I$25&gt;='表2-折旧摊销表'!$D$21,$I$79/$D$21,$I$79/('表2-折旧摊销表'!$AF$25+1-'表2-折旧摊销表'!$I$25))</f>
        <v>0</v>
      </c>
      <c r="O84" s="455">
        <f>IF('表2-折旧摊销表'!$AF$25+1-'表2-折旧摊销表'!$I$25&gt;='表2-折旧摊销表'!$D$21,$I$79/$D$21,$I$79/('表2-折旧摊销表'!$AF$25+1-'表2-折旧摊销表'!$I$25))</f>
        <v>0</v>
      </c>
      <c r="P84" s="455">
        <f>IF('表2-折旧摊销表'!$AF$25+1-'表2-折旧摊销表'!$I$25&gt;='表2-折旧摊销表'!$D$21,$I$79/$D$21,$I$79/('表2-折旧摊销表'!$AF$25+1-'表2-折旧摊销表'!$I$25))</f>
        <v>0</v>
      </c>
      <c r="Q84" s="455">
        <f>IF('表2-折旧摊销表'!$AF$25+1-'表2-折旧摊销表'!$I$25&gt;='表2-折旧摊销表'!$D$21,$I$79/$D$21,$I$79/('表2-折旧摊销表'!$AF$25+1-'表2-折旧摊销表'!$I$25))</f>
        <v>0</v>
      </c>
      <c r="R84" s="455">
        <f>IF('表2-折旧摊销表'!$AF$25+1-'表2-折旧摊销表'!$I$25&gt;='表2-折旧摊销表'!$D$21,$I$79/$D$21,$I$79/('表2-折旧摊销表'!$AF$25+1-'表2-折旧摊销表'!$I$25))</f>
        <v>0</v>
      </c>
      <c r="S84" s="455"/>
      <c r="T84" s="455"/>
      <c r="U84" s="455"/>
      <c r="V84" s="455"/>
      <c r="W84" s="455"/>
      <c r="X84" s="455"/>
      <c r="Y84" s="455"/>
      <c r="Z84" s="455"/>
      <c r="AA84" s="455"/>
      <c r="AB84" s="455"/>
      <c r="AC84" s="455"/>
      <c r="AD84" s="455"/>
      <c r="AE84" s="455"/>
      <c r="AF84" s="455"/>
    </row>
    <row r="85" spans="2:32">
      <c r="B85" s="454"/>
      <c r="C85" s="417" t="s">
        <v>333</v>
      </c>
      <c r="D85" s="418">
        <f t="shared" si="21"/>
        <v>0</v>
      </c>
      <c r="E85" s="360" t="s">
        <v>24</v>
      </c>
      <c r="F85" s="455"/>
      <c r="G85" s="455"/>
      <c r="H85" s="455"/>
      <c r="I85" s="455"/>
      <c r="J85" s="455">
        <f>IF('表2-折旧摊销表'!$AF$25+1-'表2-折旧摊销表'!$J$25&gt;='表2-折旧摊销表'!$D$21,$J$79/$D$21,$J$79/('表2-折旧摊销表'!$AF$25+1-'表2-折旧摊销表'!$J$25))</f>
        <v>0</v>
      </c>
      <c r="K85" s="455">
        <f>IF('表2-折旧摊销表'!$AF$25+1-'表2-折旧摊销表'!$J$25&gt;='表2-折旧摊销表'!$D$21,$J$79/$D$21,$J$79/('表2-折旧摊销表'!$AF$25+1-'表2-折旧摊销表'!$J$25))</f>
        <v>0</v>
      </c>
      <c r="L85" s="455">
        <f>IF('表2-折旧摊销表'!$AF$25+1-'表2-折旧摊销表'!$J$25&gt;='表2-折旧摊销表'!$D$21,$J$79/$D$21,$J$79/('表2-折旧摊销表'!$AF$25+1-'表2-折旧摊销表'!$J$25))</f>
        <v>0</v>
      </c>
      <c r="M85" s="455">
        <f>IF('表2-折旧摊销表'!$AF$25+1-'表2-折旧摊销表'!$J$25&gt;='表2-折旧摊销表'!$D$21,$J$79/$D$21,$J$79/('表2-折旧摊销表'!$AF$25+1-'表2-折旧摊销表'!$J$25))</f>
        <v>0</v>
      </c>
      <c r="N85" s="455">
        <f>IF('表2-折旧摊销表'!$AF$25+1-'表2-折旧摊销表'!$J$25&gt;='表2-折旧摊销表'!$D$21,$J$79/$D$21,$J$79/('表2-折旧摊销表'!$AF$25+1-'表2-折旧摊销表'!$J$25))</f>
        <v>0</v>
      </c>
      <c r="O85" s="455">
        <f>IF('表2-折旧摊销表'!$AF$25+1-'表2-折旧摊销表'!$J$25&gt;='表2-折旧摊销表'!$D$21,$J$79/$D$21,$J$79/('表2-折旧摊销表'!$AF$25+1-'表2-折旧摊销表'!$J$25))</f>
        <v>0</v>
      </c>
      <c r="P85" s="455">
        <f>IF('表2-折旧摊销表'!$AF$25+1-'表2-折旧摊销表'!$J$25&gt;='表2-折旧摊销表'!$D$21,$J$79/$D$21,$J$79/('表2-折旧摊销表'!$AF$25+1-'表2-折旧摊销表'!$J$25))</f>
        <v>0</v>
      </c>
      <c r="Q85" s="455">
        <f>IF('表2-折旧摊销表'!$AF$25+1-'表2-折旧摊销表'!$J$25&gt;='表2-折旧摊销表'!$D$21,$J$79/$D$21,$J$79/('表2-折旧摊销表'!$AF$25+1-'表2-折旧摊销表'!$J$25))</f>
        <v>0</v>
      </c>
      <c r="R85" s="455">
        <f>IF('表2-折旧摊销表'!$AF$25+1-'表2-折旧摊销表'!$J$25&gt;='表2-折旧摊销表'!$D$21,$J$79/$D$21,$J$79/('表2-折旧摊销表'!$AF$25+1-'表2-折旧摊销表'!$J$25))</f>
        <v>0</v>
      </c>
      <c r="S85" s="455">
        <f>IF('表2-折旧摊销表'!$AF$25+1-'表2-折旧摊销表'!$J$25&gt;='表2-折旧摊销表'!$D$21,$J$79/$D$21,$J$79/('表2-折旧摊销表'!$AF$25+1-'表2-折旧摊销表'!$J$25))</f>
        <v>0</v>
      </c>
      <c r="T85" s="455"/>
      <c r="U85" s="455"/>
      <c r="V85" s="455"/>
      <c r="W85" s="455"/>
      <c r="X85" s="455"/>
      <c r="Y85" s="455"/>
      <c r="Z85" s="455"/>
      <c r="AA85" s="455"/>
      <c r="AB85" s="455"/>
      <c r="AC85" s="455"/>
      <c r="AD85" s="455"/>
      <c r="AE85" s="455"/>
      <c r="AF85" s="455"/>
    </row>
    <row r="86" spans="2:32">
      <c r="B86" s="454"/>
      <c r="C86" s="417" t="s">
        <v>334</v>
      </c>
      <c r="D86" s="418">
        <f t="shared" si="21"/>
        <v>0</v>
      </c>
      <c r="E86" s="360" t="s">
        <v>24</v>
      </c>
      <c r="F86" s="455"/>
      <c r="G86" s="455"/>
      <c r="H86" s="455"/>
      <c r="I86" s="455"/>
      <c r="J86" s="455"/>
      <c r="K86" s="455">
        <f>IF('表2-折旧摊销表'!$AF$25+1-'表2-折旧摊销表'!$K$25&gt;='表2-折旧摊销表'!$D$21,$K$79/$D$21,$K$79/('表2-折旧摊销表'!$AF$25+1-'表2-折旧摊销表'!$K$25))</f>
        <v>0</v>
      </c>
      <c r="L86" s="455">
        <f>IF('表2-折旧摊销表'!$AF$25+1-'表2-折旧摊销表'!$K$25&gt;='表2-折旧摊销表'!$D$21,$K$79/$D$21,$K$79/('表2-折旧摊销表'!$AF$25+1-'表2-折旧摊销表'!$K$25))</f>
        <v>0</v>
      </c>
      <c r="M86" s="455">
        <f>IF('表2-折旧摊销表'!$AF$25+1-'表2-折旧摊销表'!$K$25&gt;='表2-折旧摊销表'!$D$21,$K$79/$D$21,$K$79/('表2-折旧摊销表'!$AF$25+1-'表2-折旧摊销表'!$K$25))</f>
        <v>0</v>
      </c>
      <c r="N86" s="455">
        <f>IF('表2-折旧摊销表'!$AF$25+1-'表2-折旧摊销表'!$K$25&gt;='表2-折旧摊销表'!$D$21,$K$79/$D$21,$K$79/('表2-折旧摊销表'!$AF$25+1-'表2-折旧摊销表'!$K$25))</f>
        <v>0</v>
      </c>
      <c r="O86" s="455">
        <f>IF('表2-折旧摊销表'!$AF$25+1-'表2-折旧摊销表'!$K$25&gt;='表2-折旧摊销表'!$D$21,$K$79/$D$21,$K$79/('表2-折旧摊销表'!$AF$25+1-'表2-折旧摊销表'!$K$25))</f>
        <v>0</v>
      </c>
      <c r="P86" s="455">
        <f>IF('表2-折旧摊销表'!$AF$25+1-'表2-折旧摊销表'!$K$25&gt;='表2-折旧摊销表'!$D$21,$K$79/$D$21,$K$79/('表2-折旧摊销表'!$AF$25+1-'表2-折旧摊销表'!$K$25))</f>
        <v>0</v>
      </c>
      <c r="Q86" s="455">
        <f>IF('表2-折旧摊销表'!$AF$25+1-'表2-折旧摊销表'!$K$25&gt;='表2-折旧摊销表'!$D$21,$K$79/$D$21,$K$79/('表2-折旧摊销表'!$AF$25+1-'表2-折旧摊销表'!$K$25))</f>
        <v>0</v>
      </c>
      <c r="R86" s="455">
        <f>IF('表2-折旧摊销表'!$AF$25+1-'表2-折旧摊销表'!$K$25&gt;='表2-折旧摊销表'!$D$21,$K$79/$D$21,$K$79/('表2-折旧摊销表'!$AF$25+1-'表2-折旧摊销表'!$K$25))</f>
        <v>0</v>
      </c>
      <c r="S86" s="455">
        <f>IF('表2-折旧摊销表'!$AF$25+1-'表2-折旧摊销表'!$K$25&gt;='表2-折旧摊销表'!$D$21,$K$79/$D$21,$K$79/('表2-折旧摊销表'!$AF$25+1-'表2-折旧摊销表'!$K$25))</f>
        <v>0</v>
      </c>
      <c r="T86" s="455">
        <f>IF('表2-折旧摊销表'!$AF$25+1-'表2-折旧摊销表'!$K$25&gt;='表2-折旧摊销表'!$D$21,$K$79/$D$21,$K$79/('表2-折旧摊销表'!$AF$25+1-'表2-折旧摊销表'!$K$25))</f>
        <v>0</v>
      </c>
      <c r="U86" s="455"/>
      <c r="V86" s="455"/>
      <c r="W86" s="455"/>
      <c r="X86" s="455"/>
      <c r="Y86" s="455"/>
      <c r="Z86" s="455"/>
      <c r="AA86" s="455"/>
      <c r="AB86" s="455"/>
      <c r="AC86" s="455"/>
      <c r="AD86" s="455"/>
      <c r="AE86" s="455"/>
      <c r="AF86" s="455"/>
    </row>
    <row r="87" spans="2:32">
      <c r="B87" s="454"/>
      <c r="C87" s="417" t="s">
        <v>335</v>
      </c>
      <c r="D87" s="418">
        <f t="shared" si="21"/>
        <v>0</v>
      </c>
      <c r="E87" s="360" t="s">
        <v>24</v>
      </c>
      <c r="F87" s="455"/>
      <c r="G87" s="455"/>
      <c r="H87" s="455"/>
      <c r="I87" s="455"/>
      <c r="J87" s="455"/>
      <c r="K87" s="455"/>
      <c r="L87" s="455">
        <f>IF('表2-折旧摊销表'!$AF$25+1-'表2-折旧摊销表'!$L$25&gt;='表2-折旧摊销表'!$D$21,$L$79/$D$21,$L$79/('表2-折旧摊销表'!$AF$25+1-'表2-折旧摊销表'!$L$25))</f>
        <v>0</v>
      </c>
      <c r="M87" s="455">
        <f>IF('表2-折旧摊销表'!$AF$25+1-'表2-折旧摊销表'!$L$25&gt;='表2-折旧摊销表'!$D$21,$L$79/$D$21,$L$79/('表2-折旧摊销表'!$AF$25+1-'表2-折旧摊销表'!$L$25))</f>
        <v>0</v>
      </c>
      <c r="N87" s="455">
        <f>IF('表2-折旧摊销表'!$AF$25+1-'表2-折旧摊销表'!$L$25&gt;='表2-折旧摊销表'!$D$21,$L$79/$D$21,$L$79/('表2-折旧摊销表'!$AF$25+1-'表2-折旧摊销表'!$L$25))</f>
        <v>0</v>
      </c>
      <c r="O87" s="455">
        <f>IF('表2-折旧摊销表'!$AF$25+1-'表2-折旧摊销表'!$L$25&gt;='表2-折旧摊销表'!$D$21,$L$79/$D$21,$L$79/('表2-折旧摊销表'!$AF$25+1-'表2-折旧摊销表'!$L$25))</f>
        <v>0</v>
      </c>
      <c r="P87" s="455">
        <f>IF('表2-折旧摊销表'!$AF$25+1-'表2-折旧摊销表'!$L$25&gt;='表2-折旧摊销表'!$D$21,$L$79/$D$21,$L$79/('表2-折旧摊销表'!$AF$25+1-'表2-折旧摊销表'!$L$25))</f>
        <v>0</v>
      </c>
      <c r="Q87" s="455">
        <f>IF('表2-折旧摊销表'!$AF$25+1-'表2-折旧摊销表'!$L$25&gt;='表2-折旧摊销表'!$D$21,$L$79/$D$21,$L$79/('表2-折旧摊销表'!$AF$25+1-'表2-折旧摊销表'!$L$25))</f>
        <v>0</v>
      </c>
      <c r="R87" s="455">
        <f>IF('表2-折旧摊销表'!$AF$25+1-'表2-折旧摊销表'!$L$25&gt;='表2-折旧摊销表'!$D$21,$L$79/$D$21,$L$79/('表2-折旧摊销表'!$AF$25+1-'表2-折旧摊销表'!$L$25))</f>
        <v>0</v>
      </c>
      <c r="S87" s="455">
        <f>IF('表2-折旧摊销表'!$AF$25+1-'表2-折旧摊销表'!$L$25&gt;='表2-折旧摊销表'!$D$21,$L$79/$D$21,$L$79/('表2-折旧摊销表'!$AF$25+1-'表2-折旧摊销表'!$L$25))</f>
        <v>0</v>
      </c>
      <c r="T87" s="455">
        <f>IF('表2-折旧摊销表'!$AF$25+1-'表2-折旧摊销表'!$L$25&gt;='表2-折旧摊销表'!$D$21,$L$79/$D$21,$L$79/('表2-折旧摊销表'!$AF$25+1-'表2-折旧摊销表'!$L$25))</f>
        <v>0</v>
      </c>
      <c r="U87" s="455">
        <f>IF('表2-折旧摊销表'!$AF$25+1-'表2-折旧摊销表'!$L$25&gt;='表2-折旧摊销表'!$D$21,$L$79/$D$21,$L$79/('表2-折旧摊销表'!$AF$25+1-'表2-折旧摊销表'!$L$25))</f>
        <v>0</v>
      </c>
      <c r="V87" s="455"/>
      <c r="W87" s="455"/>
      <c r="X87" s="455"/>
      <c r="Y87" s="455"/>
      <c r="Z87" s="455"/>
      <c r="AA87" s="455"/>
      <c r="AB87" s="455"/>
      <c r="AC87" s="455"/>
      <c r="AD87" s="455"/>
      <c r="AE87" s="455"/>
      <c r="AF87" s="455"/>
    </row>
    <row r="88" spans="2:32">
      <c r="B88" s="454"/>
      <c r="C88" s="417" t="s">
        <v>336</v>
      </c>
      <c r="D88" s="418">
        <f t="shared" si="21"/>
        <v>0</v>
      </c>
      <c r="E88" s="360" t="s">
        <v>24</v>
      </c>
      <c r="F88" s="455"/>
      <c r="G88" s="455"/>
      <c r="H88" s="455"/>
      <c r="I88" s="455"/>
      <c r="J88" s="455"/>
      <c r="K88" s="455"/>
      <c r="L88" s="455"/>
      <c r="M88" s="455">
        <f>IF('表2-折旧摊销表'!$AF$25+1-'表2-折旧摊销表'!$M$25&gt;='表2-折旧摊销表'!$D$21,$M$79/$D$21,$M$79/('表2-折旧摊销表'!$AF$25+1-'表2-折旧摊销表'!$M$25))</f>
        <v>0</v>
      </c>
      <c r="N88" s="455">
        <f>IF('表2-折旧摊销表'!$AF$25+1-'表2-折旧摊销表'!$M$25&gt;='表2-折旧摊销表'!$D$21,$M$79/$D$21,$M$79/('表2-折旧摊销表'!$AF$25+1-'表2-折旧摊销表'!$M$25))</f>
        <v>0</v>
      </c>
      <c r="O88" s="455">
        <f>IF('表2-折旧摊销表'!$AF$25+1-'表2-折旧摊销表'!$M$25&gt;='表2-折旧摊销表'!$D$21,$M$79/$D$21,$M$79/('表2-折旧摊销表'!$AF$25+1-'表2-折旧摊销表'!$M$25))</f>
        <v>0</v>
      </c>
      <c r="P88" s="455">
        <f>IF('表2-折旧摊销表'!$AF$25+1-'表2-折旧摊销表'!$M$25&gt;='表2-折旧摊销表'!$D$21,$M$79/$D$21,$M$79/('表2-折旧摊销表'!$AF$25+1-'表2-折旧摊销表'!$M$25))</f>
        <v>0</v>
      </c>
      <c r="Q88" s="455">
        <f>IF('表2-折旧摊销表'!$AF$25+1-'表2-折旧摊销表'!$M$25&gt;='表2-折旧摊销表'!$D$21,$M$79/$D$21,$M$79/('表2-折旧摊销表'!$AF$25+1-'表2-折旧摊销表'!$M$25))</f>
        <v>0</v>
      </c>
      <c r="R88" s="455">
        <f>IF('表2-折旧摊销表'!$AF$25+1-'表2-折旧摊销表'!$M$25&gt;='表2-折旧摊销表'!$D$21,$M$79/$D$21,$M$79/('表2-折旧摊销表'!$AF$25+1-'表2-折旧摊销表'!$M$25))</f>
        <v>0</v>
      </c>
      <c r="S88" s="455">
        <f>IF('表2-折旧摊销表'!$AF$25+1-'表2-折旧摊销表'!$M$25&gt;='表2-折旧摊销表'!$D$21,$M$79/$D$21,$M$79/('表2-折旧摊销表'!$AF$25+1-'表2-折旧摊销表'!$M$25))</f>
        <v>0</v>
      </c>
      <c r="T88" s="455">
        <f>IF('表2-折旧摊销表'!$AF$25+1-'表2-折旧摊销表'!$M$25&gt;='表2-折旧摊销表'!$D$21,$M$79/$D$21,$M$79/('表2-折旧摊销表'!$AF$25+1-'表2-折旧摊销表'!$M$25))</f>
        <v>0</v>
      </c>
      <c r="U88" s="455">
        <f>IF('表2-折旧摊销表'!$AF$25+1-'表2-折旧摊销表'!$M$25&gt;='表2-折旧摊销表'!$D$21,$M$79/$D$21,$M$79/('表2-折旧摊销表'!$AF$25+1-'表2-折旧摊销表'!$M$25))</f>
        <v>0</v>
      </c>
      <c r="V88" s="455">
        <f>IF('表2-折旧摊销表'!$AF$25+1-'表2-折旧摊销表'!$M$25&gt;='表2-折旧摊销表'!$D$21,$M$79/$D$21,$M$79/('表2-折旧摊销表'!$AF$25+1-'表2-折旧摊销表'!$M$25))</f>
        <v>0</v>
      </c>
      <c r="W88" s="455"/>
      <c r="X88" s="455"/>
      <c r="Y88" s="455"/>
      <c r="Z88" s="455"/>
      <c r="AA88" s="455"/>
      <c r="AB88" s="455"/>
      <c r="AC88" s="455"/>
      <c r="AD88" s="455"/>
      <c r="AE88" s="455"/>
      <c r="AF88" s="455"/>
    </row>
    <row r="89" spans="2:32">
      <c r="B89" s="454"/>
      <c r="C89" s="417" t="s">
        <v>337</v>
      </c>
      <c r="D89" s="418">
        <f t="shared" si="21"/>
        <v>0</v>
      </c>
      <c r="E89" s="360" t="s">
        <v>24</v>
      </c>
      <c r="F89" s="455"/>
      <c r="G89" s="455"/>
      <c r="H89" s="455"/>
      <c r="I89" s="455"/>
      <c r="J89" s="455"/>
      <c r="K89" s="455"/>
      <c r="L89" s="455"/>
      <c r="M89" s="455"/>
      <c r="N89" s="455">
        <f>IF('表2-折旧摊销表'!$AF$25+1-'表2-折旧摊销表'!$N$25&gt;='表2-折旧摊销表'!$D$21,$N$79/$D$21,$N$79/('表2-折旧摊销表'!$AF$25+1-'表2-折旧摊销表'!$N$25))</f>
        <v>0</v>
      </c>
      <c r="O89" s="455">
        <f>IF('表2-折旧摊销表'!$AF$25+1-'表2-折旧摊销表'!$N$25&gt;='表2-折旧摊销表'!$D$21,$N$79/$D$21,$N$79/('表2-折旧摊销表'!$AF$25+1-'表2-折旧摊销表'!$N$25))</f>
        <v>0</v>
      </c>
      <c r="P89" s="455">
        <f>IF('表2-折旧摊销表'!$AF$25+1-'表2-折旧摊销表'!$N$25&gt;='表2-折旧摊销表'!$D$21,$N$79/$D$21,$N$79/('表2-折旧摊销表'!$AF$25+1-'表2-折旧摊销表'!$N$25))</f>
        <v>0</v>
      </c>
      <c r="Q89" s="455">
        <f>IF('表2-折旧摊销表'!$AF$25+1-'表2-折旧摊销表'!$N$25&gt;='表2-折旧摊销表'!$D$21,$N$79/$D$21,$N$79/('表2-折旧摊销表'!$AF$25+1-'表2-折旧摊销表'!$N$25))</f>
        <v>0</v>
      </c>
      <c r="R89" s="455">
        <f>IF('表2-折旧摊销表'!$AF$25+1-'表2-折旧摊销表'!$N$25&gt;='表2-折旧摊销表'!$D$21,$N$79/$D$21,$N$79/('表2-折旧摊销表'!$AF$25+1-'表2-折旧摊销表'!$N$25))</f>
        <v>0</v>
      </c>
      <c r="S89" s="455">
        <f>IF('表2-折旧摊销表'!$AF$25+1-'表2-折旧摊销表'!$N$25&gt;='表2-折旧摊销表'!$D$21,$N$79/$D$21,$N$79/('表2-折旧摊销表'!$AF$25+1-'表2-折旧摊销表'!$N$25))</f>
        <v>0</v>
      </c>
      <c r="T89" s="455">
        <f>IF('表2-折旧摊销表'!$AF$25+1-'表2-折旧摊销表'!$N$25&gt;='表2-折旧摊销表'!$D$21,$N$79/$D$21,$N$79/('表2-折旧摊销表'!$AF$25+1-'表2-折旧摊销表'!$N$25))</f>
        <v>0</v>
      </c>
      <c r="U89" s="455">
        <f>IF('表2-折旧摊销表'!$AF$25+1-'表2-折旧摊销表'!$N$25&gt;='表2-折旧摊销表'!$D$21,$N$79/$D$21,$N$79/('表2-折旧摊销表'!$AF$25+1-'表2-折旧摊销表'!$N$25))</f>
        <v>0</v>
      </c>
      <c r="V89" s="455">
        <f>IF('表2-折旧摊销表'!$AF$25+1-'表2-折旧摊销表'!$N$25&gt;='表2-折旧摊销表'!$D$21,$N$79/$D$21,$N$79/('表2-折旧摊销表'!$AF$25+1-'表2-折旧摊销表'!$N$25))</f>
        <v>0</v>
      </c>
      <c r="W89" s="455">
        <f>IF('表2-折旧摊销表'!$AF$25+1-'表2-折旧摊销表'!$N$25&gt;='表2-折旧摊销表'!$D$21,$N$79/$D$21,$N$79/('表2-折旧摊销表'!$AF$25+1-'表2-折旧摊销表'!$N$25))</f>
        <v>0</v>
      </c>
      <c r="X89" s="455"/>
      <c r="Y89" s="455"/>
      <c r="Z89" s="455"/>
      <c r="AA89" s="455"/>
      <c r="AB89" s="455"/>
      <c r="AC89" s="455"/>
      <c r="AD89" s="455"/>
      <c r="AE89" s="455"/>
      <c r="AF89" s="455"/>
    </row>
    <row r="90" spans="2:32">
      <c r="B90" s="454"/>
      <c r="C90" s="417" t="s">
        <v>338</v>
      </c>
      <c r="D90" s="418">
        <f t="shared" si="21"/>
        <v>0</v>
      </c>
      <c r="E90" s="360" t="s">
        <v>24</v>
      </c>
      <c r="F90" s="455"/>
      <c r="G90" s="455"/>
      <c r="H90" s="455"/>
      <c r="I90" s="455"/>
      <c r="J90" s="455"/>
      <c r="K90" s="455"/>
      <c r="L90" s="455"/>
      <c r="M90" s="455"/>
      <c r="N90" s="455"/>
      <c r="O90" s="455">
        <f>IF('表2-折旧摊销表'!$AF$25+1-'表2-折旧摊销表'!$O$25&gt;='表2-折旧摊销表'!$D$21,$O$79/$D$21,$O$79/('表2-折旧摊销表'!$AF$25+1-'表2-折旧摊销表'!$O$25))</f>
        <v>0</v>
      </c>
      <c r="P90" s="455">
        <f>IF('表2-折旧摊销表'!$AF$25+1-'表2-折旧摊销表'!$O$25&gt;='表2-折旧摊销表'!$D$21,$O$79/$D$21,$O$79/('表2-折旧摊销表'!$AF$25+1-'表2-折旧摊销表'!$O$25))</f>
        <v>0</v>
      </c>
      <c r="Q90" s="455">
        <f>IF('表2-折旧摊销表'!$AF$25+1-'表2-折旧摊销表'!$O$25&gt;='表2-折旧摊销表'!$D$21,$O$79/$D$21,$O$79/('表2-折旧摊销表'!$AF$25+1-'表2-折旧摊销表'!$O$25))</f>
        <v>0</v>
      </c>
      <c r="R90" s="455">
        <f>IF('表2-折旧摊销表'!$AF$25+1-'表2-折旧摊销表'!$O$25&gt;='表2-折旧摊销表'!$D$21,$O$79/$D$21,$O$79/('表2-折旧摊销表'!$AF$25+1-'表2-折旧摊销表'!$O$25))</f>
        <v>0</v>
      </c>
      <c r="S90" s="455">
        <f>IF('表2-折旧摊销表'!$AF$25+1-'表2-折旧摊销表'!$O$25&gt;='表2-折旧摊销表'!$D$21,$O$79/$D$21,$O$79/('表2-折旧摊销表'!$AF$25+1-'表2-折旧摊销表'!$O$25))</f>
        <v>0</v>
      </c>
      <c r="T90" s="455">
        <f>IF('表2-折旧摊销表'!$AF$25+1-'表2-折旧摊销表'!$O$25&gt;='表2-折旧摊销表'!$D$21,$O$79/$D$21,$O$79/('表2-折旧摊销表'!$AF$25+1-'表2-折旧摊销表'!$O$25))</f>
        <v>0</v>
      </c>
      <c r="U90" s="455">
        <f>IF('表2-折旧摊销表'!$AF$25+1-'表2-折旧摊销表'!$O$25&gt;='表2-折旧摊销表'!$D$21,$O$79/$D$21,$O$79/('表2-折旧摊销表'!$AF$25+1-'表2-折旧摊销表'!$O$25))</f>
        <v>0</v>
      </c>
      <c r="V90" s="455">
        <f>IF('表2-折旧摊销表'!$AF$25+1-'表2-折旧摊销表'!$O$25&gt;='表2-折旧摊销表'!$D$21,$O$79/$D$21,$O$79/('表2-折旧摊销表'!$AF$25+1-'表2-折旧摊销表'!$O$25))</f>
        <v>0</v>
      </c>
      <c r="W90" s="455">
        <f>IF('表2-折旧摊销表'!$AF$25+1-'表2-折旧摊销表'!$O$25&gt;='表2-折旧摊销表'!$D$21,$O$79/$D$21,$O$79/('表2-折旧摊销表'!$AF$25+1-'表2-折旧摊销表'!$O$25))</f>
        <v>0</v>
      </c>
      <c r="X90" s="455">
        <f>IF('表2-折旧摊销表'!$AF$25+1-'表2-折旧摊销表'!$O$25&gt;='表2-折旧摊销表'!$D$21,$O$79/$D$21,$O$79/('表2-折旧摊销表'!$AF$25+1-'表2-折旧摊销表'!$O$25))</f>
        <v>0</v>
      </c>
      <c r="Y90" s="455"/>
      <c r="Z90" s="455"/>
      <c r="AA90" s="455"/>
      <c r="AB90" s="455"/>
      <c r="AC90" s="455"/>
      <c r="AD90" s="455"/>
      <c r="AE90" s="455"/>
      <c r="AF90" s="455"/>
    </row>
    <row r="91" spans="2:32">
      <c r="B91" s="454"/>
      <c r="C91" s="417" t="s">
        <v>339</v>
      </c>
      <c r="D91" s="418">
        <f t="shared" si="21"/>
        <v>0</v>
      </c>
      <c r="E91" s="360" t="s">
        <v>24</v>
      </c>
      <c r="F91" s="455"/>
      <c r="G91" s="455"/>
      <c r="H91" s="455"/>
      <c r="I91" s="455"/>
      <c r="J91" s="455"/>
      <c r="K91" s="455"/>
      <c r="L91" s="455"/>
      <c r="M91" s="455"/>
      <c r="N91" s="455"/>
      <c r="O91" s="455"/>
      <c r="P91" s="455">
        <f>IF('表2-折旧摊销表'!$AF$25+1-'表2-折旧摊销表'!$P$25&gt;='表2-折旧摊销表'!$D$21,$P$79/$D$21,$P$79/('表2-折旧摊销表'!$AF$25+1-'表2-折旧摊销表'!$P$25))</f>
        <v>0</v>
      </c>
      <c r="Q91" s="455">
        <f>IF('表2-折旧摊销表'!$AF$25+1-'表2-折旧摊销表'!$P$25&gt;='表2-折旧摊销表'!$D$21,$P$79/$D$21,$P$79/('表2-折旧摊销表'!$AF$25+1-'表2-折旧摊销表'!$P$25))</f>
        <v>0</v>
      </c>
      <c r="R91" s="455">
        <f>IF('表2-折旧摊销表'!$AF$25+1-'表2-折旧摊销表'!$P$25&gt;='表2-折旧摊销表'!$D$21,$P$79/$D$21,$P$79/('表2-折旧摊销表'!$AF$25+1-'表2-折旧摊销表'!$P$25))</f>
        <v>0</v>
      </c>
      <c r="S91" s="455">
        <f>IF('表2-折旧摊销表'!$AF$25+1-'表2-折旧摊销表'!$P$25&gt;='表2-折旧摊销表'!$D$21,$P$79/$D$21,$P$79/('表2-折旧摊销表'!$AF$25+1-'表2-折旧摊销表'!$P$25))</f>
        <v>0</v>
      </c>
      <c r="T91" s="455">
        <f>IF('表2-折旧摊销表'!$AF$25+1-'表2-折旧摊销表'!$P$25&gt;='表2-折旧摊销表'!$D$21,$P$79/$D$21,$P$79/('表2-折旧摊销表'!$AF$25+1-'表2-折旧摊销表'!$P$25))</f>
        <v>0</v>
      </c>
      <c r="U91" s="455">
        <f>IF('表2-折旧摊销表'!$AF$25+1-'表2-折旧摊销表'!$P$25&gt;='表2-折旧摊销表'!$D$21,$P$79/$D$21,$P$79/('表2-折旧摊销表'!$AF$25+1-'表2-折旧摊销表'!$P$25))</f>
        <v>0</v>
      </c>
      <c r="V91" s="455">
        <f>IF('表2-折旧摊销表'!$AF$25+1-'表2-折旧摊销表'!$P$25&gt;='表2-折旧摊销表'!$D$21,$P$79/$D$21,$P$79/('表2-折旧摊销表'!$AF$25+1-'表2-折旧摊销表'!$P$25))</f>
        <v>0</v>
      </c>
      <c r="W91" s="455">
        <f>IF('表2-折旧摊销表'!$AF$25+1-'表2-折旧摊销表'!$P$25&gt;='表2-折旧摊销表'!$D$21,$P$79/$D$21,$P$79/('表2-折旧摊销表'!$AF$25+1-'表2-折旧摊销表'!$P$25))</f>
        <v>0</v>
      </c>
      <c r="X91" s="455">
        <f>IF('表2-折旧摊销表'!$AF$25+1-'表2-折旧摊销表'!$P$25&gt;='表2-折旧摊销表'!$D$21,$P$79/$D$21,$P$79/('表2-折旧摊销表'!$AF$25+1-'表2-折旧摊销表'!$P$25))</f>
        <v>0</v>
      </c>
      <c r="Y91" s="455">
        <f>IF('表2-折旧摊销表'!$AF$25+1-'表2-折旧摊销表'!$P$25&gt;='表2-折旧摊销表'!$D$21,$P$79/$D$21,$P$79/('表2-折旧摊销表'!$AF$25+1-'表2-折旧摊销表'!$P$25))</f>
        <v>0</v>
      </c>
      <c r="Z91" s="455"/>
      <c r="AA91" s="455"/>
      <c r="AB91" s="455"/>
      <c r="AC91" s="455"/>
      <c r="AD91" s="455"/>
      <c r="AE91" s="455"/>
      <c r="AF91" s="455"/>
    </row>
    <row r="92" spans="2:32">
      <c r="B92" s="454"/>
      <c r="C92" s="417" t="s">
        <v>340</v>
      </c>
      <c r="D92" s="418">
        <f t="shared" si="21"/>
        <v>0</v>
      </c>
      <c r="E92" s="360" t="s">
        <v>24</v>
      </c>
      <c r="F92" s="455"/>
      <c r="G92" s="455"/>
      <c r="H92" s="455"/>
      <c r="I92" s="455"/>
      <c r="J92" s="455"/>
      <c r="K92" s="455"/>
      <c r="L92" s="455"/>
      <c r="M92" s="455"/>
      <c r="N92" s="455"/>
      <c r="O92" s="455"/>
      <c r="P92" s="455"/>
      <c r="Q92" s="455">
        <f>IF('表2-折旧摊销表'!$AF$25+1-'表2-折旧摊销表'!$Q$25&gt;='表2-折旧摊销表'!$D$21,$Q$79/$D$21,$Q$79/('表2-折旧摊销表'!$AF$25+1-'表2-折旧摊销表'!$Q$25))</f>
        <v>0</v>
      </c>
      <c r="R92" s="455">
        <f>IF('表2-折旧摊销表'!$AF$25+1-'表2-折旧摊销表'!$Q$25&gt;='表2-折旧摊销表'!$D$21,$Q$79/$D$21,$Q$79/('表2-折旧摊销表'!$AF$25+1-'表2-折旧摊销表'!$Q$25))</f>
        <v>0</v>
      </c>
      <c r="S92" s="455">
        <f>IF('表2-折旧摊销表'!$AF$25+1-'表2-折旧摊销表'!$Q$25&gt;='表2-折旧摊销表'!$D$21,$Q$79/$D$21,$Q$79/('表2-折旧摊销表'!$AF$25+1-'表2-折旧摊销表'!$Q$25))</f>
        <v>0</v>
      </c>
      <c r="T92" s="455">
        <f>IF('表2-折旧摊销表'!$AF$25+1-'表2-折旧摊销表'!$Q$25&gt;='表2-折旧摊销表'!$D$21,$Q$79/$D$21,$Q$79/('表2-折旧摊销表'!$AF$25+1-'表2-折旧摊销表'!$Q$25))</f>
        <v>0</v>
      </c>
      <c r="U92" s="455">
        <f>IF('表2-折旧摊销表'!$AF$25+1-'表2-折旧摊销表'!$Q$25&gt;='表2-折旧摊销表'!$D$21,$Q$79/$D$21,$Q$79/('表2-折旧摊销表'!$AF$25+1-'表2-折旧摊销表'!$Q$25))</f>
        <v>0</v>
      </c>
      <c r="V92" s="455">
        <f>IF('表2-折旧摊销表'!$AF$25+1-'表2-折旧摊销表'!$Q$25&gt;='表2-折旧摊销表'!$D$21,$Q$79/$D$21,$Q$79/('表2-折旧摊销表'!$AF$25+1-'表2-折旧摊销表'!$Q$25))</f>
        <v>0</v>
      </c>
      <c r="W92" s="455">
        <f>IF('表2-折旧摊销表'!$AF$25+1-'表2-折旧摊销表'!$Q$25&gt;='表2-折旧摊销表'!$D$21,$Q$79/$D$21,$Q$79/('表2-折旧摊销表'!$AF$25+1-'表2-折旧摊销表'!$Q$25))</f>
        <v>0</v>
      </c>
      <c r="X92" s="455">
        <f>IF('表2-折旧摊销表'!$AF$25+1-'表2-折旧摊销表'!$Q$25&gt;='表2-折旧摊销表'!$D$21,$Q$79/$D$21,$Q$79/('表2-折旧摊销表'!$AF$25+1-'表2-折旧摊销表'!$Q$25))</f>
        <v>0</v>
      </c>
      <c r="Y92" s="455">
        <f>IF('表2-折旧摊销表'!$AF$25+1-'表2-折旧摊销表'!$Q$25&gt;='表2-折旧摊销表'!$D$21,$Q$79/$D$21,$Q$79/('表2-折旧摊销表'!$AF$25+1-'表2-折旧摊销表'!$Q$25))</f>
        <v>0</v>
      </c>
      <c r="Z92" s="455">
        <f>IF('表2-折旧摊销表'!$AF$25+1-'表2-折旧摊销表'!$Q$25&gt;='表2-折旧摊销表'!$D$21,$Q$79/$D$21,$Q$79/('表2-折旧摊销表'!$AF$25+1-'表2-折旧摊销表'!$Q$25))</f>
        <v>0</v>
      </c>
      <c r="AA92" s="455"/>
      <c r="AB92" s="455"/>
      <c r="AC92" s="455"/>
      <c r="AD92" s="455"/>
      <c r="AE92" s="455"/>
      <c r="AF92" s="455"/>
    </row>
    <row r="93" spans="2:32">
      <c r="B93" s="454"/>
      <c r="C93" s="417" t="s">
        <v>341</v>
      </c>
      <c r="D93" s="418">
        <f t="shared" si="21"/>
        <v>0</v>
      </c>
      <c r="E93" s="360" t="s">
        <v>24</v>
      </c>
      <c r="F93" s="455"/>
      <c r="G93" s="455"/>
      <c r="H93" s="455"/>
      <c r="I93" s="455"/>
      <c r="J93" s="455"/>
      <c r="K93" s="455"/>
      <c r="L93" s="455"/>
      <c r="M93" s="455"/>
      <c r="N93" s="455"/>
      <c r="O93" s="455"/>
      <c r="P93" s="455"/>
      <c r="Q93" s="455"/>
      <c r="R93" s="455">
        <f>IF('表2-折旧摊销表'!$AF$25+1-'表2-折旧摊销表'!$R$25&gt;='表2-折旧摊销表'!$D$21,$R$79/$D$21,$R$79/('表2-折旧摊销表'!$AF$25+1-'表2-折旧摊销表'!$R$25))</f>
        <v>0</v>
      </c>
      <c r="S93" s="455">
        <f>IF('表2-折旧摊销表'!$AF$25+1-'表2-折旧摊销表'!$R$25&gt;='表2-折旧摊销表'!$D$21,$R$79/$D$21,$R$79/('表2-折旧摊销表'!$AF$25+1-'表2-折旧摊销表'!$R$25))</f>
        <v>0</v>
      </c>
      <c r="T93" s="455">
        <f>IF('表2-折旧摊销表'!$AF$25+1-'表2-折旧摊销表'!$R$25&gt;='表2-折旧摊销表'!$D$21,$R$79/$D$21,$R$79/('表2-折旧摊销表'!$AF$25+1-'表2-折旧摊销表'!$R$25))</f>
        <v>0</v>
      </c>
      <c r="U93" s="455">
        <f>IF('表2-折旧摊销表'!$AF$25+1-'表2-折旧摊销表'!$R$25&gt;='表2-折旧摊销表'!$D$21,$R$79/$D$21,$R$79/('表2-折旧摊销表'!$AF$25+1-'表2-折旧摊销表'!$R$25))</f>
        <v>0</v>
      </c>
      <c r="V93" s="455">
        <f>IF('表2-折旧摊销表'!$AF$25+1-'表2-折旧摊销表'!$R$25&gt;='表2-折旧摊销表'!$D$21,$R$79/$D$21,$R$79/('表2-折旧摊销表'!$AF$25+1-'表2-折旧摊销表'!$R$25))</f>
        <v>0</v>
      </c>
      <c r="W93" s="455">
        <f>IF('表2-折旧摊销表'!$AF$25+1-'表2-折旧摊销表'!$R$25&gt;='表2-折旧摊销表'!$D$21,$R$79/$D$21,$R$79/('表2-折旧摊销表'!$AF$25+1-'表2-折旧摊销表'!$R$25))</f>
        <v>0</v>
      </c>
      <c r="X93" s="455">
        <f>IF('表2-折旧摊销表'!$AF$25+1-'表2-折旧摊销表'!$R$25&gt;='表2-折旧摊销表'!$D$21,$R$79/$D$21,$R$79/('表2-折旧摊销表'!$AF$25+1-'表2-折旧摊销表'!$R$25))</f>
        <v>0</v>
      </c>
      <c r="Y93" s="455">
        <f>IF('表2-折旧摊销表'!$AF$25+1-'表2-折旧摊销表'!$R$25&gt;='表2-折旧摊销表'!$D$21,$R$79/$D$21,$R$79/('表2-折旧摊销表'!$AF$25+1-'表2-折旧摊销表'!$R$25))</f>
        <v>0</v>
      </c>
      <c r="Z93" s="455">
        <f>IF('表2-折旧摊销表'!$AF$25+1-'表2-折旧摊销表'!$R$25&gt;='表2-折旧摊销表'!$D$21,$R$79/$D$21,$R$79/('表2-折旧摊销表'!$AF$25+1-'表2-折旧摊销表'!$R$25))</f>
        <v>0</v>
      </c>
      <c r="AA93" s="455">
        <f>IF('表2-折旧摊销表'!$AF$25+1-'表2-折旧摊销表'!$R$25&gt;='表2-折旧摊销表'!$D$21,$R$79/$D$21,$R$79/('表2-折旧摊销表'!$AF$25+1-'表2-折旧摊销表'!$R$25))</f>
        <v>0</v>
      </c>
      <c r="AB93" s="455"/>
      <c r="AC93" s="455"/>
      <c r="AD93" s="455"/>
      <c r="AE93" s="455"/>
      <c r="AF93" s="455"/>
    </row>
    <row r="94" spans="2:32">
      <c r="B94" s="454"/>
      <c r="C94" s="417" t="s">
        <v>342</v>
      </c>
      <c r="D94" s="418">
        <f t="shared" si="21"/>
        <v>0</v>
      </c>
      <c r="E94" s="360" t="s">
        <v>24</v>
      </c>
      <c r="F94" s="455"/>
      <c r="G94" s="455"/>
      <c r="H94" s="455"/>
      <c r="I94" s="455"/>
      <c r="J94" s="455"/>
      <c r="K94" s="455"/>
      <c r="L94" s="455"/>
      <c r="M94" s="455"/>
      <c r="N94" s="455"/>
      <c r="O94" s="455"/>
      <c r="P94" s="455"/>
      <c r="Q94" s="455"/>
      <c r="R94" s="455"/>
      <c r="S94" s="455">
        <f>IF('表2-折旧摊销表'!$AF$25+1-'表2-折旧摊销表'!$S$25&gt;='表2-折旧摊销表'!$D$21,$S$79/$D$21,$S$79/('表2-折旧摊销表'!$AF$25+1-'表2-折旧摊销表'!$S$25))</f>
        <v>0</v>
      </c>
      <c r="T94" s="455">
        <f>IF('表2-折旧摊销表'!$AF$25+1-'表2-折旧摊销表'!$S$25&gt;='表2-折旧摊销表'!$D$21,$S$79/$D$21,$S$79/('表2-折旧摊销表'!$AF$25+1-'表2-折旧摊销表'!$S$25))</f>
        <v>0</v>
      </c>
      <c r="U94" s="455">
        <f>IF('表2-折旧摊销表'!$AF$25+1-'表2-折旧摊销表'!$S$25&gt;='表2-折旧摊销表'!$D$21,$S$79/$D$21,$S$79/('表2-折旧摊销表'!$AF$25+1-'表2-折旧摊销表'!$S$25))</f>
        <v>0</v>
      </c>
      <c r="V94" s="455">
        <f>IF('表2-折旧摊销表'!$AF$25+1-'表2-折旧摊销表'!$S$25&gt;='表2-折旧摊销表'!$D$21,$S$79/$D$21,$S$79/('表2-折旧摊销表'!$AF$25+1-'表2-折旧摊销表'!$S$25))</f>
        <v>0</v>
      </c>
      <c r="W94" s="455">
        <f>IF('表2-折旧摊销表'!$AF$25+1-'表2-折旧摊销表'!$S$25&gt;='表2-折旧摊销表'!$D$21,$S$79/$D$21,$S$79/('表2-折旧摊销表'!$AF$25+1-'表2-折旧摊销表'!$S$25))</f>
        <v>0</v>
      </c>
      <c r="X94" s="455">
        <f>IF('表2-折旧摊销表'!$AF$25+1-'表2-折旧摊销表'!$S$25&gt;='表2-折旧摊销表'!$D$21,$S$79/$D$21,$S$79/('表2-折旧摊销表'!$AF$25+1-'表2-折旧摊销表'!$S$25))</f>
        <v>0</v>
      </c>
      <c r="Y94" s="455">
        <f>IF('表2-折旧摊销表'!$AF$25+1-'表2-折旧摊销表'!$S$25&gt;='表2-折旧摊销表'!$D$21,$S$79/$D$21,$S$79/('表2-折旧摊销表'!$AF$25+1-'表2-折旧摊销表'!$S$25))</f>
        <v>0</v>
      </c>
      <c r="Z94" s="455">
        <f>IF('表2-折旧摊销表'!$AF$25+1-'表2-折旧摊销表'!$S$25&gt;='表2-折旧摊销表'!$D$21,$S$79/$D$21,$S$79/('表2-折旧摊销表'!$AF$25+1-'表2-折旧摊销表'!$S$25))</f>
        <v>0</v>
      </c>
      <c r="AA94" s="455">
        <f>IF('表2-折旧摊销表'!$AF$25+1-'表2-折旧摊销表'!$S$25&gt;='表2-折旧摊销表'!$D$21,$S$79/$D$21,$S$79/('表2-折旧摊销表'!$AF$25+1-'表2-折旧摊销表'!$S$25))</f>
        <v>0</v>
      </c>
      <c r="AB94" s="455">
        <f>IF('表2-折旧摊销表'!$AF$25+1-'表2-折旧摊销表'!$S$25&gt;='表2-折旧摊销表'!$D$21,$S$79/$D$21,$S$79/('表2-折旧摊销表'!$AF$25+1-'表2-折旧摊销表'!$S$25))</f>
        <v>0</v>
      </c>
      <c r="AC94" s="455"/>
      <c r="AD94" s="455"/>
      <c r="AE94" s="455"/>
      <c r="AF94" s="455"/>
    </row>
    <row r="95" spans="2:32">
      <c r="B95" s="454"/>
      <c r="C95" s="417" t="s">
        <v>343</v>
      </c>
      <c r="D95" s="418">
        <f t="shared" si="21"/>
        <v>0</v>
      </c>
      <c r="E95" s="360" t="s">
        <v>24</v>
      </c>
      <c r="F95" s="455"/>
      <c r="G95" s="455"/>
      <c r="H95" s="455"/>
      <c r="I95" s="455"/>
      <c r="J95" s="455"/>
      <c r="K95" s="455"/>
      <c r="L95" s="455"/>
      <c r="M95" s="455"/>
      <c r="N95" s="455"/>
      <c r="O95" s="455"/>
      <c r="P95" s="455"/>
      <c r="Q95" s="455"/>
      <c r="R95" s="455"/>
      <c r="S95" s="455"/>
      <c r="T95" s="455">
        <f>IF('表2-折旧摊销表'!$AF$25+1-'表2-折旧摊销表'!$T$25&gt;='表2-折旧摊销表'!$D$21,$T$79/$D$21,$T$79/('表2-折旧摊销表'!$AF$25+1-'表2-折旧摊销表'!$T$25))</f>
        <v>0</v>
      </c>
      <c r="U95" s="455">
        <f>IF('表2-折旧摊销表'!$AF$25+1-'表2-折旧摊销表'!$T$25&gt;='表2-折旧摊销表'!$D$21,$T$79/$D$21,$T$79/('表2-折旧摊销表'!$AF$25+1-'表2-折旧摊销表'!$T$25))</f>
        <v>0</v>
      </c>
      <c r="V95" s="455">
        <f>IF('表2-折旧摊销表'!$AF$25+1-'表2-折旧摊销表'!$T$25&gt;='表2-折旧摊销表'!$D$21,$T$79/$D$21,$T$79/('表2-折旧摊销表'!$AF$25+1-'表2-折旧摊销表'!$T$25))</f>
        <v>0</v>
      </c>
      <c r="W95" s="455">
        <f>IF('表2-折旧摊销表'!$AF$25+1-'表2-折旧摊销表'!$T$25&gt;='表2-折旧摊销表'!$D$21,$T$79/$D$21,$T$79/('表2-折旧摊销表'!$AF$25+1-'表2-折旧摊销表'!$T$25))</f>
        <v>0</v>
      </c>
      <c r="X95" s="455">
        <f>IF('表2-折旧摊销表'!$AF$25+1-'表2-折旧摊销表'!$T$25&gt;='表2-折旧摊销表'!$D$21,$T$79/$D$21,$T$79/('表2-折旧摊销表'!$AF$25+1-'表2-折旧摊销表'!$T$25))</f>
        <v>0</v>
      </c>
      <c r="Y95" s="455">
        <f>IF('表2-折旧摊销表'!$AF$25+1-'表2-折旧摊销表'!$T$25&gt;='表2-折旧摊销表'!$D$21,$T$79/$D$21,$T$79/('表2-折旧摊销表'!$AF$25+1-'表2-折旧摊销表'!$T$25))</f>
        <v>0</v>
      </c>
      <c r="Z95" s="455">
        <f>IF('表2-折旧摊销表'!$AF$25+1-'表2-折旧摊销表'!$T$25&gt;='表2-折旧摊销表'!$D$21,$T$79/$D$21,$T$79/('表2-折旧摊销表'!$AF$25+1-'表2-折旧摊销表'!$T$25))</f>
        <v>0</v>
      </c>
      <c r="AA95" s="455">
        <f>IF('表2-折旧摊销表'!$AF$25+1-'表2-折旧摊销表'!$T$25&gt;='表2-折旧摊销表'!$D$21,$T$79/$D$21,$T$79/('表2-折旧摊销表'!$AF$25+1-'表2-折旧摊销表'!$T$25))</f>
        <v>0</v>
      </c>
      <c r="AB95" s="455">
        <f>IF('表2-折旧摊销表'!$AF$25+1-'表2-折旧摊销表'!$T$25&gt;='表2-折旧摊销表'!$D$21,$T$79/$D$21,$T$79/('表2-折旧摊销表'!$AF$25+1-'表2-折旧摊销表'!$T$25))</f>
        <v>0</v>
      </c>
      <c r="AC95" s="455">
        <f>IF('表2-折旧摊销表'!$AF$25+1-'表2-折旧摊销表'!$T$25&gt;='表2-折旧摊销表'!$D$21,$T$79/$D$21,$T$79/('表2-折旧摊销表'!$AF$25+1-'表2-折旧摊销表'!$T$25))</f>
        <v>0</v>
      </c>
      <c r="AD95" s="455"/>
      <c r="AE95" s="455"/>
      <c r="AF95" s="455"/>
    </row>
    <row r="96" spans="2:32">
      <c r="B96" s="454"/>
      <c r="C96" s="417" t="s">
        <v>344</v>
      </c>
      <c r="D96" s="418">
        <f t="shared" si="21"/>
        <v>0</v>
      </c>
      <c r="E96" s="360" t="s">
        <v>24</v>
      </c>
      <c r="F96" s="455"/>
      <c r="G96" s="455"/>
      <c r="H96" s="455"/>
      <c r="I96" s="455"/>
      <c r="J96" s="455"/>
      <c r="K96" s="455"/>
      <c r="L96" s="455"/>
      <c r="M96" s="455"/>
      <c r="N96" s="455"/>
      <c r="O96" s="455"/>
      <c r="P96" s="455"/>
      <c r="Q96" s="455"/>
      <c r="R96" s="455"/>
      <c r="S96" s="455"/>
      <c r="T96" s="455"/>
      <c r="U96" s="455">
        <f>IF('表2-折旧摊销表'!$AF$25+1-'表2-折旧摊销表'!$U$25&gt;='表2-折旧摊销表'!$D$21,$U$79/$D$21,$U$79/('表2-折旧摊销表'!$AF$25+1-'表2-折旧摊销表'!$U$25))</f>
        <v>0</v>
      </c>
      <c r="V96" s="455">
        <f>IF('表2-折旧摊销表'!$AF$25+1-'表2-折旧摊销表'!$U$25&gt;='表2-折旧摊销表'!$D$21,$U$79/$D$21,$U$79/('表2-折旧摊销表'!$AF$25+1-'表2-折旧摊销表'!$U$25))</f>
        <v>0</v>
      </c>
      <c r="W96" s="455">
        <f>IF('表2-折旧摊销表'!$AF$25+1-'表2-折旧摊销表'!$U$25&gt;='表2-折旧摊销表'!$D$21,$U$79/$D$21,$U$79/('表2-折旧摊销表'!$AF$25+1-'表2-折旧摊销表'!$U$25))</f>
        <v>0</v>
      </c>
      <c r="X96" s="455">
        <f>IF('表2-折旧摊销表'!$AF$25+1-'表2-折旧摊销表'!$U$25&gt;='表2-折旧摊销表'!$D$21,$U$79/$D$21,$U$79/('表2-折旧摊销表'!$AF$25+1-'表2-折旧摊销表'!$U$25))</f>
        <v>0</v>
      </c>
      <c r="Y96" s="455">
        <f>IF('表2-折旧摊销表'!$AF$25+1-'表2-折旧摊销表'!$U$25&gt;='表2-折旧摊销表'!$D$21,$U$79/$D$21,$U$79/('表2-折旧摊销表'!$AF$25+1-'表2-折旧摊销表'!$U$25))</f>
        <v>0</v>
      </c>
      <c r="Z96" s="455">
        <f>IF('表2-折旧摊销表'!$AF$25+1-'表2-折旧摊销表'!$U$25&gt;='表2-折旧摊销表'!$D$21,$U$79/$D$21,$U$79/('表2-折旧摊销表'!$AF$25+1-'表2-折旧摊销表'!$U$25))</f>
        <v>0</v>
      </c>
      <c r="AA96" s="455">
        <f>IF('表2-折旧摊销表'!$AF$25+1-'表2-折旧摊销表'!$U$25&gt;='表2-折旧摊销表'!$D$21,$U$79/$D$21,$U$79/('表2-折旧摊销表'!$AF$25+1-'表2-折旧摊销表'!$U$25))</f>
        <v>0</v>
      </c>
      <c r="AB96" s="455">
        <f>IF('表2-折旧摊销表'!$AF$25+1-'表2-折旧摊销表'!$U$25&gt;='表2-折旧摊销表'!$D$21,$U$79/$D$21,$U$79/('表2-折旧摊销表'!$AF$25+1-'表2-折旧摊销表'!$U$25))</f>
        <v>0</v>
      </c>
      <c r="AC96" s="455">
        <f>IF('表2-折旧摊销表'!$AF$25+1-'表2-折旧摊销表'!$U$25&gt;='表2-折旧摊销表'!$D$21,$U$79/$D$21,$U$79/('表2-折旧摊销表'!$AF$25+1-'表2-折旧摊销表'!$U$25))</f>
        <v>0</v>
      </c>
      <c r="AD96" s="455">
        <f>IF('表2-折旧摊销表'!$AF$25+1-'表2-折旧摊销表'!$U$25&gt;='表2-折旧摊销表'!$D$21,$U$79/$D$21,$U$79/('表2-折旧摊销表'!$AF$25+1-'表2-折旧摊销表'!$U$25))</f>
        <v>0</v>
      </c>
      <c r="AE96" s="455"/>
      <c r="AF96" s="455"/>
    </row>
    <row r="97" spans="2:32">
      <c r="B97" s="454"/>
      <c r="C97" s="417" t="s">
        <v>345</v>
      </c>
      <c r="D97" s="418">
        <f t="shared" si="21"/>
        <v>0</v>
      </c>
      <c r="E97" s="360" t="s">
        <v>24</v>
      </c>
      <c r="F97" s="455"/>
      <c r="G97" s="455"/>
      <c r="H97" s="455"/>
      <c r="I97" s="455"/>
      <c r="J97" s="455"/>
      <c r="K97" s="455"/>
      <c r="L97" s="455"/>
      <c r="M97" s="455"/>
      <c r="N97" s="455"/>
      <c r="O97" s="455"/>
      <c r="P97" s="455"/>
      <c r="Q97" s="455"/>
      <c r="R97" s="455"/>
      <c r="S97" s="455"/>
      <c r="T97" s="455"/>
      <c r="U97" s="455"/>
      <c r="V97" s="455">
        <f>IF('表2-折旧摊销表'!$AF$25+1-'表2-折旧摊销表'!$V$25&gt;='表2-折旧摊销表'!$D$21,$V$79/$D$21,$V$79/('表2-折旧摊销表'!$AF$25+1-'表2-折旧摊销表'!$V$25))</f>
        <v>0</v>
      </c>
      <c r="W97" s="455">
        <f>IF('表2-折旧摊销表'!$AF$25+1-'表2-折旧摊销表'!$V$25&gt;='表2-折旧摊销表'!$D$21,$V$79/$D$21,$V$79/('表2-折旧摊销表'!$AF$25+1-'表2-折旧摊销表'!$V$25))</f>
        <v>0</v>
      </c>
      <c r="X97" s="455">
        <f>IF('表2-折旧摊销表'!$AF$25+1-'表2-折旧摊销表'!$V$25&gt;='表2-折旧摊销表'!$D$21,$V$79/$D$21,$V$79/('表2-折旧摊销表'!$AF$25+1-'表2-折旧摊销表'!$V$25))</f>
        <v>0</v>
      </c>
      <c r="Y97" s="455">
        <f>IF('表2-折旧摊销表'!$AF$25+1-'表2-折旧摊销表'!$V$25&gt;='表2-折旧摊销表'!$D$21,$V$79/$D$21,$V$79/('表2-折旧摊销表'!$AF$25+1-'表2-折旧摊销表'!$V$25))</f>
        <v>0</v>
      </c>
      <c r="Z97" s="455">
        <f>IF('表2-折旧摊销表'!$AF$25+1-'表2-折旧摊销表'!$V$25&gt;='表2-折旧摊销表'!$D$21,$V$79/$D$21,$V$79/('表2-折旧摊销表'!$AF$25+1-'表2-折旧摊销表'!$V$25))</f>
        <v>0</v>
      </c>
      <c r="AA97" s="455">
        <f>IF('表2-折旧摊销表'!$AF$25+1-'表2-折旧摊销表'!$V$25&gt;='表2-折旧摊销表'!$D$21,$V$79/$D$21,$V$79/('表2-折旧摊销表'!$AF$25+1-'表2-折旧摊销表'!$V$25))</f>
        <v>0</v>
      </c>
      <c r="AB97" s="455">
        <f>IF('表2-折旧摊销表'!$AF$25+1-'表2-折旧摊销表'!$V$25&gt;='表2-折旧摊销表'!$D$21,$V$79/$D$21,$V$79/('表2-折旧摊销表'!$AF$25+1-'表2-折旧摊销表'!$V$25))</f>
        <v>0</v>
      </c>
      <c r="AC97" s="455">
        <f>IF('表2-折旧摊销表'!$AF$25+1-'表2-折旧摊销表'!$V$25&gt;='表2-折旧摊销表'!$D$21,$V$79/$D$21,$V$79/('表2-折旧摊销表'!$AF$25+1-'表2-折旧摊销表'!$V$25))</f>
        <v>0</v>
      </c>
      <c r="AD97" s="455">
        <f>IF('表2-折旧摊销表'!$AF$25+1-'表2-折旧摊销表'!$V$25&gt;='表2-折旧摊销表'!$D$21,$V$79/$D$21,$V$79/('表2-折旧摊销表'!$AF$25+1-'表2-折旧摊销表'!$V$25))</f>
        <v>0</v>
      </c>
      <c r="AE97" s="455">
        <f>IF('表2-折旧摊销表'!$AF$25+1-'表2-折旧摊销表'!$V$25&gt;='表2-折旧摊销表'!$D$21,$V$79/$D$21,$V$79/('表2-折旧摊销表'!$AF$25+1-'表2-折旧摊销表'!$V$25))</f>
        <v>0</v>
      </c>
      <c r="AF97" s="455"/>
    </row>
    <row r="98" spans="2:32">
      <c r="B98" s="454"/>
      <c r="C98" s="417" t="s">
        <v>346</v>
      </c>
      <c r="D98" s="418">
        <f t="shared" si="21"/>
        <v>0</v>
      </c>
      <c r="E98" s="360" t="s">
        <v>24</v>
      </c>
      <c r="F98" s="455"/>
      <c r="G98" s="455"/>
      <c r="H98" s="455"/>
      <c r="I98" s="455"/>
      <c r="J98" s="455"/>
      <c r="K98" s="455"/>
      <c r="L98" s="455"/>
      <c r="M98" s="455"/>
      <c r="N98" s="455"/>
      <c r="O98" s="455"/>
      <c r="P98" s="455"/>
      <c r="Q98" s="455"/>
      <c r="R98" s="455"/>
      <c r="S98" s="455"/>
      <c r="T98" s="455"/>
      <c r="U98" s="455"/>
      <c r="V98" s="455"/>
      <c r="W98" s="455">
        <f>IF('表2-折旧摊销表'!$AF$25+1-'表2-折旧摊销表'!$W$25&gt;='表2-折旧摊销表'!$D$21,$W$79/$D$21,$W$79/('表2-折旧摊销表'!$AF$25+1-'表2-折旧摊销表'!$W$25))</f>
        <v>0</v>
      </c>
      <c r="X98" s="455">
        <f>IF('表2-折旧摊销表'!$AF$25+1-'表2-折旧摊销表'!$W$25&gt;='表2-折旧摊销表'!$D$21,$W$79/$D$21,$W$79/('表2-折旧摊销表'!$AF$25+1-'表2-折旧摊销表'!$W$25))</f>
        <v>0</v>
      </c>
      <c r="Y98" s="455">
        <f>IF('表2-折旧摊销表'!$AF$25+1-'表2-折旧摊销表'!$W$25&gt;='表2-折旧摊销表'!$D$21,$W$79/$D$21,$W$79/('表2-折旧摊销表'!$AF$25+1-'表2-折旧摊销表'!$W$25))</f>
        <v>0</v>
      </c>
      <c r="Z98" s="455">
        <f>IF('表2-折旧摊销表'!$AF$25+1-'表2-折旧摊销表'!$W$25&gt;='表2-折旧摊销表'!$D$21,$W$79/$D$21,$W$79/('表2-折旧摊销表'!$AF$25+1-'表2-折旧摊销表'!$W$25))</f>
        <v>0</v>
      </c>
      <c r="AA98" s="455">
        <f>IF('表2-折旧摊销表'!$AF$25+1-'表2-折旧摊销表'!$W$25&gt;='表2-折旧摊销表'!$D$21,$W$79/$D$21,$W$79/('表2-折旧摊销表'!$AF$25+1-'表2-折旧摊销表'!$W$25))</f>
        <v>0</v>
      </c>
      <c r="AB98" s="455">
        <f>IF('表2-折旧摊销表'!$AF$25+1-'表2-折旧摊销表'!$W$25&gt;='表2-折旧摊销表'!$D$21,$W$79/$D$21,$W$79/('表2-折旧摊销表'!$AF$25+1-'表2-折旧摊销表'!$W$25))</f>
        <v>0</v>
      </c>
      <c r="AC98" s="455">
        <f>IF('表2-折旧摊销表'!$AF$25+1-'表2-折旧摊销表'!$W$25&gt;='表2-折旧摊销表'!$D$21,$W$79/$D$21,$W$79/('表2-折旧摊销表'!$AF$25+1-'表2-折旧摊销表'!$W$25))</f>
        <v>0</v>
      </c>
      <c r="AD98" s="455">
        <f>IF('表2-折旧摊销表'!$AF$25+1-'表2-折旧摊销表'!$W$25&gt;='表2-折旧摊销表'!$D$21,$W$79/$D$21,$W$79/('表2-折旧摊销表'!$AF$25+1-'表2-折旧摊销表'!$W$25))</f>
        <v>0</v>
      </c>
      <c r="AE98" s="455">
        <f>IF('表2-折旧摊销表'!$AF$25+1-'表2-折旧摊销表'!$W$25&gt;='表2-折旧摊销表'!$D$21,$W$79/$D$21,$W$79/('表2-折旧摊销表'!$AF$25+1-'表2-折旧摊销表'!$W$25))</f>
        <v>0</v>
      </c>
      <c r="AF98" s="455">
        <f>IF('表2-折旧摊销表'!$AF$25+1-'表2-折旧摊销表'!$W$25&gt;='表2-折旧摊销表'!$D$21,$W$79/$D$21,$W$79/('表2-折旧摊销表'!$AF$25+1-'表2-折旧摊销表'!$W$25))</f>
        <v>0</v>
      </c>
    </row>
    <row r="99" spans="2:32">
      <c r="B99" s="454"/>
      <c r="C99" s="417" t="s">
        <v>347</v>
      </c>
      <c r="D99" s="418">
        <f t="shared" si="21"/>
        <v>0</v>
      </c>
      <c r="E99" s="360" t="s">
        <v>24</v>
      </c>
      <c r="F99" s="455"/>
      <c r="G99" s="455"/>
      <c r="H99" s="455"/>
      <c r="I99" s="455"/>
      <c r="J99" s="455"/>
      <c r="K99" s="455"/>
      <c r="L99" s="455"/>
      <c r="M99" s="455"/>
      <c r="N99" s="455"/>
      <c r="O99" s="455"/>
      <c r="P99" s="455"/>
      <c r="Q99" s="455"/>
      <c r="R99" s="455"/>
      <c r="S99" s="455"/>
      <c r="T99" s="455"/>
      <c r="U99" s="455"/>
      <c r="V99" s="455"/>
      <c r="W99" s="455"/>
      <c r="X99" s="455">
        <f>IF('表2-折旧摊销表'!$AF$25+1-'表2-折旧摊销表'!$X$25&gt;='表2-折旧摊销表'!$D$21,$X$79/$D$21,$X$79/('表2-折旧摊销表'!$AF$25+1-'表2-折旧摊销表'!$X$25))</f>
        <v>0</v>
      </c>
      <c r="Y99" s="455">
        <f>IF('表2-折旧摊销表'!$AF$25+1-'表2-折旧摊销表'!$X$25&gt;='表2-折旧摊销表'!$D$21,$X$79/$D$21,$X$79/('表2-折旧摊销表'!$AF$25+1-'表2-折旧摊销表'!$X$25))</f>
        <v>0</v>
      </c>
      <c r="Z99" s="455">
        <f>IF('表2-折旧摊销表'!$AF$25+1-'表2-折旧摊销表'!$X$25&gt;='表2-折旧摊销表'!$D$21,$X$79/$D$21,$X$79/('表2-折旧摊销表'!$AF$25+1-'表2-折旧摊销表'!$X$25))</f>
        <v>0</v>
      </c>
      <c r="AA99" s="455">
        <f>IF('表2-折旧摊销表'!$AF$25+1-'表2-折旧摊销表'!$X$25&gt;='表2-折旧摊销表'!$D$21,$X$79/$D$21,$X$79/('表2-折旧摊销表'!$AF$25+1-'表2-折旧摊销表'!$X$25))</f>
        <v>0</v>
      </c>
      <c r="AB99" s="455">
        <f>IF('表2-折旧摊销表'!$AF$25+1-'表2-折旧摊销表'!$X$25&gt;='表2-折旧摊销表'!$D$21,$X$79/$D$21,$X$79/('表2-折旧摊销表'!$AF$25+1-'表2-折旧摊销表'!$X$25))</f>
        <v>0</v>
      </c>
      <c r="AC99" s="455">
        <f>IF('表2-折旧摊销表'!$AF$25+1-'表2-折旧摊销表'!$X$25&gt;='表2-折旧摊销表'!$D$21,$X$79/$D$21,$X$79/('表2-折旧摊销表'!$AF$25+1-'表2-折旧摊销表'!$X$25))</f>
        <v>0</v>
      </c>
      <c r="AD99" s="455">
        <f>IF('表2-折旧摊销表'!$AF$25+1-'表2-折旧摊销表'!$X$25&gt;='表2-折旧摊销表'!$D$21,$X$79/$D$21,$X$79/('表2-折旧摊销表'!$AF$25+1-'表2-折旧摊销表'!$X$25))</f>
        <v>0</v>
      </c>
      <c r="AE99" s="455">
        <f>IF('表2-折旧摊销表'!$AF$25+1-'表2-折旧摊销表'!$X$25&gt;='表2-折旧摊销表'!$D$21,$X$79/$D$21,$X$79/('表2-折旧摊销表'!$AF$25+1-'表2-折旧摊销表'!$X$25))</f>
        <v>0</v>
      </c>
      <c r="AF99" s="455">
        <f>IF('表2-折旧摊销表'!$AF$25+1-'表2-折旧摊销表'!$X$25&gt;='表2-折旧摊销表'!$D$21,$X$79/$D$21,$X$79/('表2-折旧摊销表'!$AF$25+1-'表2-折旧摊销表'!$X$25))</f>
        <v>0</v>
      </c>
    </row>
    <row r="100" spans="2:32">
      <c r="B100" s="454"/>
      <c r="C100" s="417" t="s">
        <v>348</v>
      </c>
      <c r="D100" s="418">
        <f t="shared" si="21"/>
        <v>0</v>
      </c>
      <c r="E100" s="360" t="s">
        <v>24</v>
      </c>
      <c r="F100" s="455"/>
      <c r="G100" s="455"/>
      <c r="H100" s="455"/>
      <c r="I100" s="455"/>
      <c r="J100" s="455"/>
      <c r="K100" s="455"/>
      <c r="L100" s="455"/>
      <c r="M100" s="455"/>
      <c r="N100" s="455"/>
      <c r="O100" s="455"/>
      <c r="P100" s="455"/>
      <c r="Q100" s="455"/>
      <c r="R100" s="455"/>
      <c r="S100" s="455"/>
      <c r="T100" s="455"/>
      <c r="U100" s="455"/>
      <c r="V100" s="455"/>
      <c r="W100" s="455"/>
      <c r="X100" s="455"/>
      <c r="Y100" s="455">
        <f>IF('表2-折旧摊销表'!$AF$25+1-'表2-折旧摊销表'!$Y$25&gt;='表2-折旧摊销表'!$D$21,$Y$79/$D$21,$Y$79/('表2-折旧摊销表'!$AF$25+1-'表2-折旧摊销表'!$Y$25))</f>
        <v>0</v>
      </c>
      <c r="Z100" s="455">
        <f>IF('表2-折旧摊销表'!$AF$25+1-'表2-折旧摊销表'!$Y$25&gt;='表2-折旧摊销表'!$D$21,$Y$79/$D$21,$Y$79/('表2-折旧摊销表'!$AF$25+1-'表2-折旧摊销表'!$Y$25))</f>
        <v>0</v>
      </c>
      <c r="AA100" s="455">
        <f>IF('表2-折旧摊销表'!$AF$25+1-'表2-折旧摊销表'!$Y$25&gt;='表2-折旧摊销表'!$D$21,$Y$79/$D$21,$Y$79/('表2-折旧摊销表'!$AF$25+1-'表2-折旧摊销表'!$Y$25))</f>
        <v>0</v>
      </c>
      <c r="AB100" s="455">
        <f>IF('表2-折旧摊销表'!$AF$25+1-'表2-折旧摊销表'!$Y$25&gt;='表2-折旧摊销表'!$D$21,$Y$79/$D$21,$Y$79/('表2-折旧摊销表'!$AF$25+1-'表2-折旧摊销表'!$Y$25))</f>
        <v>0</v>
      </c>
      <c r="AC100" s="455">
        <f>IF('表2-折旧摊销表'!$AF$25+1-'表2-折旧摊销表'!$Y$25&gt;='表2-折旧摊销表'!$D$21,$Y$79/$D$21,$Y$79/('表2-折旧摊销表'!$AF$25+1-'表2-折旧摊销表'!$Y$25))</f>
        <v>0</v>
      </c>
      <c r="AD100" s="455">
        <f>IF('表2-折旧摊销表'!$AF$25+1-'表2-折旧摊销表'!$Y$25&gt;='表2-折旧摊销表'!$D$21,$Y$79/$D$21,$Y$79/('表2-折旧摊销表'!$AF$25+1-'表2-折旧摊销表'!$Y$25))</f>
        <v>0</v>
      </c>
      <c r="AE100" s="455">
        <f>IF('表2-折旧摊销表'!$AF$25+1-'表2-折旧摊销表'!$Y$25&gt;='表2-折旧摊销表'!$D$21,$Y$79/$D$21,$Y$79/('表2-折旧摊销表'!$AF$25+1-'表2-折旧摊销表'!$Y$25))</f>
        <v>0</v>
      </c>
      <c r="AF100" s="455">
        <f>IF('表2-折旧摊销表'!$AF$25+1-'表2-折旧摊销表'!$Y$25&gt;='表2-折旧摊销表'!$D$21,$Y$79/$D$21,$Y$79/('表2-折旧摊销表'!$AF$25+1-'表2-折旧摊销表'!$Y$25))</f>
        <v>0</v>
      </c>
    </row>
    <row r="101" spans="2:32">
      <c r="B101" s="454"/>
      <c r="C101" s="417" t="s">
        <v>349</v>
      </c>
      <c r="D101" s="418">
        <f t="shared" si="21"/>
        <v>0</v>
      </c>
      <c r="E101" s="360" t="s">
        <v>24</v>
      </c>
      <c r="F101" s="455"/>
      <c r="G101" s="455"/>
      <c r="H101" s="455"/>
      <c r="I101" s="455"/>
      <c r="J101" s="455"/>
      <c r="K101" s="455"/>
      <c r="L101" s="455"/>
      <c r="M101" s="455"/>
      <c r="N101" s="455"/>
      <c r="O101" s="455"/>
      <c r="P101" s="455"/>
      <c r="Q101" s="455"/>
      <c r="R101" s="455"/>
      <c r="S101" s="455"/>
      <c r="T101" s="455"/>
      <c r="U101" s="455"/>
      <c r="V101" s="455"/>
      <c r="W101" s="455"/>
      <c r="X101" s="455"/>
      <c r="Y101" s="455"/>
      <c r="Z101" s="455">
        <f>IF('表2-折旧摊销表'!$AF$25+1-'表2-折旧摊销表'!$Z$25&gt;='表2-折旧摊销表'!$D$21,$Z$79/$D$21,$Z$79/('表2-折旧摊销表'!$AF$25+1-'表2-折旧摊销表'!$Z$25))</f>
        <v>0</v>
      </c>
      <c r="AA101" s="455">
        <f>IF('表2-折旧摊销表'!$AF$25+1-'表2-折旧摊销表'!$Z$25&gt;='表2-折旧摊销表'!$D$21,$Z$79/$D$21,$Z$79/('表2-折旧摊销表'!$AF$25+1-'表2-折旧摊销表'!$Z$25))</f>
        <v>0</v>
      </c>
      <c r="AB101" s="455">
        <f>IF('表2-折旧摊销表'!$AF$25+1-'表2-折旧摊销表'!$Z$25&gt;='表2-折旧摊销表'!$D$21,$Z$79/$D$21,$Z$79/('表2-折旧摊销表'!$AF$25+1-'表2-折旧摊销表'!$Z$25))</f>
        <v>0</v>
      </c>
      <c r="AC101" s="455">
        <f>IF('表2-折旧摊销表'!$AF$25+1-'表2-折旧摊销表'!$Z$25&gt;='表2-折旧摊销表'!$D$21,$Z$79/$D$21,$Z$79/('表2-折旧摊销表'!$AF$25+1-'表2-折旧摊销表'!$Z$25))</f>
        <v>0</v>
      </c>
      <c r="AD101" s="455">
        <f>IF('表2-折旧摊销表'!$AF$25+1-'表2-折旧摊销表'!$Z$25&gt;='表2-折旧摊销表'!$D$21,$Z$79/$D$21,$Z$79/('表2-折旧摊销表'!$AF$25+1-'表2-折旧摊销表'!$Z$25))</f>
        <v>0</v>
      </c>
      <c r="AE101" s="455">
        <f>IF('表2-折旧摊销表'!$AF$25+1-'表2-折旧摊销表'!$Z$25&gt;='表2-折旧摊销表'!$D$21,$Z$79/$D$21,$Z$79/('表2-折旧摊销表'!$AF$25+1-'表2-折旧摊销表'!$Z$25))</f>
        <v>0</v>
      </c>
      <c r="AF101" s="455">
        <f>IF('表2-折旧摊销表'!$AF$25+1-'表2-折旧摊销表'!$Z$25&gt;='表2-折旧摊销表'!$D$21,$Z$79/$D$21,$Z$79/('表2-折旧摊销表'!$AF$25+1-'表2-折旧摊销表'!$Z$25))</f>
        <v>0</v>
      </c>
    </row>
    <row r="102" spans="2:32">
      <c r="B102" s="454"/>
      <c r="C102" s="417" t="s">
        <v>350</v>
      </c>
      <c r="D102" s="418">
        <f t="shared" si="21"/>
        <v>0</v>
      </c>
      <c r="E102" s="360" t="s">
        <v>24</v>
      </c>
      <c r="F102" s="455"/>
      <c r="G102" s="455"/>
      <c r="H102" s="455"/>
      <c r="I102" s="455"/>
      <c r="J102" s="455"/>
      <c r="K102" s="455"/>
      <c r="L102" s="455"/>
      <c r="M102" s="455"/>
      <c r="N102" s="455"/>
      <c r="O102" s="455"/>
      <c r="P102" s="455"/>
      <c r="Q102" s="455"/>
      <c r="R102" s="455"/>
      <c r="S102" s="455"/>
      <c r="T102" s="455"/>
      <c r="U102" s="455"/>
      <c r="V102" s="455"/>
      <c r="W102" s="455"/>
      <c r="X102" s="455"/>
      <c r="Y102" s="455"/>
      <c r="Z102" s="455"/>
      <c r="AA102" s="455">
        <f>IF('表2-折旧摊销表'!$AF$25+1-'表2-折旧摊销表'!$AA$25&gt;='表2-折旧摊销表'!$D$21,$AA$79/$D$21,$AA$79/('表2-折旧摊销表'!$AF$25+1-'表2-折旧摊销表'!$AA$25))</f>
        <v>0</v>
      </c>
      <c r="AB102" s="455">
        <f>IF('表2-折旧摊销表'!$AF$25+1-'表2-折旧摊销表'!$AA$25&gt;='表2-折旧摊销表'!$D$21,$AA$79/$D$21,$AA$79/('表2-折旧摊销表'!$AF$25+1-'表2-折旧摊销表'!$AA$25))</f>
        <v>0</v>
      </c>
      <c r="AC102" s="455">
        <f>IF('表2-折旧摊销表'!$AF$25+1-'表2-折旧摊销表'!$AA$25&gt;='表2-折旧摊销表'!$D$21,$AA$79/$D$21,$AA$79/('表2-折旧摊销表'!$AF$25+1-'表2-折旧摊销表'!$AA$25))</f>
        <v>0</v>
      </c>
      <c r="AD102" s="455">
        <f>IF('表2-折旧摊销表'!$AF$25+1-'表2-折旧摊销表'!$AA$25&gt;='表2-折旧摊销表'!$D$21,$AA$79/$D$21,$AA$79/('表2-折旧摊销表'!$AF$25+1-'表2-折旧摊销表'!$AA$25))</f>
        <v>0</v>
      </c>
      <c r="AE102" s="455">
        <f>IF('表2-折旧摊销表'!$AF$25+1-'表2-折旧摊销表'!$AA$25&gt;='表2-折旧摊销表'!$D$21,$AA$79/$D$21,$AA$79/('表2-折旧摊销表'!$AF$25+1-'表2-折旧摊销表'!$AA$25))</f>
        <v>0</v>
      </c>
      <c r="AF102" s="455">
        <f>IF('表2-折旧摊销表'!$AF$25+1-'表2-折旧摊销表'!$AA$25&gt;='表2-折旧摊销表'!$D$21,$AA$79/$D$21,$AA$79/('表2-折旧摊销表'!$AF$25+1-'表2-折旧摊销表'!$AA$25))</f>
        <v>0</v>
      </c>
    </row>
    <row r="103" spans="2:32">
      <c r="B103" s="454"/>
      <c r="C103" s="417" t="s">
        <v>351</v>
      </c>
      <c r="D103" s="418">
        <f t="shared" si="21"/>
        <v>0</v>
      </c>
      <c r="E103" s="360" t="s">
        <v>24</v>
      </c>
      <c r="F103" s="455"/>
      <c r="G103" s="455"/>
      <c r="H103" s="455"/>
      <c r="I103" s="455"/>
      <c r="J103" s="455"/>
      <c r="K103" s="455"/>
      <c r="L103" s="455"/>
      <c r="M103" s="455"/>
      <c r="N103" s="455"/>
      <c r="O103" s="455"/>
      <c r="P103" s="455"/>
      <c r="Q103" s="455"/>
      <c r="R103" s="455"/>
      <c r="S103" s="455"/>
      <c r="T103" s="455"/>
      <c r="U103" s="455"/>
      <c r="V103" s="455"/>
      <c r="W103" s="455"/>
      <c r="X103" s="455"/>
      <c r="Y103" s="455"/>
      <c r="Z103" s="455"/>
      <c r="AA103" s="455"/>
      <c r="AB103" s="455">
        <f>IF('表2-折旧摊销表'!$AF$25+1-'表2-折旧摊销表'!$AB$25&gt;='表2-折旧摊销表'!$D$21,$AB$79/$D$21,$AB$79/('表2-折旧摊销表'!$AF$25+1-'表2-折旧摊销表'!$AB$25))</f>
        <v>0</v>
      </c>
      <c r="AC103" s="455">
        <f>IF('表2-折旧摊销表'!$AF$25+1-'表2-折旧摊销表'!$AB$25&gt;='表2-折旧摊销表'!$D$21,$AB$79/$D$21,$AB$79/('表2-折旧摊销表'!$AF$25+1-'表2-折旧摊销表'!$AB$25))</f>
        <v>0</v>
      </c>
      <c r="AD103" s="455">
        <f>IF('表2-折旧摊销表'!$AF$25+1-'表2-折旧摊销表'!$AB$25&gt;='表2-折旧摊销表'!$D$21,$AB$79/$D$21,$AB$79/('表2-折旧摊销表'!$AF$25+1-'表2-折旧摊销表'!$AB$25))</f>
        <v>0</v>
      </c>
      <c r="AE103" s="455">
        <f>IF('表2-折旧摊销表'!$AF$25+1-'表2-折旧摊销表'!$AB$25&gt;='表2-折旧摊销表'!$D$21,$AB$79/$D$21,$AB$79/('表2-折旧摊销表'!$AF$25+1-'表2-折旧摊销表'!$AB$25))</f>
        <v>0</v>
      </c>
      <c r="AF103" s="455">
        <f>IF('表2-折旧摊销表'!$AF$25+1-'表2-折旧摊销表'!$AB$25&gt;='表2-折旧摊销表'!$D$21,$AB$79/$D$21,$AB$79/('表2-折旧摊销表'!$AF$25+1-'表2-折旧摊销表'!$AB$25))</f>
        <v>0</v>
      </c>
    </row>
    <row r="104" spans="2:32">
      <c r="B104" s="454"/>
      <c r="C104" s="417" t="s">
        <v>352</v>
      </c>
      <c r="D104" s="418">
        <f t="shared" si="21"/>
        <v>0</v>
      </c>
      <c r="E104" s="360" t="s">
        <v>24</v>
      </c>
      <c r="F104" s="455"/>
      <c r="G104" s="455"/>
      <c r="H104" s="455"/>
      <c r="I104" s="455"/>
      <c r="J104" s="455"/>
      <c r="K104" s="455"/>
      <c r="L104" s="455"/>
      <c r="M104" s="455"/>
      <c r="N104" s="455"/>
      <c r="O104" s="455"/>
      <c r="P104" s="455"/>
      <c r="Q104" s="455"/>
      <c r="R104" s="455"/>
      <c r="S104" s="455"/>
      <c r="T104" s="455"/>
      <c r="U104" s="455"/>
      <c r="V104" s="455"/>
      <c r="W104" s="455"/>
      <c r="X104" s="455"/>
      <c r="Y104" s="455"/>
      <c r="Z104" s="455"/>
      <c r="AA104" s="455"/>
      <c r="AB104" s="455"/>
      <c r="AC104" s="455">
        <f>IF('表2-折旧摊销表'!$AF$25+1-'表2-折旧摊销表'!$AC$25&gt;='表2-折旧摊销表'!$D$21,$AC$79/$D$21,$AC$79/('表2-折旧摊销表'!$AF$25+1-'表2-折旧摊销表'!$AC$25))</f>
        <v>0</v>
      </c>
      <c r="AD104" s="455">
        <f>IF('表2-折旧摊销表'!$AF$25+1-'表2-折旧摊销表'!$AC$25&gt;='表2-折旧摊销表'!$D$21,$AC$79/$D$21,$AC$79/('表2-折旧摊销表'!$AF$25+1-'表2-折旧摊销表'!$AC$25))</f>
        <v>0</v>
      </c>
      <c r="AE104" s="455">
        <f>IF('表2-折旧摊销表'!$AF$25+1-'表2-折旧摊销表'!$AC$25&gt;='表2-折旧摊销表'!$D$21,$AC$79/$D$21,$AC$79/('表2-折旧摊销表'!$AF$25+1-'表2-折旧摊销表'!$AC$25))</f>
        <v>0</v>
      </c>
      <c r="AF104" s="455">
        <f>IF('表2-折旧摊销表'!$AF$25+1-'表2-折旧摊销表'!$AC$25&gt;='表2-折旧摊销表'!$D$21,$AC$79/$D$21,$AC$79/('表2-折旧摊销表'!$AF$25+1-'表2-折旧摊销表'!$AC$25))</f>
        <v>0</v>
      </c>
    </row>
    <row r="105" spans="2:32">
      <c r="B105" s="454"/>
      <c r="C105" s="417" t="s">
        <v>353</v>
      </c>
      <c r="D105" s="418">
        <f t="shared" si="21"/>
        <v>0</v>
      </c>
      <c r="E105" s="360" t="s">
        <v>24</v>
      </c>
      <c r="F105" s="455"/>
      <c r="G105" s="455"/>
      <c r="H105" s="455"/>
      <c r="I105" s="455"/>
      <c r="J105" s="455"/>
      <c r="K105" s="455"/>
      <c r="L105" s="455"/>
      <c r="M105" s="455"/>
      <c r="N105" s="455"/>
      <c r="O105" s="455"/>
      <c r="P105" s="455"/>
      <c r="Q105" s="455"/>
      <c r="R105" s="455"/>
      <c r="S105" s="455"/>
      <c r="T105" s="455"/>
      <c r="U105" s="455"/>
      <c r="V105" s="455"/>
      <c r="W105" s="455"/>
      <c r="X105" s="455"/>
      <c r="Y105" s="455"/>
      <c r="Z105" s="455"/>
      <c r="AA105" s="455"/>
      <c r="AB105" s="455"/>
      <c r="AC105" s="455"/>
      <c r="AD105" s="455">
        <f>IF('表2-折旧摊销表'!$AF$25+1-'表2-折旧摊销表'!$AD$25&gt;='表2-折旧摊销表'!$D$21,$AD$79/$D$21,$AD$79/('表2-折旧摊销表'!$AF$25+1-'表2-折旧摊销表'!$AD$25))</f>
        <v>0</v>
      </c>
      <c r="AE105" s="455">
        <f>IF('表2-折旧摊销表'!$AF$25+1-'表2-折旧摊销表'!$AD$25&gt;='表2-折旧摊销表'!$D$21,$AD$79/$D$21,$AD$79/('表2-折旧摊销表'!$AF$25+1-'表2-折旧摊销表'!$AD$25))</f>
        <v>0</v>
      </c>
      <c r="AF105" s="455">
        <f>IF('表2-折旧摊销表'!$AF$25+1-'表2-折旧摊销表'!$AD$25&gt;='表2-折旧摊销表'!$D$21,$AD$79/$D$21,$AD$79/('表2-折旧摊销表'!$AF$25+1-'表2-折旧摊销表'!$AD$25))</f>
        <v>0</v>
      </c>
    </row>
    <row r="106" spans="2:32">
      <c r="B106" s="454"/>
      <c r="C106" s="417" t="s">
        <v>354</v>
      </c>
      <c r="D106" s="418">
        <f t="shared" si="21"/>
        <v>0</v>
      </c>
      <c r="E106" s="360" t="s">
        <v>24</v>
      </c>
      <c r="F106" s="455"/>
      <c r="G106" s="455"/>
      <c r="H106" s="455"/>
      <c r="I106" s="455"/>
      <c r="J106" s="455"/>
      <c r="K106" s="455"/>
      <c r="L106" s="455"/>
      <c r="M106" s="455"/>
      <c r="N106" s="455"/>
      <c r="O106" s="455"/>
      <c r="P106" s="455"/>
      <c r="Q106" s="455"/>
      <c r="R106" s="455"/>
      <c r="S106" s="455"/>
      <c r="T106" s="455"/>
      <c r="U106" s="455"/>
      <c r="V106" s="455"/>
      <c r="W106" s="455"/>
      <c r="X106" s="455"/>
      <c r="Y106" s="455"/>
      <c r="Z106" s="455"/>
      <c r="AA106" s="455"/>
      <c r="AB106" s="455"/>
      <c r="AC106" s="455"/>
      <c r="AD106" s="455"/>
      <c r="AE106" s="455">
        <f>IF('表2-折旧摊销表'!$AF$25+1-'表2-折旧摊销表'!$AE$25&gt;='表2-折旧摊销表'!$D$21,$AE$79/$D$21,$AE$79/('表2-折旧摊销表'!$AF$25+1-'表2-折旧摊销表'!$AE$25))</f>
        <v>0</v>
      </c>
      <c r="AF106" s="455">
        <f>IF('表2-折旧摊销表'!$AF$25+1-'表2-折旧摊销表'!$AE$25&gt;='表2-折旧摊销表'!$D$21,$AE$79/$D$21,$AE$79/('表2-折旧摊销表'!$AF$25+1-'表2-折旧摊销表'!$AE$25))</f>
        <v>0</v>
      </c>
    </row>
    <row r="107" spans="2:32">
      <c r="B107" s="454"/>
      <c r="C107" s="417" t="s">
        <v>355</v>
      </c>
      <c r="D107" s="418">
        <f t="shared" si="21"/>
        <v>0</v>
      </c>
      <c r="E107" s="360" t="s">
        <v>24</v>
      </c>
      <c r="F107" s="455"/>
      <c r="G107" s="455"/>
      <c r="H107" s="455"/>
      <c r="I107" s="455"/>
      <c r="J107" s="455"/>
      <c r="K107" s="455"/>
      <c r="L107" s="455"/>
      <c r="M107" s="455"/>
      <c r="N107" s="455"/>
      <c r="O107" s="455"/>
      <c r="P107" s="455"/>
      <c r="Q107" s="455"/>
      <c r="R107" s="455"/>
      <c r="S107" s="455"/>
      <c r="T107" s="455"/>
      <c r="U107" s="455"/>
      <c r="V107" s="455"/>
      <c r="W107" s="455"/>
      <c r="X107" s="455"/>
      <c r="Y107" s="455"/>
      <c r="Z107" s="455"/>
      <c r="AA107" s="455"/>
      <c r="AB107" s="455"/>
      <c r="AC107" s="455"/>
      <c r="AD107" s="455"/>
      <c r="AE107" s="455"/>
      <c r="AF107" s="455">
        <f>IF('表2-折旧摊销表'!$AF$25+1-'表2-折旧摊销表'!$AF$25&gt;='表2-折旧摊销表'!$D$21,$AF$79/$D$21,$AF$79/('表2-折旧摊销表'!$AF$25+1-'表2-折旧摊销表'!$AF$25))</f>
        <v>0</v>
      </c>
    </row>
    <row r="108" customFormat="1" spans="2:32">
      <c r="B108" s="454"/>
      <c r="C108" s="259" t="s">
        <v>578</v>
      </c>
      <c r="D108" s="456">
        <f t="shared" si="21"/>
        <v>0</v>
      </c>
      <c r="E108" s="337" t="s">
        <v>24</v>
      </c>
      <c r="F108" s="436">
        <f>F80</f>
        <v>0</v>
      </c>
      <c r="G108" s="436">
        <f>F108+G80</f>
        <v>0</v>
      </c>
      <c r="H108" s="436">
        <f t="shared" ref="H108:AF108" si="22">G108+H80</f>
        <v>0</v>
      </c>
      <c r="I108" s="436">
        <f t="shared" si="22"/>
        <v>0</v>
      </c>
      <c r="J108" s="436">
        <f t="shared" si="22"/>
        <v>0</v>
      </c>
      <c r="K108" s="436">
        <f t="shared" si="22"/>
        <v>0</v>
      </c>
      <c r="L108" s="436">
        <f t="shared" si="22"/>
        <v>0</v>
      </c>
      <c r="M108" s="436">
        <f t="shared" si="22"/>
        <v>0</v>
      </c>
      <c r="N108" s="436">
        <f t="shared" si="22"/>
        <v>0</v>
      </c>
      <c r="O108" s="436">
        <f t="shared" si="22"/>
        <v>0</v>
      </c>
      <c r="P108" s="436">
        <f t="shared" si="22"/>
        <v>0</v>
      </c>
      <c r="Q108" s="436">
        <f t="shared" si="22"/>
        <v>0</v>
      </c>
      <c r="R108" s="436">
        <f t="shared" si="22"/>
        <v>0</v>
      </c>
      <c r="S108" s="436">
        <f t="shared" si="22"/>
        <v>0</v>
      </c>
      <c r="T108" s="436">
        <f t="shared" si="22"/>
        <v>0</v>
      </c>
      <c r="U108" s="436">
        <f t="shared" si="22"/>
        <v>0</v>
      </c>
      <c r="V108" s="436">
        <f t="shared" si="22"/>
        <v>0</v>
      </c>
      <c r="W108" s="436">
        <f t="shared" si="22"/>
        <v>0</v>
      </c>
      <c r="X108" s="436">
        <f t="shared" si="22"/>
        <v>0</v>
      </c>
      <c r="Y108" s="436">
        <f t="shared" si="22"/>
        <v>0</v>
      </c>
      <c r="Z108" s="436">
        <f t="shared" si="22"/>
        <v>0</v>
      </c>
      <c r="AA108" s="436">
        <f t="shared" si="22"/>
        <v>0</v>
      </c>
      <c r="AB108" s="436">
        <f t="shared" si="22"/>
        <v>0</v>
      </c>
      <c r="AC108" s="436">
        <f t="shared" si="22"/>
        <v>0</v>
      </c>
      <c r="AD108" s="436">
        <f t="shared" si="22"/>
        <v>0</v>
      </c>
      <c r="AE108" s="436">
        <f t="shared" si="22"/>
        <v>0</v>
      </c>
      <c r="AF108" s="436">
        <f t="shared" si="22"/>
        <v>0</v>
      </c>
    </row>
    <row r="109" ht="17.25" spans="2:32">
      <c r="B109" s="457"/>
      <c r="C109" s="423" t="s">
        <v>579</v>
      </c>
      <c r="D109" s="426"/>
      <c r="E109" s="425" t="s">
        <v>24</v>
      </c>
      <c r="F109" s="426">
        <f t="shared" ref="F109:AF109" si="23">F78+F79-F80</f>
        <v>0</v>
      </c>
      <c r="G109" s="426">
        <f t="shared" si="23"/>
        <v>0</v>
      </c>
      <c r="H109" s="426">
        <f t="shared" si="23"/>
        <v>0</v>
      </c>
      <c r="I109" s="426">
        <f t="shared" si="23"/>
        <v>0</v>
      </c>
      <c r="J109" s="426">
        <f t="shared" si="23"/>
        <v>0</v>
      </c>
      <c r="K109" s="426">
        <f t="shared" si="23"/>
        <v>0</v>
      </c>
      <c r="L109" s="426">
        <f t="shared" si="23"/>
        <v>0</v>
      </c>
      <c r="M109" s="426">
        <f t="shared" si="23"/>
        <v>0</v>
      </c>
      <c r="N109" s="426">
        <f t="shared" si="23"/>
        <v>0</v>
      </c>
      <c r="O109" s="426">
        <f t="shared" si="23"/>
        <v>0</v>
      </c>
      <c r="P109" s="426">
        <f t="shared" si="23"/>
        <v>0</v>
      </c>
      <c r="Q109" s="426">
        <f t="shared" si="23"/>
        <v>0</v>
      </c>
      <c r="R109" s="426">
        <f t="shared" si="23"/>
        <v>0</v>
      </c>
      <c r="S109" s="426">
        <f t="shared" si="23"/>
        <v>0</v>
      </c>
      <c r="T109" s="426">
        <f t="shared" si="23"/>
        <v>0</v>
      </c>
      <c r="U109" s="426">
        <f t="shared" si="23"/>
        <v>0</v>
      </c>
      <c r="V109" s="426">
        <f t="shared" si="23"/>
        <v>0</v>
      </c>
      <c r="W109" s="426">
        <f t="shared" si="23"/>
        <v>0</v>
      </c>
      <c r="X109" s="426">
        <f t="shared" si="23"/>
        <v>0</v>
      </c>
      <c r="Y109" s="426">
        <f t="shared" si="23"/>
        <v>0</v>
      </c>
      <c r="Z109" s="426">
        <f t="shared" si="23"/>
        <v>0</v>
      </c>
      <c r="AA109" s="426">
        <f t="shared" si="23"/>
        <v>0</v>
      </c>
      <c r="AB109" s="426">
        <f t="shared" si="23"/>
        <v>0</v>
      </c>
      <c r="AC109" s="426">
        <f t="shared" si="23"/>
        <v>0</v>
      </c>
      <c r="AD109" s="426">
        <f t="shared" si="23"/>
        <v>0</v>
      </c>
      <c r="AE109" s="426">
        <f t="shared" si="23"/>
        <v>0</v>
      </c>
      <c r="AF109" s="426">
        <f t="shared" si="23"/>
        <v>0</v>
      </c>
    </row>
    <row r="110" ht="17.25" spans="2:32">
      <c r="B110" s="458">
        <v>5</v>
      </c>
      <c r="C110" s="459" t="s">
        <v>580</v>
      </c>
      <c r="D110" s="460">
        <f ca="1">SUM(F110:AF110)</f>
        <v>127189.284054825</v>
      </c>
      <c r="E110" s="461" t="s">
        <v>24</v>
      </c>
      <c r="F110" s="462">
        <f t="shared" ref="F110:AF110" si="24">F31+F39+F72+F80</f>
        <v>0</v>
      </c>
      <c r="G110" s="462">
        <f t="shared" si="24"/>
        <v>0</v>
      </c>
      <c r="H110" s="462">
        <f t="shared" si="24"/>
        <v>0</v>
      </c>
      <c r="I110" s="462">
        <f t="shared" si="24"/>
        <v>0</v>
      </c>
      <c r="J110" s="462">
        <f ca="1" t="shared" si="24"/>
        <v>1044.6201805792</v>
      </c>
      <c r="K110" s="462">
        <f ca="1" t="shared" si="24"/>
        <v>6267.72108347521</v>
      </c>
      <c r="L110" s="462">
        <f ca="1" t="shared" si="24"/>
        <v>6964.13453719467</v>
      </c>
      <c r="M110" s="462">
        <f ca="1" t="shared" si="24"/>
        <v>7055.87765646073</v>
      </c>
      <c r="N110" s="462">
        <f ca="1" t="shared" si="24"/>
        <v>7055.87765646073</v>
      </c>
      <c r="O110" s="462">
        <f ca="1" t="shared" si="24"/>
        <v>7055.87765646073</v>
      </c>
      <c r="P110" s="462">
        <f ca="1" t="shared" si="24"/>
        <v>7055.87765646073</v>
      </c>
      <c r="Q110" s="462">
        <f ca="1" t="shared" si="24"/>
        <v>7055.87765646073</v>
      </c>
      <c r="R110" s="462">
        <f ca="1" t="shared" si="24"/>
        <v>7055.87765646073</v>
      </c>
      <c r="S110" s="462">
        <f ca="1" t="shared" si="24"/>
        <v>7055.87765646073</v>
      </c>
      <c r="T110" s="462">
        <f ca="1" t="shared" si="24"/>
        <v>7055.87765646073</v>
      </c>
      <c r="U110" s="462">
        <f ca="1" t="shared" si="24"/>
        <v>7055.87765646073</v>
      </c>
      <c r="V110" s="462">
        <f ca="1" t="shared" si="24"/>
        <v>7055.87765646073</v>
      </c>
      <c r="W110" s="462">
        <f ca="1" t="shared" si="24"/>
        <v>7055.87765646073</v>
      </c>
      <c r="X110" s="462">
        <f ca="1" t="shared" si="24"/>
        <v>7055.87765646073</v>
      </c>
      <c r="Y110" s="462">
        <f ca="1" t="shared" si="24"/>
        <v>7055.87765646073</v>
      </c>
      <c r="Z110" s="462">
        <f ca="1" t="shared" si="24"/>
        <v>7055.87765646073</v>
      </c>
      <c r="AA110" s="462">
        <f ca="1" t="shared" si="24"/>
        <v>7055.87765646073</v>
      </c>
      <c r="AB110" s="462">
        <f ca="1" t="shared" si="24"/>
        <v>6011.25747588153</v>
      </c>
      <c r="AC110" s="462">
        <f ca="1" t="shared" si="24"/>
        <v>788.156572985522</v>
      </c>
      <c r="AD110" s="462">
        <f t="shared" si="24"/>
        <v>91.743119266055</v>
      </c>
      <c r="AE110" s="462">
        <f t="shared" si="24"/>
        <v>91.743119266055</v>
      </c>
      <c r="AF110" s="462">
        <f t="shared" si="24"/>
        <v>91.743119266055</v>
      </c>
    </row>
    <row r="111" ht="17.25" spans="2:32">
      <c r="B111" s="458">
        <v>6</v>
      </c>
      <c r="C111" s="463" t="s">
        <v>581</v>
      </c>
      <c r="D111" s="460"/>
      <c r="E111" s="461" t="s">
        <v>24</v>
      </c>
      <c r="F111" s="462">
        <f>F36+F67+F77+F109</f>
        <v>0</v>
      </c>
      <c r="G111" s="462">
        <f t="shared" ref="G111:AF111" si="25">G36+G67+G77+G109</f>
        <v>0</v>
      </c>
      <c r="H111" s="462">
        <f t="shared" si="25"/>
        <v>0</v>
      </c>
      <c r="I111" s="462">
        <f t="shared" si="25"/>
        <v>0</v>
      </c>
      <c r="J111" s="462">
        <f ca="1" t="shared" si="25"/>
        <v>17758.5430698464</v>
      </c>
      <c r="K111" s="462">
        <f ca="1" t="shared" si="25"/>
        <v>117862.08040545</v>
      </c>
      <c r="L111" s="462">
        <f ca="1" t="shared" si="25"/>
        <v>111077.945868255</v>
      </c>
      <c r="M111" s="462">
        <f ca="1" t="shared" si="25"/>
        <v>104480.783808125</v>
      </c>
      <c r="N111" s="462">
        <f ca="1" t="shared" si="25"/>
        <v>97424.9061516639</v>
      </c>
      <c r="O111" s="462">
        <f ca="1" t="shared" si="25"/>
        <v>90369.0284952031</v>
      </c>
      <c r="P111" s="462">
        <f ca="1" t="shared" si="25"/>
        <v>83313.1508387424</v>
      </c>
      <c r="Q111" s="462">
        <f ca="1" t="shared" si="25"/>
        <v>76257.2731822817</v>
      </c>
      <c r="R111" s="462">
        <f ca="1" t="shared" si="25"/>
        <v>69660.1111221512</v>
      </c>
      <c r="S111" s="462">
        <f ca="1" t="shared" si="25"/>
        <v>62604.2334656905</v>
      </c>
      <c r="T111" s="462">
        <f ca="1" t="shared" si="25"/>
        <v>55548.3558092298</v>
      </c>
      <c r="U111" s="462">
        <f ca="1" t="shared" si="25"/>
        <v>48492.478152769</v>
      </c>
      <c r="V111" s="462">
        <f ca="1" t="shared" si="25"/>
        <v>41436.6004963083</v>
      </c>
      <c r="W111" s="462">
        <f ca="1" t="shared" si="25"/>
        <v>34839.4384361779</v>
      </c>
      <c r="X111" s="462">
        <f ca="1" t="shared" si="25"/>
        <v>27783.5607797171</v>
      </c>
      <c r="Y111" s="462">
        <f ca="1" t="shared" si="25"/>
        <v>20727.6831232564</v>
      </c>
      <c r="Z111" s="462">
        <f ca="1" t="shared" si="25"/>
        <v>13671.8054667956</v>
      </c>
      <c r="AA111" s="462">
        <f ca="1" t="shared" si="25"/>
        <v>6615.92781033491</v>
      </c>
      <c r="AB111" s="462">
        <f ca="1" t="shared" si="25"/>
        <v>1063.38593078365</v>
      </c>
      <c r="AC111" s="462">
        <f ca="1" t="shared" si="25"/>
        <v>275.229357798165</v>
      </c>
      <c r="AD111" s="462">
        <f ca="1" t="shared" si="25"/>
        <v>183.48623853211</v>
      </c>
      <c r="AE111" s="462">
        <f ca="1" t="shared" si="25"/>
        <v>91.7431192660551</v>
      </c>
      <c r="AF111" s="462">
        <f ca="1" t="shared" si="25"/>
        <v>0</v>
      </c>
    </row>
    <row r="112" spans="2:32">
      <c r="B112" s="464"/>
      <c r="C112" s="375"/>
      <c r="D112" s="465"/>
      <c r="F112" s="466"/>
      <c r="G112" s="466"/>
      <c r="H112" s="466"/>
      <c r="I112" s="466"/>
      <c r="J112" s="466"/>
      <c r="K112" s="466"/>
      <c r="L112" s="466"/>
      <c r="M112" s="466"/>
      <c r="N112" s="466"/>
      <c r="O112" s="466"/>
      <c r="P112" s="466"/>
      <c r="Q112" s="466"/>
      <c r="R112" s="466"/>
      <c r="S112" s="466"/>
      <c r="T112" s="466"/>
      <c r="U112" s="466"/>
      <c r="V112" s="466"/>
      <c r="W112" s="466"/>
      <c r="X112" s="466"/>
      <c r="Y112" s="466"/>
      <c r="Z112" s="466"/>
      <c r="AA112" s="466"/>
      <c r="AB112" s="466"/>
      <c r="AC112" s="466"/>
      <c r="AD112" s="466"/>
      <c r="AE112" s="466"/>
      <c r="AF112" s="466"/>
    </row>
    <row r="113" ht="17.25" spans="2:5">
      <c r="B113" s="397" t="s">
        <v>582</v>
      </c>
      <c r="C113" s="398"/>
      <c r="D113" s="399"/>
      <c r="E113" s="379"/>
    </row>
    <row r="114" ht="19.8" customHeight="1" spans="2:32">
      <c r="B114" s="467" t="s">
        <v>15</v>
      </c>
      <c r="C114" s="468" t="s">
        <v>16</v>
      </c>
      <c r="D114" s="468" t="s">
        <v>17</v>
      </c>
      <c r="E114" s="401" t="s">
        <v>18</v>
      </c>
      <c r="F114" s="10" t="s">
        <v>464</v>
      </c>
      <c r="G114" s="10" t="s">
        <v>465</v>
      </c>
      <c r="H114" s="10" t="s">
        <v>466</v>
      </c>
      <c r="I114" s="37">
        <v>45107</v>
      </c>
      <c r="J114" s="37">
        <v>45261</v>
      </c>
      <c r="K114" s="10" t="s">
        <v>20</v>
      </c>
      <c r="L114" s="10" t="s">
        <v>467</v>
      </c>
      <c r="M114" s="10" t="s">
        <v>468</v>
      </c>
      <c r="N114" s="10" t="s">
        <v>469</v>
      </c>
      <c r="O114" s="10" t="s">
        <v>470</v>
      </c>
      <c r="P114" s="10" t="s">
        <v>471</v>
      </c>
      <c r="Q114" s="10" t="s">
        <v>472</v>
      </c>
      <c r="R114" s="10" t="s">
        <v>473</v>
      </c>
      <c r="S114" s="10" t="s">
        <v>474</v>
      </c>
      <c r="T114" s="10" t="s">
        <v>475</v>
      </c>
      <c r="U114" s="10" t="s">
        <v>476</v>
      </c>
      <c r="V114" s="10" t="s">
        <v>477</v>
      </c>
      <c r="W114" s="10" t="s">
        <v>478</v>
      </c>
      <c r="X114" s="10" t="s">
        <v>479</v>
      </c>
      <c r="Y114" s="10" t="s">
        <v>480</v>
      </c>
      <c r="Z114" s="10" t="s">
        <v>481</v>
      </c>
      <c r="AA114" s="10" t="s">
        <v>482</v>
      </c>
      <c r="AB114" s="10" t="s">
        <v>483</v>
      </c>
      <c r="AC114" s="10" t="s">
        <v>484</v>
      </c>
      <c r="AD114" s="10" t="s">
        <v>485</v>
      </c>
      <c r="AE114" s="10" t="s">
        <v>486</v>
      </c>
      <c r="AF114" s="37">
        <v>53051</v>
      </c>
    </row>
    <row r="115" ht="19.8" customHeight="1" spans="2:32">
      <c r="B115" s="469"/>
      <c r="C115" s="470"/>
      <c r="D115" s="470"/>
      <c r="E115" s="471"/>
      <c r="F115" s="472">
        <v>1</v>
      </c>
      <c r="G115" s="472">
        <v>2</v>
      </c>
      <c r="H115" s="472">
        <v>3</v>
      </c>
      <c r="I115" s="472">
        <v>4</v>
      </c>
      <c r="J115" s="497">
        <v>5</v>
      </c>
      <c r="K115" s="497">
        <v>6</v>
      </c>
      <c r="L115" s="497">
        <v>7</v>
      </c>
      <c r="M115" s="497">
        <v>8</v>
      </c>
      <c r="N115" s="497">
        <v>9</v>
      </c>
      <c r="O115" s="497">
        <v>10</v>
      </c>
      <c r="P115" s="497">
        <v>11</v>
      </c>
      <c r="Q115" s="497">
        <v>12</v>
      </c>
      <c r="R115" s="497">
        <v>13</v>
      </c>
      <c r="S115" s="497">
        <v>14</v>
      </c>
      <c r="T115" s="497">
        <v>15</v>
      </c>
      <c r="U115" s="497">
        <v>16</v>
      </c>
      <c r="V115" s="497">
        <v>17</v>
      </c>
      <c r="W115" s="497">
        <v>18</v>
      </c>
      <c r="X115" s="497">
        <v>19</v>
      </c>
      <c r="Y115" s="497">
        <v>20</v>
      </c>
      <c r="Z115" s="497">
        <v>21</v>
      </c>
      <c r="AA115" s="497">
        <v>22</v>
      </c>
      <c r="AB115" s="497">
        <v>23</v>
      </c>
      <c r="AC115" s="497">
        <v>24</v>
      </c>
      <c r="AD115" s="497">
        <v>25</v>
      </c>
      <c r="AE115" s="497">
        <v>26</v>
      </c>
      <c r="AF115" s="497">
        <v>27</v>
      </c>
    </row>
    <row r="116" ht="17.25" spans="2:32">
      <c r="B116" s="473">
        <v>1</v>
      </c>
      <c r="C116" s="474" t="s">
        <v>316</v>
      </c>
      <c r="D116" s="475"/>
      <c r="E116" s="476" t="s">
        <v>78</v>
      </c>
      <c r="F116" s="477">
        <f>'表10-资产负债表(标准格式)'!E43</f>
        <v>0</v>
      </c>
      <c r="G116" s="477">
        <f>'表10-资产负债表(标准格式)'!F43</f>
        <v>0</v>
      </c>
      <c r="H116" s="477">
        <f>'表10-资产负债表(标准格式)'!G43</f>
        <v>36000</v>
      </c>
      <c r="I116" s="477">
        <f>'表10-资产负债表(标准格式)'!H43</f>
        <v>36255.19572</v>
      </c>
      <c r="J116" s="477">
        <f>'表10-资产负债表(标准格式)'!$H$43</f>
        <v>36255.19572</v>
      </c>
      <c r="K116" s="477">
        <f>'表10-资产负债表(标准格式)'!$H$43</f>
        <v>36255.19572</v>
      </c>
      <c r="L116" s="477">
        <f>'表10-资产负债表(标准格式)'!$H$43</f>
        <v>36255.19572</v>
      </c>
      <c r="M116" s="477">
        <f>'表10-资产负债表(标准格式)'!$H$43</f>
        <v>36255.19572</v>
      </c>
      <c r="N116" s="477">
        <f>'表10-资产负债表(标准格式)'!$H$43</f>
        <v>36255.19572</v>
      </c>
      <c r="O116" s="477">
        <f>'表10-资产负债表(标准格式)'!$H$43</f>
        <v>36255.19572</v>
      </c>
      <c r="P116" s="477">
        <f>'表10-资产负债表(标准格式)'!$H$43</f>
        <v>36255.19572</v>
      </c>
      <c r="Q116" s="477">
        <f>'表10-资产负债表(标准格式)'!$H$43</f>
        <v>36255.19572</v>
      </c>
      <c r="R116" s="477">
        <f>'表10-资产负债表(标准格式)'!$H$43</f>
        <v>36255.19572</v>
      </c>
      <c r="S116" s="477">
        <f>'表10-资产负债表(标准格式)'!$H$43</f>
        <v>36255.19572</v>
      </c>
      <c r="T116" s="477">
        <f>'表10-资产负债表(标准格式)'!$H$43</f>
        <v>36255.19572</v>
      </c>
      <c r="U116" s="477">
        <f>'表10-资产负债表(标准格式)'!$H$43</f>
        <v>36255.19572</v>
      </c>
      <c r="V116" s="477">
        <f>'表10-资产负债表(标准格式)'!$H$43</f>
        <v>36255.19572</v>
      </c>
      <c r="W116" s="477">
        <f>'表10-资产负债表(标准格式)'!$H$43</f>
        <v>36255.19572</v>
      </c>
      <c r="X116" s="477">
        <f>'表10-资产负债表(标准格式)'!$H$43</f>
        <v>36255.19572</v>
      </c>
      <c r="Y116" s="477">
        <f>'表10-资产负债表(标准格式)'!$H$43</f>
        <v>36255.19572</v>
      </c>
      <c r="Z116" s="477">
        <f>'表10-资产负债表(标准格式)'!$H$43</f>
        <v>36255.19572</v>
      </c>
      <c r="AA116" s="477">
        <f>'表10-资产负债表(标准格式)'!$H$43</f>
        <v>36255.19572</v>
      </c>
      <c r="AB116" s="477">
        <f>'表10-资产负债表(标准格式)'!$H$43</f>
        <v>36255.19572</v>
      </c>
      <c r="AC116" s="477">
        <f>'表10-资产负债表(标准格式)'!$H$43</f>
        <v>36255.19572</v>
      </c>
      <c r="AD116" s="477">
        <f>'表10-资产负债表(标准格式)'!$H$43</f>
        <v>36255.19572</v>
      </c>
      <c r="AE116" s="477">
        <f>'表10-资产负债表(标准格式)'!$H$43</f>
        <v>36255.19572</v>
      </c>
      <c r="AF116" s="505">
        <f>'表10-资产负债表(标准格式)'!$H$43</f>
        <v>36255.19572</v>
      </c>
    </row>
    <row r="117" ht="17.25" spans="2:32">
      <c r="B117" s="404"/>
      <c r="C117" s="414" t="s">
        <v>583</v>
      </c>
      <c r="D117" s="460">
        <f>SUM(F117:AF117)</f>
        <v>30255.19572</v>
      </c>
      <c r="E117" s="410"/>
      <c r="F117" s="478"/>
      <c r="G117" s="478"/>
      <c r="H117" s="478"/>
      <c r="I117" s="498">
        <f>I118-H118</f>
        <v>887.292227</v>
      </c>
      <c r="J117" s="499">
        <f>IF(I119-(参数输入表!$I$448-参数输入表!$I$447*参数输入表!$I$450)/参数输入表!$I$449*(12-MONTH(参数输入表!$I$8))/12-参数输入表!$I$447*参数输入表!$I$450&gt;0,(参数输入表!$I$448-参数输入表!$I$447*参数输入表!$I$450)/参数输入表!$I$449*(12-MONTH(参数输入表!$I$8))/12,IF(I119-参数输入表!$I$447*参数输入表!$I$450&gt;0,I119-参数输入表!$I$447*参数输入表!$I$450,0))</f>
        <v>1048.85369617857</v>
      </c>
      <c r="K117" s="500">
        <f>IF(J119-(参数输入表!$I$448-参数输入表!$I$447*参数输入表!$I$450)/参数输入表!$I$449-参数输入表!$I$447*参数输入表!$I$450&gt;0,(参数输入表!$I$448-参数输入表!$I$447*参数输入表!$I$450)/参数输入表!$I$449,IF(J119-参数输入表!$I$447*参数输入表!$I$450&gt;0,J119-参数输入表!$I$447*参数输入表!$I$450,0))</f>
        <v>2097.70739235714</v>
      </c>
      <c r="L117" s="500">
        <f>IF(K119-(参数输入表!$I$448-参数输入表!$I$447*参数输入表!$I$450)/参数输入表!$I$449-参数输入表!$I$447*参数输入表!$I$450&gt;0,(参数输入表!$I$448-参数输入表!$I$447*参数输入表!$I$450)/参数输入表!$I$449,IF(K119-参数输入表!$I$447*参数输入表!$I$450&gt;0,K119-参数输入表!$I$447*参数输入表!$I$450,0))</f>
        <v>2097.70739235714</v>
      </c>
      <c r="M117" s="500">
        <f>IF(L119-(参数输入表!$I$448-参数输入表!$I$447*参数输入表!$I$450)/参数输入表!$I$449-参数输入表!$I$447*参数输入表!$I$450&gt;0,(参数输入表!$I$448-参数输入表!$I$447*参数输入表!$I$450)/参数输入表!$I$449,IF(L119-参数输入表!$I$447*参数输入表!$I$450&gt;0,L119-参数输入表!$I$447*参数输入表!$I$450,0))</f>
        <v>2097.70739235714</v>
      </c>
      <c r="N117" s="500">
        <f>IF(M119-(参数输入表!$I$448-参数输入表!$I$447*参数输入表!$I$450)/参数输入表!$I$449-参数输入表!$I$447*参数输入表!$I$450&gt;0,(参数输入表!$I$448-参数输入表!$I$447*参数输入表!$I$450)/参数输入表!$I$449,IF(M119-参数输入表!$I$447*参数输入表!$I$450&gt;0,M119-参数输入表!$I$447*参数输入表!$I$450,0))</f>
        <v>2097.70739235714</v>
      </c>
      <c r="O117" s="500">
        <f>IF(N119-(参数输入表!$I$448-参数输入表!$I$447*参数输入表!$I$450)/参数输入表!$I$449-参数输入表!$I$447*参数输入表!$I$450&gt;0,(参数输入表!$I$448-参数输入表!$I$447*参数输入表!$I$450)/参数输入表!$I$449,IF(N119-参数输入表!$I$447*参数输入表!$I$450&gt;0,N119-参数输入表!$I$447*参数输入表!$I$450,0))</f>
        <v>2097.70739235714</v>
      </c>
      <c r="P117" s="500">
        <f>IF(O119-(参数输入表!$I$448-参数输入表!$I$447*参数输入表!$I$450)/参数输入表!$I$449-参数输入表!$I$447*参数输入表!$I$450&gt;0,(参数输入表!$I$448-参数输入表!$I$447*参数输入表!$I$450)/参数输入表!$I$449,IF(O119-参数输入表!$I$447*参数输入表!$I$450&gt;0,O119-参数输入表!$I$447*参数输入表!$I$450,0))</f>
        <v>2097.70739235714</v>
      </c>
      <c r="Q117" s="500">
        <f>IF(P119-(参数输入表!$I$448-参数输入表!$I$447*参数输入表!$I$450)/参数输入表!$I$449-参数输入表!$I$447*参数输入表!$I$450&gt;0,(参数输入表!$I$448-参数输入表!$I$447*参数输入表!$I$450)/参数输入表!$I$449,IF(P119-参数输入表!$I$447*参数输入表!$I$450&gt;0,P119-参数输入表!$I$447*参数输入表!$I$450,0))</f>
        <v>2097.70739235714</v>
      </c>
      <c r="R117" s="500">
        <f>IF(Q119-(参数输入表!$I$448-参数输入表!$I$447*参数输入表!$I$450)/参数输入表!$I$449-参数输入表!$I$447*参数输入表!$I$450&gt;0,(参数输入表!$I$448-参数输入表!$I$447*参数输入表!$I$450)/参数输入表!$I$449,IF(Q119-参数输入表!$I$447*参数输入表!$I$450&gt;0,Q119-参数输入表!$I$447*参数输入表!$I$450,0))</f>
        <v>2097.70739235714</v>
      </c>
      <c r="S117" s="500">
        <f>IF(R119-(参数输入表!$I$448-参数输入表!$I$447*参数输入表!$I$450)/参数输入表!$I$449-参数输入表!$I$447*参数输入表!$I$450&gt;0,(参数输入表!$I$448-参数输入表!$I$447*参数输入表!$I$450)/参数输入表!$I$449,IF(R119-参数输入表!$I$447*参数输入表!$I$450&gt;0,R119-参数输入表!$I$447*参数输入表!$I$450,0))</f>
        <v>2097.70739235714</v>
      </c>
      <c r="T117" s="500">
        <f>IF(S119-(参数输入表!$I$448-参数输入表!$I$447*参数输入表!$I$450)/参数输入表!$I$449-参数输入表!$I$447*参数输入表!$I$450&gt;0,(参数输入表!$I$448-参数输入表!$I$447*参数输入表!$I$450)/参数输入表!$I$449,IF(S119-参数输入表!$I$447*参数输入表!$I$450&gt;0,S119-参数输入表!$I$447*参数输入表!$I$450,0))</f>
        <v>2097.70739235714</v>
      </c>
      <c r="U117" s="500">
        <f>IF(T119-(参数输入表!$I$448-参数输入表!$I$447*参数输入表!$I$450)/参数输入表!$I$449-参数输入表!$I$447*参数输入表!$I$450&gt;0,(参数输入表!$I$448-参数输入表!$I$447*参数输入表!$I$450)/参数输入表!$I$449,IF(T119-参数输入表!$I$447*参数输入表!$I$450&gt;0,T119-参数输入表!$I$447*参数输入表!$I$450,0))</f>
        <v>2097.70739235714</v>
      </c>
      <c r="V117" s="500">
        <f>IF(U119-(参数输入表!$I$448-参数输入表!$I$447*参数输入表!$I$450)/参数输入表!$I$449-参数输入表!$I$447*参数输入表!$I$450&gt;0,(参数输入表!$I$448-参数输入表!$I$447*参数输入表!$I$450)/参数输入表!$I$449,IF(U119-参数输入表!$I$447*参数输入表!$I$450&gt;0,U119-参数输入表!$I$447*参数输入表!$I$450,0))</f>
        <v>2097.70739235714</v>
      </c>
      <c r="W117" s="500">
        <f>IF(V119-(参数输入表!$I$448-参数输入表!$I$447*参数输入表!$I$450)/参数输入表!$I$449-参数输入表!$I$447*参数输入表!$I$450&gt;0,(参数输入表!$I$448-参数输入表!$I$447*参数输入表!$I$450)/参数输入表!$I$449,IF(V119-参数输入表!$I$447*参数输入表!$I$450&gt;0,V119-参数输入表!$I$447*参数输入表!$I$450,0))</f>
        <v>2097.70739235714</v>
      </c>
      <c r="X117" s="500">
        <f>IF(W119-(参数输入表!$I$448-参数输入表!$I$447*参数输入表!$I$450)/参数输入表!$I$449-参数输入表!$I$447*参数输入表!$I$450&gt;0,(参数输入表!$I$448-参数输入表!$I$447*参数输入表!$I$450)/参数输入表!$I$449,IF(W119-参数输入表!$I$447*参数输入表!$I$450&gt;0,W119-参数输入表!$I$447*参数输入表!$I$450,0))</f>
        <v>1048.85369617856</v>
      </c>
      <c r="Y117" s="500">
        <f>IF(X119-(参数输入表!$I$448-参数输入表!$I$447*参数输入表!$I$450)/参数输入表!$I$449-参数输入表!$I$447*参数输入表!$I$450&gt;0,(参数输入表!$I$448-参数输入表!$I$447*参数输入表!$I$450)/参数输入表!$I$449,IF(X119-参数输入表!$I$447*参数输入表!$I$450&gt;0,X119-参数输入表!$I$447*参数输入表!$I$450,0))</f>
        <v>0</v>
      </c>
      <c r="Z117" s="500">
        <f>IF(Y119-(参数输入表!$I$448-参数输入表!$I$447*参数输入表!$I$450)/参数输入表!$I$449-参数输入表!$I$447*参数输入表!$I$450&gt;0,(参数输入表!$I$448-参数输入表!$I$447*参数输入表!$I$450)/参数输入表!$I$449,IF(Y119-参数输入表!$I$447*参数输入表!$I$450&gt;0,Y119-参数输入表!$I$447*参数输入表!$I$450,0))</f>
        <v>0</v>
      </c>
      <c r="AA117" s="500">
        <f>IF(Z119-(参数输入表!$I$448-参数输入表!$I$447*参数输入表!$I$450)/参数输入表!$I$449-参数输入表!$I$447*参数输入表!$I$450&gt;0,(参数输入表!$I$448-参数输入表!$I$447*参数输入表!$I$450)/参数输入表!$I$449,IF(Z119-参数输入表!$I$447*参数输入表!$I$450&gt;0,Z119-参数输入表!$I$447*参数输入表!$I$450,0))</f>
        <v>0</v>
      </c>
      <c r="AB117" s="500">
        <f>IF(AA119-(参数输入表!$I$448-参数输入表!$I$447*参数输入表!$I$450)/参数输入表!$I$449-参数输入表!$I$447*参数输入表!$I$450&gt;0,(参数输入表!$I$448-参数输入表!$I$447*参数输入表!$I$450)/参数输入表!$I$449,IF(AA119-参数输入表!$I$447*参数输入表!$I$450&gt;0,AA119-参数输入表!$I$447*参数输入表!$I$450,0))</f>
        <v>0</v>
      </c>
      <c r="AC117" s="500">
        <f>IF(AB119-(参数输入表!$I$448-参数输入表!$I$447*参数输入表!$I$450)/参数输入表!$I$449-参数输入表!$I$447*参数输入表!$I$450&gt;0,(参数输入表!$I$448-参数输入表!$I$447*参数输入表!$I$450)/参数输入表!$I$449,IF(AB119-参数输入表!$I$447*参数输入表!$I$450&gt;0,AB119-参数输入表!$I$447*参数输入表!$I$450,0))</f>
        <v>0</v>
      </c>
      <c r="AD117" s="500">
        <f>IF(AC119-(参数输入表!$I$448-参数输入表!$I$447*参数输入表!$I$450)/参数输入表!$I$449-参数输入表!$I$447*参数输入表!$I$450&gt;0,(参数输入表!$I$448-参数输入表!$I$447*参数输入表!$I$450)/参数输入表!$I$449,IF(AC119-参数输入表!$I$447*参数输入表!$I$450&gt;0,AC119-参数输入表!$I$447*参数输入表!$I$450,0))</f>
        <v>0</v>
      </c>
      <c r="AE117" s="500">
        <f>IF(AD119-(参数输入表!$I$448-参数输入表!$I$447*参数输入表!$I$450)/参数输入表!$I$449-参数输入表!$I$447*参数输入表!$I$450&gt;0,(参数输入表!$I$448-参数输入表!$I$447*参数输入表!$I$450)/参数输入表!$I$449,IF(AD119-参数输入表!$I$447*参数输入表!$I$450&gt;0,AD119-参数输入表!$I$447*参数输入表!$I$450,0))</f>
        <v>0</v>
      </c>
      <c r="AF117" s="499">
        <f>IF(AE119-(参数输入表!$I$448-参数输入表!$I$447*参数输入表!$I$450)/参数输入表!$I$449*MONTH(参数输入表!I6)/12-参数输入表!$I$447*参数输入表!$I$450&gt;0,(参数输入表!$I$448-参数输入表!$I$447*参数输入表!$I$450)/参数输入表!$I$449*MONTH(参数输入表!I6)/12,IF(AE119-参数输入表!$I$447*参数输入表!$I$450&gt;0,AE119-参数输入表!$I$447*参数输入表!$I$450,0))</f>
        <v>0</v>
      </c>
    </row>
    <row r="118" spans="2:32">
      <c r="B118" s="404"/>
      <c r="C118" s="417" t="s">
        <v>584</v>
      </c>
      <c r="D118" s="418"/>
      <c r="E118" s="360"/>
      <c r="F118" s="445">
        <f>'表10-资产负债表(标准格式)'!E44</f>
        <v>0</v>
      </c>
      <c r="G118" s="445">
        <f>'表10-资产负债表(标准格式)'!F44</f>
        <v>0</v>
      </c>
      <c r="H118" s="445">
        <f>'表10-资产负债表(标准格式)'!G44</f>
        <v>6000</v>
      </c>
      <c r="I118" s="445">
        <f>'表10-资产负债表(标准格式)'!H44</f>
        <v>6887.292227</v>
      </c>
      <c r="J118" s="445">
        <f>I118+J117</f>
        <v>7936.14592317857</v>
      </c>
      <c r="K118" s="445">
        <f t="shared" ref="K118:Q118" si="26">J118+K117</f>
        <v>10033.8533155357</v>
      </c>
      <c r="L118" s="445">
        <f t="shared" si="26"/>
        <v>12131.5607078929</v>
      </c>
      <c r="M118" s="445">
        <f t="shared" si="26"/>
        <v>14229.26810025</v>
      </c>
      <c r="N118" s="445">
        <f t="shared" si="26"/>
        <v>16326.9754926071</v>
      </c>
      <c r="O118" s="445">
        <f t="shared" si="26"/>
        <v>18424.6828849643</v>
      </c>
      <c r="P118" s="445">
        <f t="shared" si="26"/>
        <v>20522.3902773214</v>
      </c>
      <c r="Q118" s="445">
        <f t="shared" si="26"/>
        <v>22620.0976696786</v>
      </c>
      <c r="R118" s="445">
        <f t="shared" ref="R118:W118" si="27">Q118+R117</f>
        <v>24717.8050620357</v>
      </c>
      <c r="S118" s="445">
        <f t="shared" si="27"/>
        <v>26815.5124543929</v>
      </c>
      <c r="T118" s="445">
        <f t="shared" si="27"/>
        <v>28913.21984675</v>
      </c>
      <c r="U118" s="445">
        <f t="shared" si="27"/>
        <v>31010.9272391071</v>
      </c>
      <c r="V118" s="445">
        <f t="shared" si="27"/>
        <v>33108.6346314643</v>
      </c>
      <c r="W118" s="445">
        <f t="shared" si="27"/>
        <v>35206.3420238214</v>
      </c>
      <c r="X118" s="445">
        <f t="shared" ref="X118:AF118" si="28">W118+X117</f>
        <v>36255.19572</v>
      </c>
      <c r="Y118" s="445">
        <f t="shared" si="28"/>
        <v>36255.19572</v>
      </c>
      <c r="Z118" s="445">
        <f t="shared" si="28"/>
        <v>36255.19572</v>
      </c>
      <c r="AA118" s="445">
        <f t="shared" si="28"/>
        <v>36255.19572</v>
      </c>
      <c r="AB118" s="445">
        <f t="shared" si="28"/>
        <v>36255.19572</v>
      </c>
      <c r="AC118" s="445">
        <f t="shared" si="28"/>
        <v>36255.19572</v>
      </c>
      <c r="AD118" s="445">
        <f t="shared" si="28"/>
        <v>36255.19572</v>
      </c>
      <c r="AE118" s="445">
        <f t="shared" si="28"/>
        <v>36255.19572</v>
      </c>
      <c r="AF118" s="506">
        <f t="shared" si="28"/>
        <v>36255.19572</v>
      </c>
    </row>
    <row r="119" ht="17.25" spans="2:32">
      <c r="B119" s="404"/>
      <c r="C119" s="479" t="s">
        <v>585</v>
      </c>
      <c r="D119" s="419"/>
      <c r="E119" s="480"/>
      <c r="F119" s="455">
        <f>'表10-资产负债表(标准格式)'!E42</f>
        <v>0</v>
      </c>
      <c r="G119" s="455">
        <f>'表10-资产负债表(标准格式)'!F42</f>
        <v>0</v>
      </c>
      <c r="H119" s="455">
        <f>'表10-资产负债表(标准格式)'!G42</f>
        <v>30000</v>
      </c>
      <c r="I119" s="455">
        <f>'表10-资产负债表(标准格式)'!H42</f>
        <v>29367.903493</v>
      </c>
      <c r="J119" s="455">
        <f>IF(J116-J118&gt;参数输入表!$I$447*参数输入表!$I$450,J116-J118,参数输入表!$I$447*参数输入表!$I$450)</f>
        <v>28319.0497968214</v>
      </c>
      <c r="K119" s="455">
        <f>IF(K116-K118&gt;参数输入表!$I$447*参数输入表!$I$450,K116-K118,参数输入表!$I$447*参数输入表!$I$450)</f>
        <v>26221.3424044643</v>
      </c>
      <c r="L119" s="455">
        <f>IF(L116-L118&gt;参数输入表!$I$447*参数输入表!$I$450,L116-L118,参数输入表!$I$447*参数输入表!$I$450)</f>
        <v>24123.6350121071</v>
      </c>
      <c r="M119" s="455">
        <f>IF(M116-M118&gt;参数输入表!$I$447*参数输入表!$I$450,M116-M118,参数输入表!$I$447*参数输入表!$I$450)</f>
        <v>22025.92761975</v>
      </c>
      <c r="N119" s="455">
        <f>IF(N116-N118&gt;参数输入表!$I$447*参数输入表!$I$450,N116-N118,参数输入表!$I$447*参数输入表!$I$450)</f>
        <v>19928.2202273929</v>
      </c>
      <c r="O119" s="455">
        <f>IF(O116-O118&gt;参数输入表!$I$447*参数输入表!$I$450,O116-O118,参数输入表!$I$447*参数输入表!$I$450)</f>
        <v>17830.5128350357</v>
      </c>
      <c r="P119" s="455">
        <f>IF(P116-P118&gt;参数输入表!$I$447*参数输入表!$I$450,P116-P118,参数输入表!$I$447*参数输入表!$I$450)</f>
        <v>15732.8054426786</v>
      </c>
      <c r="Q119" s="455">
        <f>IF(Q116-Q118&gt;参数输入表!$I$447*参数输入表!$I$450,Q116-Q118,参数输入表!$I$447*参数输入表!$I$450)</f>
        <v>13635.0980503214</v>
      </c>
      <c r="R119" s="455">
        <f>IF(R116-R118&gt;参数输入表!$I$447*参数输入表!$I$450,R116-R118,参数输入表!$I$447*参数输入表!$I$450)</f>
        <v>11537.3906579643</v>
      </c>
      <c r="S119" s="455">
        <f>IF(S116-S118&gt;参数输入表!$I$447*参数输入表!$I$450,S116-S118,参数输入表!$I$447*参数输入表!$I$450)</f>
        <v>9439.68326560714</v>
      </c>
      <c r="T119" s="455">
        <f>IF(T116-T118&gt;参数输入表!$I$447*参数输入表!$I$450,T116-T118,参数输入表!$I$447*参数输入表!$I$450)</f>
        <v>7341.97587325</v>
      </c>
      <c r="U119" s="455">
        <f>IF(U116-U118&gt;参数输入表!$I$447*参数输入表!$I$450,U116-U118,参数输入表!$I$447*参数输入表!$I$450)</f>
        <v>5244.26848089285</v>
      </c>
      <c r="V119" s="455">
        <f>IF(V116-V118&gt;参数输入表!$I$447*参数输入表!$I$450,V116-V118,参数输入表!$I$447*参数输入表!$I$450)</f>
        <v>3146.56108853571</v>
      </c>
      <c r="W119" s="455">
        <f>IF(W116-W118&gt;参数输入表!$I$447*参数输入表!$I$450,W116-W118,参数输入表!$I$447*参数输入表!$I$450)</f>
        <v>1048.85369617856</v>
      </c>
      <c r="X119" s="455">
        <f>IF(X116-X118&gt;参数输入表!$I$447*参数输入表!$I$450,X116-X118,参数输入表!$I$447*参数输入表!$I$450)</f>
        <v>0</v>
      </c>
      <c r="Y119" s="455">
        <f>IF(Y116-Y118&gt;参数输入表!$I$447*参数输入表!$I$450,Y116-Y118,参数输入表!$I$447*参数输入表!$I$450)</f>
        <v>0</v>
      </c>
      <c r="Z119" s="455">
        <f>IF(Z116-Z118&gt;参数输入表!$I$447*参数输入表!$I$450,Z116-Z118,参数输入表!$I$447*参数输入表!$I$450)</f>
        <v>0</v>
      </c>
      <c r="AA119" s="455">
        <f>IF(AA116-AA118&gt;参数输入表!$I$447*参数输入表!$I$450,AA116-AA118,参数输入表!$I$447*参数输入表!$I$450)</f>
        <v>0</v>
      </c>
      <c r="AB119" s="455">
        <f>IF(AB116-AB118&gt;参数输入表!$I$447*参数输入表!$I$450,AB116-AB118,参数输入表!$I$447*参数输入表!$I$450)</f>
        <v>0</v>
      </c>
      <c r="AC119" s="455">
        <f>IF(AC116-AC118&gt;参数输入表!$I$447*参数输入表!$I$450,AC116-AC118,参数输入表!$I$447*参数输入表!$I$450)</f>
        <v>0</v>
      </c>
      <c r="AD119" s="455">
        <f>IF(AD116-AD118&gt;参数输入表!$I$447*参数输入表!$I$450,AD116-AD118,参数输入表!$I$447*参数输入表!$I$450)</f>
        <v>0</v>
      </c>
      <c r="AE119" s="455">
        <f>IF(AE116-AE118&gt;参数输入表!$I$447*参数输入表!$I$450,AE116-AE118,参数输入表!$I$447*参数输入表!$I$450)</f>
        <v>0</v>
      </c>
      <c r="AF119" s="507">
        <f>IF(AF116-AF118&gt;参数输入表!$I$447*参数输入表!$I$450,AF116-AF118,参数输入表!$I$447*参数输入表!$I$450)</f>
        <v>0</v>
      </c>
    </row>
    <row r="120" spans="2:32">
      <c r="B120" s="473">
        <v>2</v>
      </c>
      <c r="C120" s="474" t="s">
        <v>564</v>
      </c>
      <c r="D120" s="475"/>
      <c r="E120" s="476"/>
      <c r="F120" s="477"/>
      <c r="G120" s="481">
        <f>F122</f>
        <v>0</v>
      </c>
      <c r="H120" s="481">
        <f t="shared" ref="H120:AF120" si="29">G122</f>
        <v>0</v>
      </c>
      <c r="I120" s="481">
        <f t="shared" si="29"/>
        <v>0</v>
      </c>
      <c r="J120" s="477">
        <f t="shared" si="29"/>
        <v>0</v>
      </c>
      <c r="K120" s="477">
        <f t="shared" si="29"/>
        <v>0</v>
      </c>
      <c r="L120" s="477">
        <f t="shared" si="29"/>
        <v>0</v>
      </c>
      <c r="M120" s="477">
        <f t="shared" si="29"/>
        <v>0</v>
      </c>
      <c r="N120" s="477">
        <f t="shared" si="29"/>
        <v>0</v>
      </c>
      <c r="O120" s="477">
        <f t="shared" si="29"/>
        <v>0</v>
      </c>
      <c r="P120" s="477">
        <f t="shared" si="29"/>
        <v>0</v>
      </c>
      <c r="Q120" s="477">
        <f t="shared" si="29"/>
        <v>0</v>
      </c>
      <c r="R120" s="477">
        <f t="shared" si="29"/>
        <v>0</v>
      </c>
      <c r="S120" s="477">
        <f t="shared" si="29"/>
        <v>0</v>
      </c>
      <c r="T120" s="477">
        <f t="shared" si="29"/>
        <v>0</v>
      </c>
      <c r="U120" s="477">
        <f t="shared" si="29"/>
        <v>0</v>
      </c>
      <c r="V120" s="477">
        <f t="shared" si="29"/>
        <v>0</v>
      </c>
      <c r="W120" s="477">
        <f t="shared" si="29"/>
        <v>0</v>
      </c>
      <c r="X120" s="477">
        <f t="shared" si="29"/>
        <v>0</v>
      </c>
      <c r="Y120" s="477">
        <f t="shared" si="29"/>
        <v>0</v>
      </c>
      <c r="Z120" s="477">
        <f t="shared" si="29"/>
        <v>0</v>
      </c>
      <c r="AA120" s="477">
        <f t="shared" si="29"/>
        <v>0</v>
      </c>
      <c r="AB120" s="477">
        <f t="shared" si="29"/>
        <v>0</v>
      </c>
      <c r="AC120" s="477">
        <f t="shared" si="29"/>
        <v>0</v>
      </c>
      <c r="AD120" s="477">
        <f t="shared" si="29"/>
        <v>0</v>
      </c>
      <c r="AE120" s="477">
        <f t="shared" si="29"/>
        <v>0</v>
      </c>
      <c r="AF120" s="477">
        <f t="shared" si="29"/>
        <v>0</v>
      </c>
    </row>
    <row r="121" s="374" customFormat="1" spans="2:32">
      <c r="B121" s="482"/>
      <c r="C121" s="483" t="s">
        <v>586</v>
      </c>
      <c r="D121" s="415">
        <f>SUM(F121:AF121)</f>
        <v>0</v>
      </c>
      <c r="E121" s="484"/>
      <c r="F121" s="485"/>
      <c r="G121" s="485"/>
      <c r="H121" s="485"/>
      <c r="I121" s="501">
        <f>H122-I122</f>
        <v>0</v>
      </c>
      <c r="J121" s="502">
        <f>IF(I122-参数输入表!$I$490/参数输入表!$I$492*(12-MONTH(参数输入表!$I$8))/12&gt;0,参数输入表!$I$490/参数输入表!$I$492*(12-MONTH(参数输入表!$I$8))/12,I122)</f>
        <v>0</v>
      </c>
      <c r="K121" s="503">
        <f>IF(J122-参数输入表!$I$490/参数输入表!$I$492&gt;0,参数输入表!$I$490/参数输入表!$I$492,J122)</f>
        <v>0</v>
      </c>
      <c r="L121" s="503">
        <f>IF(K122-参数输入表!$I$490/参数输入表!$I$492&gt;0,参数输入表!$I$490/参数输入表!$I$492,K122)</f>
        <v>0</v>
      </c>
      <c r="M121" s="503">
        <f>IF(L122-参数输入表!$I$490/参数输入表!$I$492&gt;0,参数输入表!$I$490/参数输入表!$I$492,L122)</f>
        <v>0</v>
      </c>
      <c r="N121" s="503">
        <f>IF(M122-参数输入表!$I$490/参数输入表!$I$492&gt;0,参数输入表!$I$490/参数输入表!$I$492,M122)</f>
        <v>0</v>
      </c>
      <c r="O121" s="503">
        <f>IF(N122-参数输入表!$I$490/参数输入表!$I$492&gt;0,参数输入表!$I$490/参数输入表!$I$492,N122)</f>
        <v>0</v>
      </c>
      <c r="P121" s="503">
        <f>IF(O122-参数输入表!$I$490/参数输入表!$I$492&gt;0,参数输入表!$I$490/参数输入表!$I$492,O122)</f>
        <v>0</v>
      </c>
      <c r="Q121" s="503">
        <f>IF(P122-参数输入表!$I$490/参数输入表!$I$492&gt;0,参数输入表!$I$490/参数输入表!$I$492,P122)</f>
        <v>0</v>
      </c>
      <c r="R121" s="503">
        <f>IF(Q122-参数输入表!$I$490/参数输入表!$I$492&gt;0,参数输入表!$I$490/参数输入表!$I$492,Q122)</f>
        <v>0</v>
      </c>
      <c r="S121" s="503">
        <f>IF(R122-参数输入表!$I$490/参数输入表!$I$492&gt;0,参数输入表!$I$490/参数输入表!$I$492,R122)</f>
        <v>0</v>
      </c>
      <c r="T121" s="503">
        <f>IF(S122-参数输入表!$I$490/参数输入表!$I$492&gt;0,参数输入表!$I$490/参数输入表!$I$492,S122)</f>
        <v>0</v>
      </c>
      <c r="U121" s="503">
        <f>IF(T122-参数输入表!$I$490/参数输入表!$I$492&gt;0,参数输入表!$I$490/参数输入表!$I$492,T122)</f>
        <v>0</v>
      </c>
      <c r="V121" s="503">
        <f>IF(U122-参数输入表!$I$490/参数输入表!$I$492&gt;0,参数输入表!$I$490/参数输入表!$I$492,U122)</f>
        <v>0</v>
      </c>
      <c r="W121" s="503">
        <f>IF(V122-参数输入表!$I$490/参数输入表!$I$492&gt;0,参数输入表!$I$490/参数输入表!$I$492,V122)</f>
        <v>0</v>
      </c>
      <c r="X121" s="503">
        <f>IF(W122-参数输入表!$I$490/参数输入表!$I$492&gt;0,参数输入表!$I$490/参数输入表!$I$492,W122)</f>
        <v>0</v>
      </c>
      <c r="Y121" s="503">
        <f>IF(X122-参数输入表!$I$490/参数输入表!$I$492&gt;0,参数输入表!$I$490/参数输入表!$I$492,X122)</f>
        <v>0</v>
      </c>
      <c r="Z121" s="503">
        <f>IF(Y122-参数输入表!$I$490/参数输入表!$I$492&gt;0,参数输入表!$I$490/参数输入表!$I$492,Y122)</f>
        <v>0</v>
      </c>
      <c r="AA121" s="503">
        <f>IF(Z122-参数输入表!$I$490/参数输入表!$I$492&gt;0,参数输入表!$I$490/参数输入表!$I$492,Z122)</f>
        <v>0</v>
      </c>
      <c r="AB121" s="503">
        <f>IF(AA122-参数输入表!$I$490/参数输入表!$I$492&gt;0,参数输入表!$I$490/参数输入表!$I$492,AA122)</f>
        <v>0</v>
      </c>
      <c r="AC121" s="503">
        <f>IF(AB122-参数输入表!$I$490/参数输入表!$I$492&gt;0,参数输入表!$I$490/参数输入表!$I$492,AB122)</f>
        <v>0</v>
      </c>
      <c r="AD121" s="503">
        <f>IF(AC122-参数输入表!$I$490/参数输入表!$I$492&gt;0,参数输入表!$I$490/参数输入表!$I$492,AC122)</f>
        <v>0</v>
      </c>
      <c r="AE121" s="503">
        <f>IF(AD122-参数输入表!$I$490/参数输入表!$I$492&gt;0,参数输入表!$I$490/参数输入表!$I$492,AD122)</f>
        <v>0</v>
      </c>
      <c r="AF121" s="502">
        <f>IF(AE122-参数输入表!$I$490/参数输入表!$I$492*MONTH(参数输入表!I6)/12&gt;0,参数输入表!$I$490/参数输入表!$I$492*MONTH(参数输入表!I6)/12,AE122)</f>
        <v>0</v>
      </c>
    </row>
    <row r="122" ht="17.25" spans="2:32">
      <c r="B122" s="486"/>
      <c r="C122" s="487" t="s">
        <v>567</v>
      </c>
      <c r="D122" s="488"/>
      <c r="E122" s="372"/>
      <c r="F122" s="489">
        <f>'表10-资产负债表(标准格式)'!E53</f>
        <v>0</v>
      </c>
      <c r="G122" s="490">
        <f>'表10-资产负债表(标准格式)'!F53</f>
        <v>0</v>
      </c>
      <c r="H122" s="490">
        <f>'表10-资产负债表(标准格式)'!G53</f>
        <v>0</v>
      </c>
      <c r="I122" s="490">
        <f>'表10-资产负债表(标准格式)'!H53</f>
        <v>0</v>
      </c>
      <c r="J122" s="489">
        <f>J120-J121</f>
        <v>0</v>
      </c>
      <c r="K122" s="489">
        <f t="shared" ref="K122:AF122" si="30">K120-K121</f>
        <v>0</v>
      </c>
      <c r="L122" s="489">
        <f t="shared" si="30"/>
        <v>0</v>
      </c>
      <c r="M122" s="489">
        <f t="shared" si="30"/>
        <v>0</v>
      </c>
      <c r="N122" s="489">
        <f t="shared" si="30"/>
        <v>0</v>
      </c>
      <c r="O122" s="489">
        <f t="shared" si="30"/>
        <v>0</v>
      </c>
      <c r="P122" s="489">
        <f t="shared" si="30"/>
        <v>0</v>
      </c>
      <c r="Q122" s="489">
        <f t="shared" si="30"/>
        <v>0</v>
      </c>
      <c r="R122" s="489">
        <f t="shared" si="30"/>
        <v>0</v>
      </c>
      <c r="S122" s="489">
        <f t="shared" si="30"/>
        <v>0</v>
      </c>
      <c r="T122" s="489">
        <f t="shared" si="30"/>
        <v>0</v>
      </c>
      <c r="U122" s="489">
        <f t="shared" si="30"/>
        <v>0</v>
      </c>
      <c r="V122" s="489">
        <f t="shared" si="30"/>
        <v>0</v>
      </c>
      <c r="W122" s="489">
        <f t="shared" si="30"/>
        <v>0</v>
      </c>
      <c r="X122" s="489">
        <f t="shared" si="30"/>
        <v>0</v>
      </c>
      <c r="Y122" s="489">
        <f t="shared" si="30"/>
        <v>0</v>
      </c>
      <c r="Z122" s="489">
        <f t="shared" si="30"/>
        <v>0</v>
      </c>
      <c r="AA122" s="489">
        <f t="shared" si="30"/>
        <v>0</v>
      </c>
      <c r="AB122" s="489">
        <f t="shared" si="30"/>
        <v>0</v>
      </c>
      <c r="AC122" s="489">
        <f t="shared" si="30"/>
        <v>0</v>
      </c>
      <c r="AD122" s="489">
        <f t="shared" si="30"/>
        <v>0</v>
      </c>
      <c r="AE122" s="489">
        <f t="shared" si="30"/>
        <v>0</v>
      </c>
      <c r="AF122" s="489">
        <f t="shared" si="30"/>
        <v>0</v>
      </c>
    </row>
    <row r="123" spans="2:32">
      <c r="B123" s="473">
        <v>3</v>
      </c>
      <c r="C123" s="474" t="s">
        <v>587</v>
      </c>
      <c r="D123" s="491"/>
      <c r="E123" s="430"/>
      <c r="F123" s="477"/>
      <c r="G123" s="477">
        <f>F125</f>
        <v>0</v>
      </c>
      <c r="H123" s="477">
        <f>G125</f>
        <v>0</v>
      </c>
      <c r="I123" s="477">
        <f>H125</f>
        <v>16</v>
      </c>
      <c r="J123" s="477">
        <f>I125</f>
        <v>14.882016</v>
      </c>
      <c r="K123" s="477">
        <f t="shared" ref="K123:S123" si="31">J125</f>
        <v>14.1379152</v>
      </c>
      <c r="L123" s="477">
        <f t="shared" si="31"/>
        <v>12.6497136</v>
      </c>
      <c r="M123" s="477">
        <f t="shared" si="31"/>
        <v>11.161512</v>
      </c>
      <c r="N123" s="477">
        <f t="shared" si="31"/>
        <v>9.6733104</v>
      </c>
      <c r="O123" s="477">
        <f t="shared" si="31"/>
        <v>8.1851088</v>
      </c>
      <c r="P123" s="477">
        <f t="shared" si="31"/>
        <v>6.6969072</v>
      </c>
      <c r="Q123" s="477">
        <f t="shared" si="31"/>
        <v>5.2087056</v>
      </c>
      <c r="R123" s="477">
        <f t="shared" si="31"/>
        <v>3.720504</v>
      </c>
      <c r="S123" s="477">
        <f t="shared" si="31"/>
        <v>2.2323024</v>
      </c>
      <c r="T123" s="477">
        <f t="shared" ref="T123:AF123" si="32">S125</f>
        <v>0.7441008</v>
      </c>
      <c r="U123" s="477">
        <f t="shared" si="32"/>
        <v>0</v>
      </c>
      <c r="V123" s="477">
        <f t="shared" si="32"/>
        <v>0</v>
      </c>
      <c r="W123" s="477">
        <f t="shared" si="32"/>
        <v>0</v>
      </c>
      <c r="X123" s="477">
        <f t="shared" si="32"/>
        <v>0</v>
      </c>
      <c r="Y123" s="477">
        <f t="shared" si="32"/>
        <v>0</v>
      </c>
      <c r="Z123" s="477">
        <f t="shared" si="32"/>
        <v>0</v>
      </c>
      <c r="AA123" s="477">
        <f t="shared" si="32"/>
        <v>0</v>
      </c>
      <c r="AB123" s="477">
        <f t="shared" si="32"/>
        <v>0</v>
      </c>
      <c r="AC123" s="477">
        <f t="shared" si="32"/>
        <v>0</v>
      </c>
      <c r="AD123" s="477">
        <f t="shared" si="32"/>
        <v>0</v>
      </c>
      <c r="AE123" s="477">
        <f t="shared" si="32"/>
        <v>0</v>
      </c>
      <c r="AF123" s="477">
        <f t="shared" si="32"/>
        <v>0</v>
      </c>
    </row>
    <row r="124" spans="2:32">
      <c r="B124" s="404"/>
      <c r="C124" s="414" t="s">
        <v>588</v>
      </c>
      <c r="D124" s="415">
        <f>SUM(F124:AF124)</f>
        <v>16</v>
      </c>
      <c r="E124" s="410"/>
      <c r="F124" s="478"/>
      <c r="G124" s="478"/>
      <c r="H124" s="478"/>
      <c r="I124" s="501">
        <f>H125-I125</f>
        <v>1.117984</v>
      </c>
      <c r="J124" s="499">
        <f>IF(I125-(参数输入表!$I$453-参数输入表!$I$452*参数输入表!$I$456)/参数输入表!$I$455*(12-MONTH(参数输入表!$I$8))/12-参数输入表!$I$452*参数输入表!$I$456&gt;0,(参数输入表!$I$453-参数输入表!$I$452*参数输入表!$I$456)/参数输入表!$I$455*(12-MONTH(参数输入表!$I$8))/12,IF(I125-参数输入表!$I$452*参数输入表!$I$456&gt;0,I125-参数输入表!$I$452*参数输入表!$I$456,0))</f>
        <v>0.7441008</v>
      </c>
      <c r="K124" s="500">
        <f>IF(J125-(参数输入表!$I$453-参数输入表!$I$452*参数输入表!$I$456)/参数输入表!$I$455-参数输入表!$I$452*参数输入表!$I$456&gt;0,(参数输入表!$I$453-参数输入表!$I$452*参数输入表!$I$456)/参数输入表!$I$455,IF(J125-参数输入表!$I$452*参数输入表!$I$456&gt;0,J125-参数输入表!$I$452*参数输入表!$I$456,0))</f>
        <v>1.4882016</v>
      </c>
      <c r="L124" s="500">
        <f>IF(K125-(参数输入表!$I$453-参数输入表!$I$452*参数输入表!$I$456)/参数输入表!$I$455-参数输入表!$I$452*参数输入表!$I$456&gt;0,(参数输入表!$I$453-参数输入表!$I$452*参数输入表!$I$456)/参数输入表!$I$455,IF(K125-参数输入表!$I$452*参数输入表!$I$456&gt;0,K125-参数输入表!$I$452*参数输入表!$I$456,0))</f>
        <v>1.4882016</v>
      </c>
      <c r="M124" s="500">
        <f>IF(L125-(参数输入表!$I$453-参数输入表!$I$452*参数输入表!$I$456)/参数输入表!$I$455-参数输入表!$I$452*参数输入表!$I$456&gt;0,(参数输入表!$I$453-参数输入表!$I$452*参数输入表!$I$456)/参数输入表!$I$455,IF(L125-参数输入表!$I$452*参数输入表!$I$456&gt;0,L125-参数输入表!$I$452*参数输入表!$I$456,0))</f>
        <v>1.4882016</v>
      </c>
      <c r="N124" s="500">
        <f>IF(M125-(参数输入表!$I$453-参数输入表!$I$452*参数输入表!$I$456)/参数输入表!$I$455-参数输入表!$I$452*参数输入表!$I$456&gt;0,(参数输入表!$I$453-参数输入表!$I$452*参数输入表!$I$456)/参数输入表!$I$455,IF(M125-参数输入表!$I$452*参数输入表!$I$456&gt;0,M125-参数输入表!$I$452*参数输入表!$I$456,0))</f>
        <v>1.4882016</v>
      </c>
      <c r="O124" s="500">
        <f>IF(N125-(参数输入表!$I$453-参数输入表!$I$452*参数输入表!$I$456)/参数输入表!$I$455-参数输入表!$I$452*参数输入表!$I$456&gt;0,(参数输入表!$I$453-参数输入表!$I$452*参数输入表!$I$456)/参数输入表!$I$455,IF(N125-参数输入表!$I$452*参数输入表!$I$456&gt;0,N125-参数输入表!$I$452*参数输入表!$I$456,0))</f>
        <v>1.4882016</v>
      </c>
      <c r="P124" s="500">
        <f>IF(O125-(参数输入表!$I$453-参数输入表!$I$452*参数输入表!$I$456)/参数输入表!$I$455-参数输入表!$I$452*参数输入表!$I$456&gt;0,(参数输入表!$I$453-参数输入表!$I$452*参数输入表!$I$456)/参数输入表!$I$455,IF(O125-参数输入表!$I$452*参数输入表!$I$456&gt;0,O125-参数输入表!$I$452*参数输入表!$I$456,0))</f>
        <v>1.4882016</v>
      </c>
      <c r="Q124" s="500">
        <f>IF(P125-(参数输入表!$I$453-参数输入表!$I$452*参数输入表!$I$456)/参数输入表!$I$455-参数输入表!$I$452*参数输入表!$I$456&gt;0,(参数输入表!$I$453-参数输入表!$I$452*参数输入表!$I$456)/参数输入表!$I$455,IF(P125-参数输入表!$I$452*参数输入表!$I$456&gt;0,P125-参数输入表!$I$452*参数输入表!$I$456,0))</f>
        <v>1.4882016</v>
      </c>
      <c r="R124" s="500">
        <f>IF(Q125-(参数输入表!$I$453-参数输入表!$I$452*参数输入表!$I$456)/参数输入表!$I$455-参数输入表!$I$452*参数输入表!$I$456&gt;0,(参数输入表!$I$453-参数输入表!$I$452*参数输入表!$I$456)/参数输入表!$I$455,IF(Q125-参数输入表!$I$452*参数输入表!$I$456&gt;0,Q125-参数输入表!$I$452*参数输入表!$I$456,0))</f>
        <v>1.4882016</v>
      </c>
      <c r="S124" s="500">
        <f>IF(R125-(参数输入表!$I$453-参数输入表!$I$452*参数输入表!$I$456)/参数输入表!$I$455-参数输入表!$I$452*参数输入表!$I$456&gt;0,(参数输入表!$I$453-参数输入表!$I$452*参数输入表!$I$456)/参数输入表!$I$455,IF(R125-参数输入表!$I$452*参数输入表!$I$456&gt;0,R125-参数输入表!$I$452*参数输入表!$I$456,0))</f>
        <v>1.4882016</v>
      </c>
      <c r="T124" s="500">
        <f>IF(S125-(参数输入表!$I$453-参数输入表!$I$452*参数输入表!$I$456)/参数输入表!$I$455-参数输入表!$I$452*参数输入表!$I$456&gt;0,(参数输入表!$I$453-参数输入表!$I$452*参数输入表!$I$456)/参数输入表!$I$455,IF(S125-参数输入表!$I$452*参数输入表!$I$456&gt;0,S125-参数输入表!$I$452*参数输入表!$I$456,0))</f>
        <v>0.7441008</v>
      </c>
      <c r="U124" s="500">
        <f>IF(T125-(参数输入表!$I$453-参数输入表!$I$452*参数输入表!$I$456)/参数输入表!$I$455-参数输入表!$I$452*参数输入表!$I$456&gt;0,(参数输入表!$I$453-参数输入表!$I$452*参数输入表!$I$456)/参数输入表!$I$455,IF(T125-参数输入表!$I$452*参数输入表!$I$456&gt;0,T125-参数输入表!$I$452*参数输入表!$I$456,0))</f>
        <v>0</v>
      </c>
      <c r="V124" s="500">
        <f>IF(U125-(参数输入表!$I$453-参数输入表!$I$452*参数输入表!$I$456)/参数输入表!$I$455-参数输入表!$I$452*参数输入表!$I$456&gt;0,(参数输入表!$I$453-参数输入表!$I$452*参数输入表!$I$456)/参数输入表!$I$455,IF(U125-参数输入表!$I$452*参数输入表!$I$456&gt;0,U125-参数输入表!$I$452*参数输入表!$I$456,0))</f>
        <v>0</v>
      </c>
      <c r="W124" s="500">
        <f>IF(V125-(参数输入表!$I$453-参数输入表!$I$452*参数输入表!$I$456)/参数输入表!$I$455-参数输入表!$I$452*参数输入表!$I$456&gt;0,(参数输入表!$I$453-参数输入表!$I$452*参数输入表!$I$456)/参数输入表!$I$455,IF(V125-参数输入表!$I$452*参数输入表!$I$456&gt;0,V125-参数输入表!$I$452*参数输入表!$I$456,0))</f>
        <v>0</v>
      </c>
      <c r="X124" s="500">
        <f>IF(W125-(参数输入表!$I$453-参数输入表!$I$452*参数输入表!$I$456)/参数输入表!$I$455-参数输入表!$I$452*参数输入表!$I$456&gt;0,(参数输入表!$I$453-参数输入表!$I$452*参数输入表!$I$456)/参数输入表!$I$455,IF(W125-参数输入表!$I$452*参数输入表!$I$456&gt;0,W125-参数输入表!$I$452*参数输入表!$I$456,0))</f>
        <v>0</v>
      </c>
      <c r="Y124" s="500">
        <f>IF(X125-(参数输入表!$I$453-参数输入表!$I$452*参数输入表!$I$456)/参数输入表!$I$455-参数输入表!$I$452*参数输入表!$I$456&gt;0,(参数输入表!$I$453-参数输入表!$I$452*参数输入表!$I$456)/参数输入表!$I$455,IF(X125-参数输入表!$I$452*参数输入表!$I$456&gt;0,X125-参数输入表!$I$452*参数输入表!$I$456,0))</f>
        <v>0</v>
      </c>
      <c r="Z124" s="500">
        <f>IF(Y125-(参数输入表!$I$453-参数输入表!$I$452*参数输入表!$I$456)/参数输入表!$I$455-参数输入表!$I$452*参数输入表!$I$456&gt;0,(参数输入表!$I$453-参数输入表!$I$452*参数输入表!$I$456)/参数输入表!$I$455,IF(Y125-参数输入表!$I$452*参数输入表!$I$456&gt;0,Y125-参数输入表!$I$452*参数输入表!$I$456,0))</f>
        <v>0</v>
      </c>
      <c r="AA124" s="500">
        <f>IF(Z125-(参数输入表!$I$453-参数输入表!$I$452*参数输入表!$I$456)/参数输入表!$I$455-参数输入表!$I$452*参数输入表!$I$456&gt;0,(参数输入表!$I$453-参数输入表!$I$452*参数输入表!$I$456)/参数输入表!$I$455,IF(Z125-参数输入表!$I$452*参数输入表!$I$456&gt;0,Z125-参数输入表!$I$452*参数输入表!$I$456,0))</f>
        <v>0</v>
      </c>
      <c r="AB124" s="500">
        <f>IF(AA125-(参数输入表!$I$453-参数输入表!$I$452*参数输入表!$I$456)/参数输入表!$I$455-参数输入表!$I$452*参数输入表!$I$456&gt;0,(参数输入表!$I$453-参数输入表!$I$452*参数输入表!$I$456)/参数输入表!$I$455,IF(AA125-参数输入表!$I$452*参数输入表!$I$456&gt;0,AA125-参数输入表!$I$452*参数输入表!$I$456,0))</f>
        <v>0</v>
      </c>
      <c r="AC124" s="500">
        <f>IF(AB125-(参数输入表!$I$453-参数输入表!$I$452*参数输入表!$I$456)/参数输入表!$I$455-参数输入表!$I$452*参数输入表!$I$456&gt;0,(参数输入表!$I$453-参数输入表!$I$452*参数输入表!$I$456)/参数输入表!$I$455,IF(AB125-参数输入表!$I$452*参数输入表!$I$456&gt;0,AB125-参数输入表!$I$452*参数输入表!$I$456,0))</f>
        <v>0</v>
      </c>
      <c r="AD124" s="500">
        <f>IF(AC125-(参数输入表!$I$453-参数输入表!$I$452*参数输入表!$I$456)/参数输入表!$I$455-参数输入表!$I$452*参数输入表!$I$456&gt;0,(参数输入表!$I$453-参数输入表!$I$452*参数输入表!$I$456)/参数输入表!$I$455,IF(AC125-参数输入表!$I$452*参数输入表!$I$456&gt;0,AC125-参数输入表!$I$452*参数输入表!$I$456,0))</f>
        <v>0</v>
      </c>
      <c r="AE124" s="500">
        <f>IF(AD125-(参数输入表!$I$453-参数输入表!$I$452*参数输入表!$I$456)/参数输入表!$I$455-参数输入表!$I$452*参数输入表!$I$456&gt;0,(参数输入表!$I$453-参数输入表!$I$452*参数输入表!$I$456)/参数输入表!$I$455,IF(AD125-参数输入表!$I$452*参数输入表!$I$456&gt;0,AD125-参数输入表!$I$452*参数输入表!$I$456,0))</f>
        <v>0</v>
      </c>
      <c r="AF124" s="499">
        <f>IF(AE125-(参数输入表!$I$453-参数输入表!$I$452*参数输入表!$I$456)/参数输入表!$I$455*MONTH(参数输入表!I6)/12-参数输入表!$I$452*参数输入表!$I$456&gt;0,(参数输入表!$I$453-参数输入表!$I$452*参数输入表!$I$456)/参数输入表!$I$455*MONTH(参数输入表!I6)/12,IF(AE125-参数输入表!$I$452*参数输入表!$I$456&gt;0,AE125-参数输入表!$I$452*参数输入表!$I$456,0))</f>
        <v>0</v>
      </c>
    </row>
    <row r="125" ht="17.25" spans="2:32">
      <c r="B125" s="404"/>
      <c r="C125" s="479" t="s">
        <v>574</v>
      </c>
      <c r="D125" s="416"/>
      <c r="E125" s="492"/>
      <c r="F125" s="455">
        <f>'表10-资产负债表(标准格式)'!E50</f>
        <v>0</v>
      </c>
      <c r="G125" s="455">
        <f>'表10-资产负债表(标准格式)'!F50</f>
        <v>0</v>
      </c>
      <c r="H125" s="455">
        <f>'表10-资产负债表(标准格式)'!G50</f>
        <v>16</v>
      </c>
      <c r="I125" s="455">
        <f>'表10-资产负债表(标准格式)'!H50</f>
        <v>14.882016</v>
      </c>
      <c r="J125" s="455">
        <f>J123-J124</f>
        <v>14.1379152</v>
      </c>
      <c r="K125" s="455">
        <f t="shared" ref="K125:S125" si="33">K123-K124</f>
        <v>12.6497136</v>
      </c>
      <c r="L125" s="455">
        <f t="shared" si="33"/>
        <v>11.161512</v>
      </c>
      <c r="M125" s="455">
        <f t="shared" si="33"/>
        <v>9.6733104</v>
      </c>
      <c r="N125" s="455">
        <f t="shared" si="33"/>
        <v>8.1851088</v>
      </c>
      <c r="O125" s="455">
        <f t="shared" si="33"/>
        <v>6.6969072</v>
      </c>
      <c r="P125" s="455">
        <f t="shared" si="33"/>
        <v>5.2087056</v>
      </c>
      <c r="Q125" s="455">
        <f t="shared" si="33"/>
        <v>3.720504</v>
      </c>
      <c r="R125" s="455">
        <f t="shared" si="33"/>
        <v>2.2323024</v>
      </c>
      <c r="S125" s="455">
        <f t="shared" si="33"/>
        <v>0.7441008</v>
      </c>
      <c r="T125" s="455">
        <f t="shared" ref="T125:AF125" si="34">T123-T124</f>
        <v>0</v>
      </c>
      <c r="U125" s="455">
        <f t="shared" si="34"/>
        <v>0</v>
      </c>
      <c r="V125" s="455">
        <f t="shared" si="34"/>
        <v>0</v>
      </c>
      <c r="W125" s="455">
        <f t="shared" si="34"/>
        <v>0</v>
      </c>
      <c r="X125" s="455">
        <f t="shared" si="34"/>
        <v>0</v>
      </c>
      <c r="Y125" s="455">
        <f t="shared" si="34"/>
        <v>0</v>
      </c>
      <c r="Z125" s="455">
        <f t="shared" si="34"/>
        <v>0</v>
      </c>
      <c r="AA125" s="455">
        <f t="shared" si="34"/>
        <v>0</v>
      </c>
      <c r="AB125" s="455">
        <f t="shared" si="34"/>
        <v>0</v>
      </c>
      <c r="AC125" s="455">
        <f t="shared" si="34"/>
        <v>0</v>
      </c>
      <c r="AD125" s="455">
        <f t="shared" si="34"/>
        <v>0</v>
      </c>
      <c r="AE125" s="455">
        <f t="shared" si="34"/>
        <v>0</v>
      </c>
      <c r="AF125" s="455">
        <f t="shared" si="34"/>
        <v>0</v>
      </c>
    </row>
    <row r="126" ht="17.25" spans="2:32">
      <c r="B126" s="458">
        <v>4</v>
      </c>
      <c r="C126" s="459" t="s">
        <v>580</v>
      </c>
      <c r="D126" s="460">
        <f>SUM(F126:AF126)</f>
        <v>30271.19572</v>
      </c>
      <c r="E126" s="461" t="s">
        <v>24</v>
      </c>
      <c r="F126" s="462">
        <f>F117+F121+F124</f>
        <v>0</v>
      </c>
      <c r="G126" s="462">
        <f t="shared" ref="G126:AF126" si="35">G117+G121+G124</f>
        <v>0</v>
      </c>
      <c r="H126" s="462">
        <f t="shared" si="35"/>
        <v>0</v>
      </c>
      <c r="I126" s="462">
        <f t="shared" si="35"/>
        <v>888.410211</v>
      </c>
      <c r="J126" s="462">
        <f t="shared" si="35"/>
        <v>1049.59779697857</v>
      </c>
      <c r="K126" s="462">
        <f t="shared" si="35"/>
        <v>2099.19559395714</v>
      </c>
      <c r="L126" s="462">
        <f t="shared" si="35"/>
        <v>2099.19559395714</v>
      </c>
      <c r="M126" s="462">
        <f t="shared" si="35"/>
        <v>2099.19559395714</v>
      </c>
      <c r="N126" s="462">
        <f t="shared" si="35"/>
        <v>2099.19559395714</v>
      </c>
      <c r="O126" s="462">
        <f t="shared" si="35"/>
        <v>2099.19559395714</v>
      </c>
      <c r="P126" s="462">
        <f t="shared" si="35"/>
        <v>2099.19559395714</v>
      </c>
      <c r="Q126" s="462">
        <f t="shared" si="35"/>
        <v>2099.19559395714</v>
      </c>
      <c r="R126" s="462">
        <f t="shared" si="35"/>
        <v>2099.19559395714</v>
      </c>
      <c r="S126" s="462">
        <f t="shared" si="35"/>
        <v>2099.19559395714</v>
      </c>
      <c r="T126" s="462">
        <f t="shared" si="35"/>
        <v>2098.45149315714</v>
      </c>
      <c r="U126" s="462">
        <f t="shared" si="35"/>
        <v>2097.70739235714</v>
      </c>
      <c r="V126" s="462">
        <f t="shared" si="35"/>
        <v>2097.70739235714</v>
      </c>
      <c r="W126" s="462">
        <f t="shared" si="35"/>
        <v>2097.70739235714</v>
      </c>
      <c r="X126" s="462">
        <f t="shared" si="35"/>
        <v>1048.85369617856</v>
      </c>
      <c r="Y126" s="462">
        <f t="shared" si="35"/>
        <v>0</v>
      </c>
      <c r="Z126" s="462">
        <f t="shared" si="35"/>
        <v>0</v>
      </c>
      <c r="AA126" s="462">
        <f t="shared" si="35"/>
        <v>0</v>
      </c>
      <c r="AB126" s="462">
        <f t="shared" si="35"/>
        <v>0</v>
      </c>
      <c r="AC126" s="462">
        <f t="shared" si="35"/>
        <v>0</v>
      </c>
      <c r="AD126" s="462">
        <f t="shared" si="35"/>
        <v>0</v>
      </c>
      <c r="AE126" s="462">
        <f t="shared" si="35"/>
        <v>0</v>
      </c>
      <c r="AF126" s="508">
        <f t="shared" si="35"/>
        <v>0</v>
      </c>
    </row>
    <row r="127" ht="17.25" spans="2:32">
      <c r="B127" s="458">
        <v>5</v>
      </c>
      <c r="C127" s="463" t="s">
        <v>581</v>
      </c>
      <c r="D127" s="460"/>
      <c r="E127" s="461" t="s">
        <v>24</v>
      </c>
      <c r="F127" s="462">
        <f>F119+F122+F125</f>
        <v>0</v>
      </c>
      <c r="G127" s="462">
        <f t="shared" ref="G127:AF127" si="36">G119+G122+G125</f>
        <v>0</v>
      </c>
      <c r="H127" s="462">
        <f t="shared" si="36"/>
        <v>30016</v>
      </c>
      <c r="I127" s="462">
        <f t="shared" si="36"/>
        <v>29382.785509</v>
      </c>
      <c r="J127" s="462">
        <f t="shared" si="36"/>
        <v>28333.1877120214</v>
      </c>
      <c r="K127" s="462">
        <f t="shared" si="36"/>
        <v>26233.9921180643</v>
      </c>
      <c r="L127" s="462">
        <f t="shared" si="36"/>
        <v>24134.7965241071</v>
      </c>
      <c r="M127" s="462">
        <f t="shared" si="36"/>
        <v>22035.60093015</v>
      </c>
      <c r="N127" s="462">
        <f t="shared" si="36"/>
        <v>19936.4053361929</v>
      </c>
      <c r="O127" s="462">
        <f t="shared" si="36"/>
        <v>17837.2097422357</v>
      </c>
      <c r="P127" s="462">
        <f t="shared" si="36"/>
        <v>15738.0141482786</v>
      </c>
      <c r="Q127" s="462">
        <f t="shared" si="36"/>
        <v>13638.8185543214</v>
      </c>
      <c r="R127" s="462">
        <f t="shared" si="36"/>
        <v>11539.6229603643</v>
      </c>
      <c r="S127" s="462">
        <f t="shared" si="36"/>
        <v>9440.42736640714</v>
      </c>
      <c r="T127" s="462">
        <f t="shared" si="36"/>
        <v>7341.97587325</v>
      </c>
      <c r="U127" s="462">
        <f t="shared" si="36"/>
        <v>5244.26848089285</v>
      </c>
      <c r="V127" s="462">
        <f t="shared" si="36"/>
        <v>3146.56108853571</v>
      </c>
      <c r="W127" s="462">
        <f t="shared" si="36"/>
        <v>1048.85369617856</v>
      </c>
      <c r="X127" s="462">
        <f t="shared" si="36"/>
        <v>0</v>
      </c>
      <c r="Y127" s="462">
        <f t="shared" si="36"/>
        <v>0</v>
      </c>
      <c r="Z127" s="462">
        <f t="shared" si="36"/>
        <v>0</v>
      </c>
      <c r="AA127" s="462">
        <f t="shared" si="36"/>
        <v>0</v>
      </c>
      <c r="AB127" s="462">
        <f t="shared" si="36"/>
        <v>0</v>
      </c>
      <c r="AC127" s="462">
        <f t="shared" si="36"/>
        <v>0</v>
      </c>
      <c r="AD127" s="462">
        <f t="shared" si="36"/>
        <v>0</v>
      </c>
      <c r="AE127" s="462">
        <f t="shared" si="36"/>
        <v>0</v>
      </c>
      <c r="AF127" s="508">
        <f t="shared" si="36"/>
        <v>0</v>
      </c>
    </row>
    <row r="128" spans="2:32">
      <c r="B128" s="464"/>
      <c r="C128" s="375"/>
      <c r="D128" s="465"/>
      <c r="F128" s="466"/>
      <c r="G128" s="466"/>
      <c r="H128" s="466"/>
      <c r="I128" s="466"/>
      <c r="J128" s="466"/>
      <c r="K128" s="466"/>
      <c r="L128" s="466"/>
      <c r="M128" s="466"/>
      <c r="N128" s="466"/>
      <c r="O128" s="466"/>
      <c r="P128" s="466"/>
      <c r="Q128" s="466"/>
      <c r="R128" s="466"/>
      <c r="S128" s="466"/>
      <c r="T128" s="466"/>
      <c r="U128" s="466"/>
      <c r="V128" s="466"/>
      <c r="W128" s="466"/>
      <c r="X128" s="466"/>
      <c r="Y128" s="466"/>
      <c r="Z128" s="466"/>
      <c r="AA128" s="466"/>
      <c r="AB128" s="466"/>
      <c r="AC128" s="466"/>
      <c r="AD128" s="466"/>
      <c r="AE128" s="466"/>
      <c r="AF128" s="466"/>
    </row>
    <row r="129" ht="17.25" spans="2:5">
      <c r="B129" s="397" t="s">
        <v>589</v>
      </c>
      <c r="C129" s="398"/>
      <c r="D129" s="399"/>
      <c r="E129" s="379"/>
    </row>
    <row r="130" ht="19.8" customHeight="1" spans="2:32">
      <c r="B130" s="509" t="s">
        <v>15</v>
      </c>
      <c r="C130" s="510" t="s">
        <v>16</v>
      </c>
      <c r="D130" s="510" t="s">
        <v>17</v>
      </c>
      <c r="E130" s="511" t="s">
        <v>18</v>
      </c>
      <c r="F130" s="98" t="s">
        <v>464</v>
      </c>
      <c r="G130" s="98" t="s">
        <v>465</v>
      </c>
      <c r="H130" s="98" t="s">
        <v>466</v>
      </c>
      <c r="I130" s="126">
        <v>45107</v>
      </c>
      <c r="J130" s="126">
        <v>45261</v>
      </c>
      <c r="K130" s="98" t="s">
        <v>20</v>
      </c>
      <c r="L130" s="98" t="s">
        <v>467</v>
      </c>
      <c r="M130" s="98" t="s">
        <v>468</v>
      </c>
      <c r="N130" s="98" t="s">
        <v>469</v>
      </c>
      <c r="O130" s="98" t="s">
        <v>470</v>
      </c>
      <c r="P130" s="98" t="s">
        <v>471</v>
      </c>
      <c r="Q130" s="98" t="s">
        <v>472</v>
      </c>
      <c r="R130" s="98" t="s">
        <v>473</v>
      </c>
      <c r="S130" s="98" t="s">
        <v>474</v>
      </c>
      <c r="T130" s="98" t="s">
        <v>475</v>
      </c>
      <c r="U130" s="98" t="s">
        <v>476</v>
      </c>
      <c r="V130" s="98" t="s">
        <v>477</v>
      </c>
      <c r="W130" s="98" t="s">
        <v>478</v>
      </c>
      <c r="X130" s="98" t="s">
        <v>479</v>
      </c>
      <c r="Y130" s="98" t="s">
        <v>480</v>
      </c>
      <c r="Z130" s="98" t="s">
        <v>481</v>
      </c>
      <c r="AA130" s="98" t="s">
        <v>482</v>
      </c>
      <c r="AB130" s="98" t="s">
        <v>483</v>
      </c>
      <c r="AC130" s="98" t="s">
        <v>484</v>
      </c>
      <c r="AD130" s="98" t="s">
        <v>485</v>
      </c>
      <c r="AE130" s="98" t="s">
        <v>486</v>
      </c>
      <c r="AF130" s="525">
        <v>53051</v>
      </c>
    </row>
    <row r="131" ht="19.8" customHeight="1" spans="2:32">
      <c r="B131" s="512"/>
      <c r="C131" s="513"/>
      <c r="D131" s="513"/>
      <c r="E131" s="514"/>
      <c r="F131" s="14">
        <v>1</v>
      </c>
      <c r="G131" s="14">
        <v>2</v>
      </c>
      <c r="H131" s="14">
        <v>3</v>
      </c>
      <c r="I131" s="14">
        <v>4</v>
      </c>
      <c r="J131" s="38">
        <v>5</v>
      </c>
      <c r="K131" s="38">
        <v>6</v>
      </c>
      <c r="L131" s="38">
        <v>7</v>
      </c>
      <c r="M131" s="38">
        <v>8</v>
      </c>
      <c r="N131" s="38">
        <v>9</v>
      </c>
      <c r="O131" s="38">
        <v>10</v>
      </c>
      <c r="P131" s="38">
        <v>11</v>
      </c>
      <c r="Q131" s="38">
        <v>12</v>
      </c>
      <c r="R131" s="38">
        <v>13</v>
      </c>
      <c r="S131" s="38">
        <v>14</v>
      </c>
      <c r="T131" s="38">
        <v>15</v>
      </c>
      <c r="U131" s="38">
        <v>16</v>
      </c>
      <c r="V131" s="38">
        <v>17</v>
      </c>
      <c r="W131" s="38">
        <v>18</v>
      </c>
      <c r="X131" s="38">
        <v>19</v>
      </c>
      <c r="Y131" s="38">
        <v>20</v>
      </c>
      <c r="Z131" s="38">
        <v>21</v>
      </c>
      <c r="AA131" s="38">
        <v>22</v>
      </c>
      <c r="AB131" s="38">
        <v>23</v>
      </c>
      <c r="AC131" s="38">
        <v>24</v>
      </c>
      <c r="AD131" s="38">
        <v>25</v>
      </c>
      <c r="AE131" s="38">
        <v>26</v>
      </c>
      <c r="AF131" s="526">
        <v>27</v>
      </c>
    </row>
    <row r="132" spans="2:32">
      <c r="B132" s="452">
        <v>1</v>
      </c>
      <c r="C132" s="259" t="s">
        <v>583</v>
      </c>
      <c r="D132" s="409">
        <f ca="1" t="shared" ref="D132:D135" si="37">SUM(F132:AF132)</f>
        <v>153809.617389504</v>
      </c>
      <c r="E132" s="337" t="s">
        <v>24</v>
      </c>
      <c r="F132" s="515">
        <f>F31+F80+F117</f>
        <v>0</v>
      </c>
      <c r="G132" s="515">
        <f t="shared" ref="G132:AF132" si="38">G31+G80+G117</f>
        <v>0</v>
      </c>
      <c r="H132" s="515">
        <f t="shared" si="38"/>
        <v>0</v>
      </c>
      <c r="I132" s="515">
        <f t="shared" si="38"/>
        <v>887.292227</v>
      </c>
      <c r="J132" s="515">
        <f ca="1" t="shared" si="38"/>
        <v>2078.47387675777</v>
      </c>
      <c r="K132" s="515">
        <f ca="1" t="shared" si="38"/>
        <v>8275.42847583235</v>
      </c>
      <c r="L132" s="515">
        <f ca="1" t="shared" si="38"/>
        <v>8961.84192955182</v>
      </c>
      <c r="M132" s="515">
        <f ca="1" t="shared" si="38"/>
        <v>8961.84192955182</v>
      </c>
      <c r="N132" s="515">
        <f ca="1" t="shared" si="38"/>
        <v>8961.84192955182</v>
      </c>
      <c r="O132" s="515">
        <f ca="1" t="shared" si="38"/>
        <v>8961.84192955182</v>
      </c>
      <c r="P132" s="515">
        <f ca="1" t="shared" si="38"/>
        <v>8961.84192955182</v>
      </c>
      <c r="Q132" s="515">
        <f ca="1" t="shared" si="38"/>
        <v>8961.84192955182</v>
      </c>
      <c r="R132" s="515">
        <f ca="1" t="shared" si="38"/>
        <v>8961.84192955182</v>
      </c>
      <c r="S132" s="515">
        <f ca="1" t="shared" si="38"/>
        <v>8961.84192955182</v>
      </c>
      <c r="T132" s="515">
        <f ca="1" t="shared" si="38"/>
        <v>8961.84192955182</v>
      </c>
      <c r="U132" s="515">
        <f ca="1" t="shared" si="38"/>
        <v>8961.84192955182</v>
      </c>
      <c r="V132" s="515">
        <f ca="1" t="shared" si="38"/>
        <v>8961.84192955182</v>
      </c>
      <c r="W132" s="515">
        <f ca="1" t="shared" si="38"/>
        <v>8961.84192955182</v>
      </c>
      <c r="X132" s="515">
        <f ca="1" t="shared" si="38"/>
        <v>7912.98823337324</v>
      </c>
      <c r="Y132" s="515">
        <f ca="1" t="shared" si="38"/>
        <v>6864.13453719467</v>
      </c>
      <c r="Z132" s="515">
        <f ca="1" t="shared" si="38"/>
        <v>6864.13453719467</v>
      </c>
      <c r="AA132" s="515">
        <f ca="1" t="shared" si="38"/>
        <v>6864.13453719467</v>
      </c>
      <c r="AB132" s="515">
        <f ca="1" t="shared" si="38"/>
        <v>5834.51435661547</v>
      </c>
      <c r="AC132" s="515">
        <f ca="1" t="shared" si="38"/>
        <v>686.413453719467</v>
      </c>
      <c r="AD132" s="515">
        <f t="shared" si="38"/>
        <v>0</v>
      </c>
      <c r="AE132" s="515">
        <f t="shared" si="38"/>
        <v>0</v>
      </c>
      <c r="AF132" s="515">
        <f t="shared" si="38"/>
        <v>0</v>
      </c>
    </row>
    <row r="133" spans="2:32">
      <c r="B133" s="452">
        <v>2</v>
      </c>
      <c r="C133" s="259" t="s">
        <v>586</v>
      </c>
      <c r="D133" s="409">
        <f t="shared" si="37"/>
        <v>1834.8623853211</v>
      </c>
      <c r="E133" s="337" t="s">
        <v>24</v>
      </c>
      <c r="F133" s="515">
        <f>F39+F121</f>
        <v>0</v>
      </c>
      <c r="G133" s="515">
        <f t="shared" ref="G133:AF133" si="39">G39+G121</f>
        <v>0</v>
      </c>
      <c r="H133" s="515">
        <f t="shared" si="39"/>
        <v>0</v>
      </c>
      <c r="I133" s="515">
        <f t="shared" si="39"/>
        <v>0</v>
      </c>
      <c r="J133" s="515">
        <f t="shared" si="39"/>
        <v>0</v>
      </c>
      <c r="K133" s="515">
        <f t="shared" si="39"/>
        <v>0</v>
      </c>
      <c r="L133" s="515">
        <f t="shared" si="39"/>
        <v>0</v>
      </c>
      <c r="M133" s="515">
        <f t="shared" si="39"/>
        <v>91.743119266055</v>
      </c>
      <c r="N133" s="515">
        <f t="shared" si="39"/>
        <v>91.743119266055</v>
      </c>
      <c r="O133" s="515">
        <f t="shared" si="39"/>
        <v>91.743119266055</v>
      </c>
      <c r="P133" s="515">
        <f t="shared" si="39"/>
        <v>91.743119266055</v>
      </c>
      <c r="Q133" s="515">
        <f t="shared" si="39"/>
        <v>91.743119266055</v>
      </c>
      <c r="R133" s="515">
        <f t="shared" si="39"/>
        <v>91.743119266055</v>
      </c>
      <c r="S133" s="515">
        <f t="shared" si="39"/>
        <v>91.743119266055</v>
      </c>
      <c r="T133" s="515">
        <f t="shared" si="39"/>
        <v>91.743119266055</v>
      </c>
      <c r="U133" s="515">
        <f t="shared" si="39"/>
        <v>91.743119266055</v>
      </c>
      <c r="V133" s="515">
        <f t="shared" si="39"/>
        <v>91.743119266055</v>
      </c>
      <c r="W133" s="515">
        <f t="shared" si="39"/>
        <v>91.743119266055</v>
      </c>
      <c r="X133" s="515">
        <f t="shared" si="39"/>
        <v>91.743119266055</v>
      </c>
      <c r="Y133" s="515">
        <f t="shared" si="39"/>
        <v>91.743119266055</v>
      </c>
      <c r="Z133" s="515">
        <f t="shared" si="39"/>
        <v>91.743119266055</v>
      </c>
      <c r="AA133" s="515">
        <f t="shared" si="39"/>
        <v>91.743119266055</v>
      </c>
      <c r="AB133" s="515">
        <f t="shared" si="39"/>
        <v>91.743119266055</v>
      </c>
      <c r="AC133" s="515">
        <f t="shared" si="39"/>
        <v>91.743119266055</v>
      </c>
      <c r="AD133" s="515">
        <f t="shared" si="39"/>
        <v>91.743119266055</v>
      </c>
      <c r="AE133" s="515">
        <f t="shared" si="39"/>
        <v>91.743119266055</v>
      </c>
      <c r="AF133" s="515">
        <f t="shared" si="39"/>
        <v>91.743119266055</v>
      </c>
    </row>
    <row r="134" spans="2:32">
      <c r="B134" s="452">
        <v>3</v>
      </c>
      <c r="C134" s="259" t="s">
        <v>588</v>
      </c>
      <c r="D134" s="409">
        <f t="shared" si="37"/>
        <v>1816</v>
      </c>
      <c r="E134" s="337" t="s">
        <v>24</v>
      </c>
      <c r="F134" s="515">
        <f>F72+F124</f>
        <v>0</v>
      </c>
      <c r="G134" s="515">
        <f t="shared" ref="G134:AF134" si="40">G72+G124</f>
        <v>0</v>
      </c>
      <c r="H134" s="515">
        <f t="shared" si="40"/>
        <v>0</v>
      </c>
      <c r="I134" s="515">
        <f t="shared" si="40"/>
        <v>1.117984</v>
      </c>
      <c r="J134" s="515">
        <f t="shared" si="40"/>
        <v>15.7441008</v>
      </c>
      <c r="K134" s="515">
        <f t="shared" si="40"/>
        <v>91.4882016</v>
      </c>
      <c r="L134" s="515">
        <f t="shared" si="40"/>
        <v>101.4882016</v>
      </c>
      <c r="M134" s="515">
        <f t="shared" si="40"/>
        <v>101.4882016</v>
      </c>
      <c r="N134" s="515">
        <f t="shared" si="40"/>
        <v>101.4882016</v>
      </c>
      <c r="O134" s="515">
        <f t="shared" si="40"/>
        <v>101.4882016</v>
      </c>
      <c r="P134" s="515">
        <f t="shared" si="40"/>
        <v>101.4882016</v>
      </c>
      <c r="Q134" s="515">
        <f t="shared" si="40"/>
        <v>101.4882016</v>
      </c>
      <c r="R134" s="515">
        <f t="shared" si="40"/>
        <v>101.4882016</v>
      </c>
      <c r="S134" s="515">
        <f t="shared" si="40"/>
        <v>101.4882016</v>
      </c>
      <c r="T134" s="515">
        <f t="shared" si="40"/>
        <v>100.7441008</v>
      </c>
      <c r="U134" s="515">
        <f t="shared" si="40"/>
        <v>100</v>
      </c>
      <c r="V134" s="515">
        <f t="shared" si="40"/>
        <v>100</v>
      </c>
      <c r="W134" s="515">
        <f t="shared" si="40"/>
        <v>100</v>
      </c>
      <c r="X134" s="515">
        <f t="shared" si="40"/>
        <v>100</v>
      </c>
      <c r="Y134" s="515">
        <f t="shared" si="40"/>
        <v>100</v>
      </c>
      <c r="Z134" s="515">
        <f t="shared" si="40"/>
        <v>100</v>
      </c>
      <c r="AA134" s="515">
        <f t="shared" si="40"/>
        <v>100</v>
      </c>
      <c r="AB134" s="515">
        <f t="shared" si="40"/>
        <v>85</v>
      </c>
      <c r="AC134" s="515">
        <f t="shared" si="40"/>
        <v>10</v>
      </c>
      <c r="AD134" s="515">
        <f t="shared" si="40"/>
        <v>0</v>
      </c>
      <c r="AE134" s="515">
        <f t="shared" si="40"/>
        <v>0</v>
      </c>
      <c r="AF134" s="515">
        <f t="shared" si="40"/>
        <v>0</v>
      </c>
    </row>
    <row r="135" ht="17.25" spans="2:32">
      <c r="B135" s="516">
        <v>4</v>
      </c>
      <c r="C135" s="517" t="s">
        <v>590</v>
      </c>
      <c r="D135" s="518">
        <f ca="1" t="shared" si="37"/>
        <v>157460.479774825</v>
      </c>
      <c r="E135" s="519" t="s">
        <v>24</v>
      </c>
      <c r="F135" s="518">
        <f>SUM(F132:F134)</f>
        <v>0</v>
      </c>
      <c r="G135" s="518">
        <f t="shared" ref="G135:AF135" si="41">SUM(G132:G134)</f>
        <v>0</v>
      </c>
      <c r="H135" s="518">
        <f t="shared" si="41"/>
        <v>0</v>
      </c>
      <c r="I135" s="518">
        <f t="shared" si="41"/>
        <v>888.410211</v>
      </c>
      <c r="J135" s="518">
        <f ca="1" t="shared" si="41"/>
        <v>2094.21797755777</v>
      </c>
      <c r="K135" s="518">
        <f ca="1" t="shared" si="41"/>
        <v>8366.91667743235</v>
      </c>
      <c r="L135" s="518">
        <f ca="1" t="shared" si="41"/>
        <v>9063.33013115182</v>
      </c>
      <c r="M135" s="518">
        <f ca="1" t="shared" si="41"/>
        <v>9155.07325041787</v>
      </c>
      <c r="N135" s="518">
        <f ca="1" t="shared" si="41"/>
        <v>9155.07325041787</v>
      </c>
      <c r="O135" s="518">
        <f ca="1" t="shared" si="41"/>
        <v>9155.07325041787</v>
      </c>
      <c r="P135" s="518">
        <f ca="1" t="shared" si="41"/>
        <v>9155.07325041787</v>
      </c>
      <c r="Q135" s="518">
        <f ca="1" t="shared" si="41"/>
        <v>9155.07325041787</v>
      </c>
      <c r="R135" s="518">
        <f ca="1" t="shared" si="41"/>
        <v>9155.07325041787</v>
      </c>
      <c r="S135" s="518">
        <f ca="1" t="shared" si="41"/>
        <v>9155.07325041787</v>
      </c>
      <c r="T135" s="518">
        <f ca="1" t="shared" si="41"/>
        <v>9154.32914961787</v>
      </c>
      <c r="U135" s="518">
        <f ca="1" t="shared" si="41"/>
        <v>9153.58504881787</v>
      </c>
      <c r="V135" s="518">
        <f ca="1" t="shared" si="41"/>
        <v>9153.58504881787</v>
      </c>
      <c r="W135" s="518">
        <f ca="1" t="shared" si="41"/>
        <v>9153.58504881787</v>
      </c>
      <c r="X135" s="518">
        <f ca="1" t="shared" si="41"/>
        <v>8104.73135263929</v>
      </c>
      <c r="Y135" s="518">
        <f ca="1" t="shared" si="41"/>
        <v>7055.87765646073</v>
      </c>
      <c r="Z135" s="518">
        <f ca="1" t="shared" si="41"/>
        <v>7055.87765646073</v>
      </c>
      <c r="AA135" s="518">
        <f ca="1" t="shared" si="41"/>
        <v>7055.87765646073</v>
      </c>
      <c r="AB135" s="518">
        <f ca="1" t="shared" si="41"/>
        <v>6011.25747588153</v>
      </c>
      <c r="AC135" s="518">
        <f ca="1" t="shared" si="41"/>
        <v>788.156572985522</v>
      </c>
      <c r="AD135" s="518">
        <f t="shared" si="41"/>
        <v>91.743119266055</v>
      </c>
      <c r="AE135" s="518">
        <f t="shared" si="41"/>
        <v>91.743119266055</v>
      </c>
      <c r="AF135" s="518">
        <f t="shared" si="41"/>
        <v>91.743119266055</v>
      </c>
    </row>
    <row r="136" spans="2:32">
      <c r="B136" s="464"/>
      <c r="C136" s="375"/>
      <c r="D136" s="465"/>
      <c r="F136" s="466"/>
      <c r="G136" s="466"/>
      <c r="H136" s="466"/>
      <c r="I136" s="466"/>
      <c r="J136" s="466"/>
      <c r="K136" s="466"/>
      <c r="L136" s="466"/>
      <c r="M136" s="466"/>
      <c r="N136" s="466"/>
      <c r="O136" s="466"/>
      <c r="P136" s="466"/>
      <c r="Q136" s="466"/>
      <c r="R136" s="466"/>
      <c r="S136" s="466"/>
      <c r="T136" s="466"/>
      <c r="U136" s="466"/>
      <c r="V136" s="466"/>
      <c r="W136" s="466"/>
      <c r="X136" s="466"/>
      <c r="Y136" s="466"/>
      <c r="Z136" s="466"/>
      <c r="AA136" s="466"/>
      <c r="AB136" s="466"/>
      <c r="AC136" s="466"/>
      <c r="AD136" s="466"/>
      <c r="AE136" s="466"/>
      <c r="AF136" s="466"/>
    </row>
    <row r="137" spans="3:3">
      <c r="C137" s="520" t="s">
        <v>591</v>
      </c>
    </row>
    <row r="138" spans="3:3">
      <c r="C138" s="380"/>
    </row>
    <row r="139" ht="17.25" spans="3:3">
      <c r="C139" s="233" t="s">
        <v>535</v>
      </c>
    </row>
    <row r="140" spans="3:4">
      <c r="C140" s="377" t="s">
        <v>168</v>
      </c>
      <c r="D140" s="378">
        <f>'表1-资金筹措及还本付息表'!D8</f>
        <v>139000</v>
      </c>
    </row>
    <row r="141" spans="3:4">
      <c r="C141" s="381" t="s">
        <v>537</v>
      </c>
      <c r="D141" s="382">
        <f>参数输入表!I152</f>
        <v>14222.8435618205</v>
      </c>
    </row>
    <row r="142" spans="3:6">
      <c r="C142" s="381" t="s">
        <v>316</v>
      </c>
      <c r="D142" s="383">
        <f>D140-D141-参数输入表!I441</f>
        <v>122977.156438179</v>
      </c>
      <c r="F142" s="380" t="s">
        <v>592</v>
      </c>
    </row>
    <row r="143" spans="3:6">
      <c r="C143" s="381" t="s">
        <v>539</v>
      </c>
      <c r="D143" s="382" t="s">
        <v>540</v>
      </c>
      <c r="F143" s="380" t="s">
        <v>593</v>
      </c>
    </row>
    <row r="144" spans="3:4">
      <c r="C144" s="381" t="s">
        <v>542</v>
      </c>
      <c r="D144" s="384">
        <f>参数输入表!I438</f>
        <v>18</v>
      </c>
    </row>
    <row r="145" ht="17.25" spans="3:4">
      <c r="C145" s="385" t="s">
        <v>543</v>
      </c>
      <c r="D145" s="386">
        <f>参数输入表!I439</f>
        <v>0</v>
      </c>
    </row>
    <row r="146" ht="20" spans="7:13">
      <c r="G146" s="310" t="s">
        <v>594</v>
      </c>
      <c r="H146" s="310"/>
      <c r="I146" s="310"/>
      <c r="J146" s="310"/>
      <c r="K146" s="310"/>
      <c r="L146" s="310"/>
      <c r="M146" s="310"/>
    </row>
    <row r="147" ht="17.25" spans="2:5">
      <c r="B147" s="397" t="s">
        <v>595</v>
      </c>
      <c r="C147" s="398"/>
      <c r="D147" s="399"/>
      <c r="E147" s="379"/>
    </row>
    <row r="148" ht="19.8" customHeight="1" spans="2:32">
      <c r="B148" s="509" t="s">
        <v>15</v>
      </c>
      <c r="C148" s="510" t="s">
        <v>16</v>
      </c>
      <c r="D148" s="510" t="s">
        <v>17</v>
      </c>
      <c r="E148" s="511" t="s">
        <v>18</v>
      </c>
      <c r="F148" s="98" t="s">
        <v>464</v>
      </c>
      <c r="G148" s="98" t="s">
        <v>465</v>
      </c>
      <c r="H148" s="98" t="s">
        <v>466</v>
      </c>
      <c r="I148" s="126">
        <v>45107</v>
      </c>
      <c r="J148" s="126">
        <v>45261</v>
      </c>
      <c r="K148" s="98" t="s">
        <v>20</v>
      </c>
      <c r="L148" s="98" t="s">
        <v>467</v>
      </c>
      <c r="M148" s="98" t="s">
        <v>468</v>
      </c>
      <c r="N148" s="98" t="s">
        <v>469</v>
      </c>
      <c r="O148" s="98" t="s">
        <v>470</v>
      </c>
      <c r="P148" s="98" t="s">
        <v>471</v>
      </c>
      <c r="Q148" s="98" t="s">
        <v>472</v>
      </c>
      <c r="R148" s="98" t="s">
        <v>473</v>
      </c>
      <c r="S148" s="98" t="s">
        <v>474</v>
      </c>
      <c r="T148" s="98" t="s">
        <v>475</v>
      </c>
      <c r="U148" s="98" t="s">
        <v>476</v>
      </c>
      <c r="V148" s="98" t="s">
        <v>477</v>
      </c>
      <c r="W148" s="98" t="s">
        <v>478</v>
      </c>
      <c r="X148" s="98" t="s">
        <v>479</v>
      </c>
      <c r="Y148" s="98" t="s">
        <v>480</v>
      </c>
      <c r="Z148" s="98" t="s">
        <v>481</v>
      </c>
      <c r="AA148" s="98" t="s">
        <v>482</v>
      </c>
      <c r="AB148" s="98" t="s">
        <v>483</v>
      </c>
      <c r="AC148" s="98" t="s">
        <v>484</v>
      </c>
      <c r="AD148" s="98" t="s">
        <v>485</v>
      </c>
      <c r="AE148" s="98" t="s">
        <v>486</v>
      </c>
      <c r="AF148" s="525">
        <v>53051</v>
      </c>
    </row>
    <row r="149" ht="19.8" customHeight="1" spans="2:32">
      <c r="B149" s="512"/>
      <c r="C149" s="513"/>
      <c r="D149" s="513"/>
      <c r="E149" s="514"/>
      <c r="F149" s="14">
        <v>1</v>
      </c>
      <c r="G149" s="14">
        <v>2</v>
      </c>
      <c r="H149" s="14">
        <v>3</v>
      </c>
      <c r="I149" s="14">
        <v>4</v>
      </c>
      <c r="J149" s="38">
        <v>5</v>
      </c>
      <c r="K149" s="38">
        <v>6</v>
      </c>
      <c r="L149" s="38">
        <v>7</v>
      </c>
      <c r="M149" s="38">
        <v>8</v>
      </c>
      <c r="N149" s="38">
        <v>9</v>
      </c>
      <c r="O149" s="38">
        <v>10</v>
      </c>
      <c r="P149" s="38">
        <v>11</v>
      </c>
      <c r="Q149" s="38">
        <v>12</v>
      </c>
      <c r="R149" s="38">
        <v>13</v>
      </c>
      <c r="S149" s="38">
        <v>14</v>
      </c>
      <c r="T149" s="38">
        <v>15</v>
      </c>
      <c r="U149" s="38">
        <v>16</v>
      </c>
      <c r="V149" s="38">
        <v>17</v>
      </c>
      <c r="W149" s="38">
        <v>18</v>
      </c>
      <c r="X149" s="38">
        <v>19</v>
      </c>
      <c r="Y149" s="38">
        <v>20</v>
      </c>
      <c r="Z149" s="38">
        <v>21</v>
      </c>
      <c r="AA149" s="38">
        <v>22</v>
      </c>
      <c r="AB149" s="38">
        <v>23</v>
      </c>
      <c r="AC149" s="38">
        <v>24</v>
      </c>
      <c r="AD149" s="38">
        <v>25</v>
      </c>
      <c r="AE149" s="38">
        <v>26</v>
      </c>
      <c r="AF149" s="526">
        <v>27</v>
      </c>
    </row>
    <row r="150" spans="2:32">
      <c r="B150" s="427">
        <v>1</v>
      </c>
      <c r="C150" s="405" t="s">
        <v>488</v>
      </c>
      <c r="D150" s="521"/>
      <c r="E150" s="521" t="s">
        <v>78</v>
      </c>
      <c r="F150" s="522"/>
      <c r="G150" s="523"/>
      <c r="H150" s="523"/>
      <c r="I150" s="523"/>
      <c r="J150" s="431">
        <f>参数输入表!$I$35</f>
        <v>0.15</v>
      </c>
      <c r="K150" s="432">
        <f>参数输入表!$I$36+J150</f>
        <v>0.9</v>
      </c>
      <c r="L150" s="431">
        <f>IF(L149-参数输入表!$I$7-参数输入表!$I$14&gt;0,100%)</f>
        <v>1</v>
      </c>
      <c r="M150" s="431">
        <f>IF(M149-参数输入表!$I$7-参数输入表!$I$14&gt;0,100%)</f>
        <v>1</v>
      </c>
      <c r="N150" s="431">
        <f>IF(N149-参数输入表!$I$7-参数输入表!$I$14&gt;0,100%)</f>
        <v>1</v>
      </c>
      <c r="O150" s="431">
        <f>IF(O149-参数输入表!$I$7-参数输入表!$I$14&gt;0,100%)</f>
        <v>1</v>
      </c>
      <c r="P150" s="431">
        <f>IF(P149-参数输入表!$I$7-参数输入表!$I$14&gt;0,100%)</f>
        <v>1</v>
      </c>
      <c r="Q150" s="431">
        <f>IF(Q149-参数输入表!$I$7-参数输入表!$I$14&gt;0,100%)</f>
        <v>1</v>
      </c>
      <c r="R150" s="431">
        <f>IF(R149-参数输入表!$I$7-参数输入表!$I$14&gt;0,100%)</f>
        <v>1</v>
      </c>
      <c r="S150" s="431">
        <f>IF(S149-参数输入表!$I$7-参数输入表!$I$14&gt;0,100%)</f>
        <v>1</v>
      </c>
      <c r="T150" s="431">
        <f>IF(T149-参数输入表!$I$7-参数输入表!$I$14&gt;0,100%)</f>
        <v>1</v>
      </c>
      <c r="U150" s="431">
        <f>IF(U149-参数输入表!$I$7-参数输入表!$I$14&gt;0,100%)</f>
        <v>1</v>
      </c>
      <c r="V150" s="431">
        <f>IF(V149-参数输入表!$I$7-参数输入表!$I$14&gt;0,100%)</f>
        <v>1</v>
      </c>
      <c r="W150" s="431">
        <f>IF(W149-参数输入表!$I$7-参数输入表!$I$14&gt;0,100%)</f>
        <v>1</v>
      </c>
      <c r="X150" s="431">
        <f>IF(X149-参数输入表!$I$7-参数输入表!$I$14&gt;0,100%)</f>
        <v>1</v>
      </c>
      <c r="Y150" s="431">
        <f>IF(Y149-参数输入表!$I$7-参数输入表!$I$14&gt;0,100%)</f>
        <v>1</v>
      </c>
      <c r="Z150" s="431">
        <f>IF(Z149-参数输入表!$I$7-参数输入表!$I$14&gt;0,100%)</f>
        <v>1</v>
      </c>
      <c r="AA150" s="431">
        <f>IF(AA149-参数输入表!$I$7-参数输入表!$I$14&gt;0,100%)</f>
        <v>1</v>
      </c>
      <c r="AB150" s="431">
        <f>IF(AB149-参数输入表!$I$7-参数输入表!$I$14&gt;0,100%)</f>
        <v>1</v>
      </c>
      <c r="AC150" s="431">
        <f>IF(AC149-参数输入表!$I$7-参数输入表!$I$14&gt;0,100%)</f>
        <v>1</v>
      </c>
      <c r="AD150" s="431">
        <f>IF(AD149-参数输入表!$I$7-参数输入表!$I$14&gt;0,100%)</f>
        <v>1</v>
      </c>
      <c r="AE150" s="431">
        <f>IF(AE149-参数输入表!$I$7-参数输入表!$I$14&gt;0,100%)</f>
        <v>1</v>
      </c>
      <c r="AF150" s="431">
        <f>IF(AF149-参数输入表!$I$7-参数输入表!$I$14&gt;0,100%)</f>
        <v>1</v>
      </c>
    </row>
    <row r="151" ht="22.2" customHeight="1" spans="2:32">
      <c r="B151" s="408"/>
      <c r="C151" s="259" t="s">
        <v>596</v>
      </c>
      <c r="D151" s="515"/>
      <c r="E151" s="410" t="s">
        <v>24</v>
      </c>
      <c r="F151" s="411"/>
      <c r="G151" s="411"/>
      <c r="H151" s="411"/>
      <c r="I151" s="433"/>
      <c r="J151" s="433">
        <f>IF(J25-参数输入表!$I$14-参数输入表!$I$7&lt;0,(参数输入表!$I$145-参数输入表!$I$152-参数输入表!$I$441+$I$30)*J26,参数输入表!$I$145-参数输入表!$I$152-参数输入表!$I$441+$I$30)</f>
        <v>18446.5734657269</v>
      </c>
      <c r="K151" s="433">
        <f>IF(K25-参数输入表!$I$14-参数输入表!$I$7&lt;0,(参数输入表!$I$145-参数输入表!$I$152-参数输入表!$I$441+$I$30)*K26,参数输入表!$I$145-参数输入表!$I$152-参数输入表!$I$441+$I$30)</f>
        <v>122977.156438179</v>
      </c>
      <c r="L151" s="433">
        <f>IF(L25-参数输入表!$I$14-参数输入表!$I$7&lt;0,(参数输入表!$I$145-参数输入表!$I$152-参数输入表!$I$441+$I$30)*L26,参数输入表!$I$145-参数输入表!$I$152-参数输入表!$I$441+$I$30)</f>
        <v>122977.156438179</v>
      </c>
      <c r="M151" s="433">
        <f>IF(M25-参数输入表!$I$14-参数输入表!$I$7&lt;0,(参数输入表!$I$145-参数输入表!$I$152-参数输入表!$I$441+$I$30)*M26,参数输入表!$I$145-参数输入表!$I$152-参数输入表!$I$441+$I$30)</f>
        <v>122977.156438179</v>
      </c>
      <c r="N151" s="433">
        <f>IF(N25-参数输入表!$I$14-参数输入表!$I$7&lt;0,(参数输入表!$I$145-参数输入表!$I$152-参数输入表!$I$441+$I$30)*N26,参数输入表!$I$145-参数输入表!$I$152-参数输入表!$I$441+$I$30)</f>
        <v>122977.156438179</v>
      </c>
      <c r="O151" s="433">
        <f>IF(O25-参数输入表!$I$14-参数输入表!$I$7&lt;0,(参数输入表!$I$145-参数输入表!$I$152-参数输入表!$I$441+$I$30)*O26,参数输入表!$I$145-参数输入表!$I$152-参数输入表!$I$441+$I$30)</f>
        <v>122977.156438179</v>
      </c>
      <c r="P151" s="433">
        <f>IF(P25-参数输入表!$I$14-参数输入表!$I$7&lt;0,(参数输入表!$I$145-参数输入表!$I$152-参数输入表!$I$441+$I$30)*P26,参数输入表!$I$145-参数输入表!$I$152-参数输入表!$I$441+$I$30)</f>
        <v>122977.156438179</v>
      </c>
      <c r="Q151" s="433">
        <f>IF(Q25-参数输入表!$I$14-参数输入表!$I$7&lt;0,(参数输入表!$I$145-参数输入表!$I$152-参数输入表!$I$441+$I$30)*Q26,参数输入表!$I$145-参数输入表!$I$152-参数输入表!$I$441+$I$30)</f>
        <v>122977.156438179</v>
      </c>
      <c r="R151" s="433">
        <f>IF(R25-参数输入表!$I$14-参数输入表!$I$7&lt;0,(参数输入表!$I$145-参数输入表!$I$152-参数输入表!$I$441+$I$30)*R26,参数输入表!$I$145-参数输入表!$I$152-参数输入表!$I$441+$I$30)</f>
        <v>122977.156438179</v>
      </c>
      <c r="S151" s="433">
        <f>IF(S25-参数输入表!$I$14-参数输入表!$I$7&lt;0,(参数输入表!$I$145-参数输入表!$I$152-参数输入表!$I$441+$I$30)*S26,参数输入表!$I$145-参数输入表!$I$152-参数输入表!$I$441+$I$30)</f>
        <v>122977.156438179</v>
      </c>
      <c r="T151" s="433">
        <f>IF(T25-参数输入表!$I$14-参数输入表!$I$7&lt;0,(参数输入表!$I$145-参数输入表!$I$152-参数输入表!$I$441+$I$30)*T26,参数输入表!$I$145-参数输入表!$I$152-参数输入表!$I$441+$I$30)</f>
        <v>122977.156438179</v>
      </c>
      <c r="U151" s="433">
        <f>IF(U25-参数输入表!$I$14-参数输入表!$I$7&lt;0,(参数输入表!$I$145-参数输入表!$I$152-参数输入表!$I$441+$I$30)*U26,参数输入表!$I$145-参数输入表!$I$152-参数输入表!$I$441+$I$30)</f>
        <v>122977.156438179</v>
      </c>
      <c r="V151" s="433">
        <f>IF(V25-参数输入表!$I$14-参数输入表!$I$7&lt;0,(参数输入表!$I$145-参数输入表!$I$152-参数输入表!$I$441+$I$30)*V26,参数输入表!$I$145-参数输入表!$I$152-参数输入表!$I$441+$I$30)</f>
        <v>122977.156438179</v>
      </c>
      <c r="W151" s="433">
        <f>IF(W25-参数输入表!$I$14-参数输入表!$I$7&lt;0,(参数输入表!$I$145-参数输入表!$I$152-参数输入表!$I$441+$I$30)*W26,参数输入表!$I$145-参数输入表!$I$152-参数输入表!$I$441+$I$30)</f>
        <v>122977.156438179</v>
      </c>
      <c r="X151" s="433">
        <f>IF(X25-参数输入表!$I$14-参数输入表!$I$7&lt;0,(参数输入表!$I$145-参数输入表!$I$152-参数输入表!$I$441+$I$30)*X26,参数输入表!$I$145-参数输入表!$I$152-参数输入表!$I$441+$I$30)</f>
        <v>122977.156438179</v>
      </c>
      <c r="Y151" s="433">
        <f>IF(Y25-参数输入表!$I$14-参数输入表!$I$7&lt;0,(参数输入表!$I$145-参数输入表!$I$152-参数输入表!$I$441+$I$30)*Y26,参数输入表!$I$145-参数输入表!$I$152-参数输入表!$I$441+$I$30)</f>
        <v>122977.156438179</v>
      </c>
      <c r="Z151" s="433">
        <f>IF(Z25-参数输入表!$I$14-参数输入表!$I$7&lt;0,(参数输入表!$I$145-参数输入表!$I$152-参数输入表!$I$441+$I$30)*Z26,参数输入表!$I$145-参数输入表!$I$152-参数输入表!$I$441+$I$30)</f>
        <v>122977.156438179</v>
      </c>
      <c r="AA151" s="433">
        <f>IF(AA25-参数输入表!$I$14-参数输入表!$I$7&lt;0,(参数输入表!$I$145-参数输入表!$I$152-参数输入表!$I$441+$I$30)*AA26,参数输入表!$I$145-参数输入表!$I$152-参数输入表!$I$441+$I$30)</f>
        <v>122977.156438179</v>
      </c>
      <c r="AB151" s="433">
        <f>IF(AB25-参数输入表!$I$14-参数输入表!$I$7&lt;0,(参数输入表!$I$145-参数输入表!$I$152-参数输入表!$I$441+$I$30)*AB26,参数输入表!$I$145-参数输入表!$I$152-参数输入表!$I$441+$I$30)</f>
        <v>122977.156438179</v>
      </c>
      <c r="AC151" s="433">
        <f>IF(AC25-参数输入表!$I$14-参数输入表!$I$7&lt;0,(参数输入表!$I$145-参数输入表!$I$152-参数输入表!$I$441+$I$30)*AC26,参数输入表!$I$145-参数输入表!$I$152-参数输入表!$I$441+$I$30)</f>
        <v>122977.156438179</v>
      </c>
      <c r="AD151" s="433">
        <f>IF(AD25-参数输入表!$I$14-参数输入表!$I$7&lt;0,(参数输入表!$I$145-参数输入表!$I$152-参数输入表!$I$441+$I$30)*AD26,参数输入表!$I$145-参数输入表!$I$152-参数输入表!$I$441+$I$30)</f>
        <v>122977.156438179</v>
      </c>
      <c r="AE151" s="433">
        <f>IF(AE25-参数输入表!$I$14-参数输入表!$I$7&lt;0,(参数输入表!$I$145-参数输入表!$I$152-参数输入表!$I$441+$I$30)*AE26,参数输入表!$I$145-参数输入表!$I$152-参数输入表!$I$441+$I$30)</f>
        <v>122977.156438179</v>
      </c>
      <c r="AF151" s="433">
        <f>IF(AF25-参数输入表!$I$14-参数输入表!$I$7&lt;0,(参数输入表!$I$145-参数输入表!$I$152-参数输入表!$I$441+$I$30)*AF26,参数输入表!$I$145-参数输入表!$I$152-参数输入表!$I$441+$I$30)</f>
        <v>122977.156438179</v>
      </c>
    </row>
    <row r="152" ht="22.2" customHeight="1" spans="2:32">
      <c r="B152" s="408"/>
      <c r="C152" s="412" t="s">
        <v>597</v>
      </c>
      <c r="D152" s="409">
        <f>SUM(F152:AF152)</f>
        <v>122977.156438179</v>
      </c>
      <c r="E152" s="410" t="s">
        <v>24</v>
      </c>
      <c r="F152" s="411"/>
      <c r="G152" s="411"/>
      <c r="H152" s="411"/>
      <c r="I152" s="433"/>
      <c r="J152" s="411">
        <f>'表1-资金筹措及还本付息表'!J8-'新建及改扩建项目投资概算明细 (光伏)'!F26-J69</f>
        <v>36893.1469314538</v>
      </c>
      <c r="K152" s="411">
        <f>'表1-资金筹措及还本付息表'!K8-'新建及改扩建项目投资概算明细 (光伏)'!G26-K69</f>
        <v>86084.0095067256</v>
      </c>
      <c r="L152" s="453"/>
      <c r="M152" s="453"/>
      <c r="N152" s="453"/>
      <c r="O152" s="453"/>
      <c r="P152" s="453"/>
      <c r="Q152" s="453"/>
      <c r="R152" s="453"/>
      <c r="S152" s="453"/>
      <c r="T152" s="453"/>
      <c r="U152" s="453"/>
      <c r="V152" s="453"/>
      <c r="W152" s="453"/>
      <c r="X152" s="453"/>
      <c r="Y152" s="453"/>
      <c r="Z152" s="453"/>
      <c r="AA152" s="453"/>
      <c r="AB152" s="453"/>
      <c r="AC152" s="453"/>
      <c r="AD152" s="453"/>
      <c r="AE152" s="453"/>
      <c r="AF152" s="453"/>
    </row>
    <row r="153" customFormat="1" ht="22.2" customHeight="1" spans="2:32">
      <c r="B153" s="408"/>
      <c r="C153" s="412" t="s">
        <v>598</v>
      </c>
      <c r="D153" s="409"/>
      <c r="E153" s="410" t="s">
        <v>24</v>
      </c>
      <c r="F153" s="411"/>
      <c r="G153" s="411"/>
      <c r="H153" s="411"/>
      <c r="I153" s="433"/>
      <c r="J153" s="409">
        <f t="shared" ref="J153:M153" si="42">I153+J152</f>
        <v>36893.1469314538</v>
      </c>
      <c r="K153" s="409">
        <f t="shared" si="42"/>
        <v>122977.156438179</v>
      </c>
      <c r="L153" s="409">
        <f t="shared" si="42"/>
        <v>122977.156438179</v>
      </c>
      <c r="M153" s="409">
        <f t="shared" si="42"/>
        <v>122977.156438179</v>
      </c>
      <c r="N153" s="409">
        <f t="shared" ref="N153:AF153" si="43">M153+N152</f>
        <v>122977.156438179</v>
      </c>
      <c r="O153" s="409">
        <f t="shared" si="43"/>
        <v>122977.156438179</v>
      </c>
      <c r="P153" s="409">
        <f t="shared" si="43"/>
        <v>122977.156438179</v>
      </c>
      <c r="Q153" s="409">
        <f t="shared" si="43"/>
        <v>122977.156438179</v>
      </c>
      <c r="R153" s="409">
        <f t="shared" si="43"/>
        <v>122977.156438179</v>
      </c>
      <c r="S153" s="409">
        <f t="shared" si="43"/>
        <v>122977.156438179</v>
      </c>
      <c r="T153" s="409">
        <f t="shared" si="43"/>
        <v>122977.156438179</v>
      </c>
      <c r="U153" s="409">
        <f t="shared" si="43"/>
        <v>122977.156438179</v>
      </c>
      <c r="V153" s="409">
        <f t="shared" si="43"/>
        <v>122977.156438179</v>
      </c>
      <c r="W153" s="409">
        <f t="shared" si="43"/>
        <v>122977.156438179</v>
      </c>
      <c r="X153" s="409">
        <f t="shared" si="43"/>
        <v>122977.156438179</v>
      </c>
      <c r="Y153" s="409">
        <f t="shared" si="43"/>
        <v>122977.156438179</v>
      </c>
      <c r="Z153" s="409">
        <f t="shared" si="43"/>
        <v>122977.156438179</v>
      </c>
      <c r="AA153" s="409">
        <f t="shared" si="43"/>
        <v>122977.156438179</v>
      </c>
      <c r="AB153" s="409">
        <f t="shared" si="43"/>
        <v>122977.156438179</v>
      </c>
      <c r="AC153" s="409">
        <f t="shared" si="43"/>
        <v>122977.156438179</v>
      </c>
      <c r="AD153" s="409">
        <f t="shared" si="43"/>
        <v>122977.156438179</v>
      </c>
      <c r="AE153" s="409">
        <f t="shared" si="43"/>
        <v>122977.156438179</v>
      </c>
      <c r="AF153" s="409">
        <f t="shared" si="43"/>
        <v>122977.156438179</v>
      </c>
    </row>
    <row r="154" customFormat="1" ht="22.2" customHeight="1" spans="2:32">
      <c r="B154" s="408"/>
      <c r="C154" s="259" t="s">
        <v>557</v>
      </c>
      <c r="D154" s="409"/>
      <c r="E154" s="410" t="s">
        <v>24</v>
      </c>
      <c r="F154" s="411"/>
      <c r="G154" s="411"/>
      <c r="H154" s="411"/>
      <c r="I154" s="433">
        <f>'表10-资产负债表(标准格式)'!H46</f>
        <v>0</v>
      </c>
      <c r="J154" s="409">
        <f t="shared" ref="J154:AF154" si="44">J153-J151</f>
        <v>18446.5734657269</v>
      </c>
      <c r="K154" s="409">
        <f t="shared" si="44"/>
        <v>0</v>
      </c>
      <c r="L154" s="409">
        <f t="shared" si="44"/>
        <v>0</v>
      </c>
      <c r="M154" s="409">
        <f t="shared" si="44"/>
        <v>0</v>
      </c>
      <c r="N154" s="409">
        <f t="shared" si="44"/>
        <v>0</v>
      </c>
      <c r="O154" s="409">
        <f t="shared" si="44"/>
        <v>0</v>
      </c>
      <c r="P154" s="409">
        <f t="shared" si="44"/>
        <v>0</v>
      </c>
      <c r="Q154" s="409">
        <f t="shared" si="44"/>
        <v>0</v>
      </c>
      <c r="R154" s="409">
        <f t="shared" si="44"/>
        <v>0</v>
      </c>
      <c r="S154" s="409">
        <f t="shared" si="44"/>
        <v>0</v>
      </c>
      <c r="T154" s="409">
        <f t="shared" si="44"/>
        <v>0</v>
      </c>
      <c r="U154" s="409">
        <f t="shared" si="44"/>
        <v>0</v>
      </c>
      <c r="V154" s="409">
        <f t="shared" si="44"/>
        <v>0</v>
      </c>
      <c r="W154" s="409">
        <f t="shared" si="44"/>
        <v>0</v>
      </c>
      <c r="X154" s="409">
        <f t="shared" si="44"/>
        <v>0</v>
      </c>
      <c r="Y154" s="409">
        <f t="shared" si="44"/>
        <v>0</v>
      </c>
      <c r="Z154" s="409">
        <f t="shared" si="44"/>
        <v>0</v>
      </c>
      <c r="AA154" s="409">
        <f t="shared" si="44"/>
        <v>0</v>
      </c>
      <c r="AB154" s="409">
        <f t="shared" si="44"/>
        <v>0</v>
      </c>
      <c r="AC154" s="409">
        <f t="shared" si="44"/>
        <v>0</v>
      </c>
      <c r="AD154" s="409">
        <f t="shared" si="44"/>
        <v>0</v>
      </c>
      <c r="AE154" s="409">
        <f t="shared" si="44"/>
        <v>0</v>
      </c>
      <c r="AF154" s="409">
        <f t="shared" si="44"/>
        <v>0</v>
      </c>
    </row>
    <row r="155" s="375" customFormat="1" ht="24" customHeight="1" spans="2:32">
      <c r="B155" s="408"/>
      <c r="C155" s="414" t="s">
        <v>599</v>
      </c>
      <c r="D155" s="415">
        <f>SUM(F155:AF155)</f>
        <v>122977.156438179</v>
      </c>
      <c r="E155" s="410" t="s">
        <v>24</v>
      </c>
      <c r="F155" s="415"/>
      <c r="G155" s="415"/>
      <c r="H155" s="415"/>
      <c r="I155" s="415"/>
      <c r="J155" s="415">
        <f t="shared" ref="J155:AF155" si="45">SUM(J156:J158)</f>
        <v>1024.80963698483</v>
      </c>
      <c r="K155" s="415">
        <f t="shared" si="45"/>
        <v>6148.85782190897</v>
      </c>
      <c r="L155" s="415">
        <f t="shared" si="45"/>
        <v>6832.06424656553</v>
      </c>
      <c r="M155" s="415">
        <f t="shared" si="45"/>
        <v>6832.06424656553</v>
      </c>
      <c r="N155" s="415">
        <f t="shared" si="45"/>
        <v>6832.06424656553</v>
      </c>
      <c r="O155" s="415">
        <f t="shared" si="45"/>
        <v>6832.06424656553</v>
      </c>
      <c r="P155" s="415">
        <f t="shared" si="45"/>
        <v>6832.06424656553</v>
      </c>
      <c r="Q155" s="415">
        <f t="shared" si="45"/>
        <v>6832.06424656553</v>
      </c>
      <c r="R155" s="415">
        <f t="shared" si="45"/>
        <v>6832.06424656553</v>
      </c>
      <c r="S155" s="415">
        <f t="shared" si="45"/>
        <v>6832.06424656553</v>
      </c>
      <c r="T155" s="415">
        <f t="shared" si="45"/>
        <v>6832.06424656553</v>
      </c>
      <c r="U155" s="415">
        <f t="shared" si="45"/>
        <v>6832.06424656553</v>
      </c>
      <c r="V155" s="415">
        <f t="shared" si="45"/>
        <v>6832.06424656553</v>
      </c>
      <c r="W155" s="415">
        <f t="shared" si="45"/>
        <v>6832.06424656553</v>
      </c>
      <c r="X155" s="415">
        <f t="shared" si="45"/>
        <v>6832.06424656553</v>
      </c>
      <c r="Y155" s="415">
        <f t="shared" si="45"/>
        <v>6832.06424656553</v>
      </c>
      <c r="Z155" s="415">
        <f t="shared" si="45"/>
        <v>6832.06424656553</v>
      </c>
      <c r="AA155" s="415">
        <f t="shared" si="45"/>
        <v>6832.06424656553</v>
      </c>
      <c r="AB155" s="415">
        <f t="shared" si="45"/>
        <v>5807.2546095807</v>
      </c>
      <c r="AC155" s="415">
        <f t="shared" si="45"/>
        <v>683.206424656553</v>
      </c>
      <c r="AD155" s="415">
        <f t="shared" si="45"/>
        <v>0</v>
      </c>
      <c r="AE155" s="415">
        <f t="shared" si="45"/>
        <v>0</v>
      </c>
      <c r="AF155" s="415">
        <f t="shared" si="45"/>
        <v>0</v>
      </c>
    </row>
    <row r="156" ht="19.8" customHeight="1" spans="2:32">
      <c r="B156" s="408"/>
      <c r="C156" s="444" t="s">
        <v>559</v>
      </c>
      <c r="D156" s="445">
        <f>SUM(F156:AF156)</f>
        <v>18446.5734657269</v>
      </c>
      <c r="E156" s="446" t="s">
        <v>24</v>
      </c>
      <c r="F156" s="445"/>
      <c r="G156" s="445"/>
      <c r="H156" s="445"/>
      <c r="I156" s="445"/>
      <c r="J156" s="433">
        <f>(参数输入表!$I$145-参数输入表!$I$152-参数输入表!$I$441+$I$154)*(1-参数输入表!$I$439)*参数输入表!$I$35/参数输入表!$I$438</f>
        <v>1024.80963698483</v>
      </c>
      <c r="K156" s="433">
        <f>(参数输入表!$I$145-参数输入表!$I$152-参数输入表!$I$441+$I$154)*(1-参数输入表!$I$439)*参数输入表!$I$35/参数输入表!$I$438</f>
        <v>1024.80963698483</v>
      </c>
      <c r="L156" s="433">
        <f>(参数输入表!$I$145-参数输入表!$I$152-参数输入表!$I$441+$I$154)*(1-参数输入表!$I$439)*参数输入表!$I$35/参数输入表!$I$438</f>
        <v>1024.80963698483</v>
      </c>
      <c r="M156" s="433">
        <f>(参数输入表!$I$145-参数输入表!$I$152-参数输入表!$I$441+$I$154)*(1-参数输入表!$I$439)*参数输入表!$I$35/参数输入表!$I$438</f>
        <v>1024.80963698483</v>
      </c>
      <c r="N156" s="433">
        <f>(参数输入表!$I$145-参数输入表!$I$152-参数输入表!$I$441+$I$154)*(1-参数输入表!$I$439)*参数输入表!$I$35/参数输入表!$I$438</f>
        <v>1024.80963698483</v>
      </c>
      <c r="O156" s="433">
        <f>(参数输入表!$I$145-参数输入表!$I$152-参数输入表!$I$441+$I$154)*(1-参数输入表!$I$439)*参数输入表!$I$35/参数输入表!$I$438</f>
        <v>1024.80963698483</v>
      </c>
      <c r="P156" s="433">
        <f>(参数输入表!$I$145-参数输入表!$I$152-参数输入表!$I$441+$I$154)*(1-参数输入表!$I$439)*参数输入表!$I$35/参数输入表!$I$438</f>
        <v>1024.80963698483</v>
      </c>
      <c r="Q156" s="433">
        <f>(参数输入表!$I$145-参数输入表!$I$152-参数输入表!$I$441+$I$154)*(1-参数输入表!$I$439)*参数输入表!$I$35/参数输入表!$I$438</f>
        <v>1024.80963698483</v>
      </c>
      <c r="R156" s="433">
        <f>(参数输入表!$I$145-参数输入表!$I$152-参数输入表!$I$441+$I$154)*(1-参数输入表!$I$439)*参数输入表!$I$35/参数输入表!$I$438</f>
        <v>1024.80963698483</v>
      </c>
      <c r="S156" s="433">
        <f>(参数输入表!$I$145-参数输入表!$I$152-参数输入表!$I$441+$I$154)*(1-参数输入表!$I$439)*参数输入表!$I$35/参数输入表!$I$438</f>
        <v>1024.80963698483</v>
      </c>
      <c r="T156" s="433">
        <f>(参数输入表!$I$145-参数输入表!$I$152-参数输入表!$I$441+$I$154)*(1-参数输入表!$I$439)*参数输入表!$I$35/参数输入表!$I$438</f>
        <v>1024.80963698483</v>
      </c>
      <c r="U156" s="433">
        <f>(参数输入表!$I$145-参数输入表!$I$152-参数输入表!$I$441+$I$154)*(1-参数输入表!$I$439)*参数输入表!$I$35/参数输入表!$I$438</f>
        <v>1024.80963698483</v>
      </c>
      <c r="V156" s="433">
        <f>(参数输入表!$I$145-参数输入表!$I$152-参数输入表!$I$441+$I$154)*(1-参数输入表!$I$439)*参数输入表!$I$35/参数输入表!$I$438</f>
        <v>1024.80963698483</v>
      </c>
      <c r="W156" s="433">
        <f>(参数输入表!$I$145-参数输入表!$I$152-参数输入表!$I$441+$I$154)*(1-参数输入表!$I$439)*参数输入表!$I$35/参数输入表!$I$438</f>
        <v>1024.80963698483</v>
      </c>
      <c r="X156" s="433">
        <f>(参数输入表!$I$145-参数输入表!$I$152-参数输入表!$I$441+$I$154)*(1-参数输入表!$I$439)*参数输入表!$I$35/参数输入表!$I$438</f>
        <v>1024.80963698483</v>
      </c>
      <c r="Y156" s="433">
        <f>(参数输入表!$I$145-参数输入表!$I$152-参数输入表!$I$441+$I$154)*(1-参数输入表!$I$439)*参数输入表!$I$35/参数输入表!$I$438</f>
        <v>1024.80963698483</v>
      </c>
      <c r="Z156" s="433">
        <f>(参数输入表!$I$145-参数输入表!$I$152-参数输入表!$I$441+$I$154)*(1-参数输入表!$I$439)*参数输入表!$I$35/参数输入表!$I$438</f>
        <v>1024.80963698483</v>
      </c>
      <c r="AA156" s="433">
        <f>(参数输入表!$I$145-参数输入表!$I$152-参数输入表!$I$441+$I$154)*(1-参数输入表!$I$439)*参数输入表!$I$35/参数输入表!$I$438</f>
        <v>1024.80963698483</v>
      </c>
      <c r="AB156" s="445"/>
      <c r="AC156" s="445"/>
      <c r="AD156" s="445"/>
      <c r="AE156" s="445"/>
      <c r="AF156" s="445"/>
    </row>
    <row r="157" ht="19.8" customHeight="1" spans="2:32">
      <c r="B157" s="408"/>
      <c r="C157" s="444" t="s">
        <v>560</v>
      </c>
      <c r="D157" s="445">
        <f>SUM(F157:AF157)</f>
        <v>92232.8673286346</v>
      </c>
      <c r="E157" s="446" t="s">
        <v>24</v>
      </c>
      <c r="F157" s="445"/>
      <c r="G157" s="445"/>
      <c r="H157" s="445"/>
      <c r="I157" s="445"/>
      <c r="J157" s="445"/>
      <c r="K157" s="433">
        <f>(参数输入表!$I$145-参数输入表!$I$152-参数输入表!$I$441+$I$154)*(1-参数输入表!$I$439)*参数输入表!$I$36/参数输入表!$I$438</f>
        <v>5124.04818492414</v>
      </c>
      <c r="L157" s="433">
        <f>(参数输入表!$I$145-参数输入表!$I$152-参数输入表!$I$441+$I$154)*(1-参数输入表!$I$439)*参数输入表!$I$36/参数输入表!$I$438</f>
        <v>5124.04818492414</v>
      </c>
      <c r="M157" s="433">
        <f>(参数输入表!$I$145-参数输入表!$I$152-参数输入表!$I$441+$I$154)*(1-参数输入表!$I$439)*参数输入表!$I$36/参数输入表!$I$438</f>
        <v>5124.04818492414</v>
      </c>
      <c r="N157" s="433">
        <f>(参数输入表!$I$145-参数输入表!$I$152-参数输入表!$I$441+$I$154)*(1-参数输入表!$I$439)*参数输入表!$I$36/参数输入表!$I$438</f>
        <v>5124.04818492414</v>
      </c>
      <c r="O157" s="433">
        <f>(参数输入表!$I$145-参数输入表!$I$152-参数输入表!$I$441+$I$154)*(1-参数输入表!$I$439)*参数输入表!$I$36/参数输入表!$I$438</f>
        <v>5124.04818492414</v>
      </c>
      <c r="P157" s="433">
        <f>(参数输入表!$I$145-参数输入表!$I$152-参数输入表!$I$441+$I$154)*(1-参数输入表!$I$439)*参数输入表!$I$36/参数输入表!$I$438</f>
        <v>5124.04818492414</v>
      </c>
      <c r="Q157" s="433">
        <f>(参数输入表!$I$145-参数输入表!$I$152-参数输入表!$I$441+$I$154)*(1-参数输入表!$I$439)*参数输入表!$I$36/参数输入表!$I$438</f>
        <v>5124.04818492414</v>
      </c>
      <c r="R157" s="433">
        <f>(参数输入表!$I$145-参数输入表!$I$152-参数输入表!$I$441+$I$154)*(1-参数输入表!$I$439)*参数输入表!$I$36/参数输入表!$I$438</f>
        <v>5124.04818492414</v>
      </c>
      <c r="S157" s="433">
        <f>(参数输入表!$I$145-参数输入表!$I$152-参数输入表!$I$441+$I$154)*(1-参数输入表!$I$439)*参数输入表!$I$36/参数输入表!$I$438</f>
        <v>5124.04818492414</v>
      </c>
      <c r="T157" s="433">
        <f>(参数输入表!$I$145-参数输入表!$I$152-参数输入表!$I$441+$I$154)*(1-参数输入表!$I$439)*参数输入表!$I$36/参数输入表!$I$438</f>
        <v>5124.04818492414</v>
      </c>
      <c r="U157" s="433">
        <f>(参数输入表!$I$145-参数输入表!$I$152-参数输入表!$I$441+$I$154)*(1-参数输入表!$I$439)*参数输入表!$I$36/参数输入表!$I$438</f>
        <v>5124.04818492414</v>
      </c>
      <c r="V157" s="433">
        <f>(参数输入表!$I$145-参数输入表!$I$152-参数输入表!$I$441+$I$154)*(1-参数输入表!$I$439)*参数输入表!$I$36/参数输入表!$I$438</f>
        <v>5124.04818492414</v>
      </c>
      <c r="W157" s="433">
        <f>(参数输入表!$I$145-参数输入表!$I$152-参数输入表!$I$441+$I$154)*(1-参数输入表!$I$439)*参数输入表!$I$36/参数输入表!$I$438</f>
        <v>5124.04818492414</v>
      </c>
      <c r="X157" s="433">
        <f>(参数输入表!$I$145-参数输入表!$I$152-参数输入表!$I$441+$I$154)*(1-参数输入表!$I$439)*参数输入表!$I$36/参数输入表!$I$438</f>
        <v>5124.04818492414</v>
      </c>
      <c r="Y157" s="433">
        <f>(参数输入表!$I$145-参数输入表!$I$152-参数输入表!$I$441+$I$154)*(1-参数输入表!$I$439)*参数输入表!$I$36/参数输入表!$I$438</f>
        <v>5124.04818492414</v>
      </c>
      <c r="Z157" s="433">
        <f>(参数输入表!$I$145-参数输入表!$I$152-参数输入表!$I$441+$I$154)*(1-参数输入表!$I$439)*参数输入表!$I$36/参数输入表!$I$438</f>
        <v>5124.04818492414</v>
      </c>
      <c r="AA157" s="433">
        <f>(参数输入表!$I$145-参数输入表!$I$152-参数输入表!$I$441+$I$154)*(1-参数输入表!$I$439)*参数输入表!$I$36/参数输入表!$I$438</f>
        <v>5124.04818492414</v>
      </c>
      <c r="AB157" s="433">
        <f>(参数输入表!$I$145-参数输入表!$I$152-参数输入表!$I$441+$I$154)*(1-参数输入表!$I$439)*参数输入表!$I$36/参数输入表!$I$438</f>
        <v>5124.04818492414</v>
      </c>
      <c r="AC157" s="445"/>
      <c r="AD157" s="445"/>
      <c r="AE157" s="445"/>
      <c r="AF157" s="445"/>
    </row>
    <row r="158" ht="19.8" customHeight="1" spans="2:32">
      <c r="B158" s="408"/>
      <c r="C158" s="444" t="s">
        <v>561</v>
      </c>
      <c r="D158" s="445">
        <f>SUM(F158:AF158)</f>
        <v>12297.7156438179</v>
      </c>
      <c r="E158" s="446" t="s">
        <v>24</v>
      </c>
      <c r="F158" s="445"/>
      <c r="G158" s="445"/>
      <c r="H158" s="445"/>
      <c r="I158" s="445"/>
      <c r="J158" s="445"/>
      <c r="K158" s="445"/>
      <c r="L158" s="433">
        <f>(参数输入表!$I$145-参数输入表!$I$152-参数输入表!$I$441+$I$154)*(1-参数输入表!$I$439)*参数输入表!$I$37/参数输入表!$I$438</f>
        <v>683.206424656553</v>
      </c>
      <c r="M158" s="433">
        <f>(参数输入表!$I$145-参数输入表!$I$152-参数输入表!$I$441+$I$154)*(1-参数输入表!$I$439)*参数输入表!$I$37/参数输入表!$I$438</f>
        <v>683.206424656553</v>
      </c>
      <c r="N158" s="433">
        <f>(参数输入表!$I$145-参数输入表!$I$152-参数输入表!$I$441+$I$154)*(1-参数输入表!$I$439)*参数输入表!$I$37/参数输入表!$I$438</f>
        <v>683.206424656553</v>
      </c>
      <c r="O158" s="433">
        <f>(参数输入表!$I$145-参数输入表!$I$152-参数输入表!$I$441+$I$154)*(1-参数输入表!$I$439)*参数输入表!$I$37/参数输入表!$I$438</f>
        <v>683.206424656553</v>
      </c>
      <c r="P158" s="433">
        <f>(参数输入表!$I$145-参数输入表!$I$152-参数输入表!$I$441+$I$154)*(1-参数输入表!$I$439)*参数输入表!$I$37/参数输入表!$I$438</f>
        <v>683.206424656553</v>
      </c>
      <c r="Q158" s="433">
        <f>(参数输入表!$I$145-参数输入表!$I$152-参数输入表!$I$441+$I$154)*(1-参数输入表!$I$439)*参数输入表!$I$37/参数输入表!$I$438</f>
        <v>683.206424656553</v>
      </c>
      <c r="R158" s="433">
        <f>(参数输入表!$I$145-参数输入表!$I$152-参数输入表!$I$441+$I$154)*(1-参数输入表!$I$439)*参数输入表!$I$37/参数输入表!$I$438</f>
        <v>683.206424656553</v>
      </c>
      <c r="S158" s="433">
        <f>(参数输入表!$I$145-参数输入表!$I$152-参数输入表!$I$441+$I$154)*(1-参数输入表!$I$439)*参数输入表!$I$37/参数输入表!$I$438</f>
        <v>683.206424656553</v>
      </c>
      <c r="T158" s="433">
        <f>(参数输入表!$I$145-参数输入表!$I$152-参数输入表!$I$441+$I$154)*(1-参数输入表!$I$439)*参数输入表!$I$37/参数输入表!$I$438</f>
        <v>683.206424656553</v>
      </c>
      <c r="U158" s="433">
        <f>(参数输入表!$I$145-参数输入表!$I$152-参数输入表!$I$441+$I$154)*(1-参数输入表!$I$439)*参数输入表!$I$37/参数输入表!$I$438</f>
        <v>683.206424656553</v>
      </c>
      <c r="V158" s="433">
        <f>(参数输入表!$I$145-参数输入表!$I$152-参数输入表!$I$441+$I$154)*(1-参数输入表!$I$439)*参数输入表!$I$37/参数输入表!$I$438</f>
        <v>683.206424656553</v>
      </c>
      <c r="W158" s="433">
        <f>(参数输入表!$I$145-参数输入表!$I$152-参数输入表!$I$441+$I$154)*(1-参数输入表!$I$439)*参数输入表!$I$37/参数输入表!$I$438</f>
        <v>683.206424656553</v>
      </c>
      <c r="X158" s="433">
        <f>(参数输入表!$I$145-参数输入表!$I$152-参数输入表!$I$441+$I$154)*(1-参数输入表!$I$439)*参数输入表!$I$37/参数输入表!$I$438</f>
        <v>683.206424656553</v>
      </c>
      <c r="Y158" s="433">
        <f>(参数输入表!$I$145-参数输入表!$I$152-参数输入表!$I$441+$I$154)*(1-参数输入表!$I$439)*参数输入表!$I$37/参数输入表!$I$438</f>
        <v>683.206424656553</v>
      </c>
      <c r="Z158" s="433">
        <f>(参数输入表!$I$145-参数输入表!$I$152-参数输入表!$I$441+$I$154)*(1-参数输入表!$I$439)*参数输入表!$I$37/参数输入表!$I$438</f>
        <v>683.206424656553</v>
      </c>
      <c r="AA158" s="433">
        <f>(参数输入表!$I$145-参数输入表!$I$152-参数输入表!$I$441+$I$154)*(1-参数输入表!$I$439)*参数输入表!$I$37/参数输入表!$I$438</f>
        <v>683.206424656553</v>
      </c>
      <c r="AB158" s="433">
        <f>(参数输入表!$I$145-参数输入表!$I$152-参数输入表!$I$441+$I$154)*(1-参数输入表!$I$439)*参数输入表!$I$37/参数输入表!$I$438</f>
        <v>683.206424656553</v>
      </c>
      <c r="AC158" s="433">
        <f>(参数输入表!$I$145-参数输入表!$I$152-参数输入表!$I$441+$I$154)*(1-参数输入表!$I$439)*参数输入表!$I$37/参数输入表!$I$438</f>
        <v>683.206424656553</v>
      </c>
      <c r="AD158" s="445"/>
      <c r="AE158" s="445"/>
      <c r="AF158" s="445"/>
    </row>
    <row r="159" ht="19.8" customHeight="1" spans="2:32">
      <c r="B159" s="408"/>
      <c r="C159" s="259" t="s">
        <v>562</v>
      </c>
      <c r="D159" s="436"/>
      <c r="E159" s="492" t="s">
        <v>24</v>
      </c>
      <c r="F159" s="436"/>
      <c r="G159" s="436"/>
      <c r="H159" s="436"/>
      <c r="I159" s="436"/>
      <c r="J159" s="436">
        <f t="shared" ref="J159:AF159" si="46">I159+J155</f>
        <v>1024.80963698483</v>
      </c>
      <c r="K159" s="436">
        <f t="shared" si="46"/>
        <v>7173.6674588938</v>
      </c>
      <c r="L159" s="436">
        <f t="shared" si="46"/>
        <v>14005.7317054593</v>
      </c>
      <c r="M159" s="436">
        <f t="shared" si="46"/>
        <v>20837.7959520249</v>
      </c>
      <c r="N159" s="436">
        <f t="shared" si="46"/>
        <v>27669.8601985904</v>
      </c>
      <c r="O159" s="436">
        <f t="shared" si="46"/>
        <v>34501.9244451559</v>
      </c>
      <c r="P159" s="436">
        <f t="shared" si="46"/>
        <v>41333.9886917214</v>
      </c>
      <c r="Q159" s="436">
        <f t="shared" si="46"/>
        <v>48166.052938287</v>
      </c>
      <c r="R159" s="436">
        <f t="shared" si="46"/>
        <v>54998.1171848525</v>
      </c>
      <c r="S159" s="436">
        <f t="shared" si="46"/>
        <v>61830.181431418</v>
      </c>
      <c r="T159" s="436">
        <f t="shared" si="46"/>
        <v>68662.2456779835</v>
      </c>
      <c r="U159" s="436">
        <f t="shared" si="46"/>
        <v>75494.3099245491</v>
      </c>
      <c r="V159" s="436">
        <f t="shared" si="46"/>
        <v>82326.3741711146</v>
      </c>
      <c r="W159" s="436">
        <f t="shared" si="46"/>
        <v>89158.4384176801</v>
      </c>
      <c r="X159" s="436">
        <f t="shared" si="46"/>
        <v>95990.5026642456</v>
      </c>
      <c r="Y159" s="436">
        <f t="shared" si="46"/>
        <v>102822.566910811</v>
      </c>
      <c r="Z159" s="436">
        <f t="shared" si="46"/>
        <v>109654.631157377</v>
      </c>
      <c r="AA159" s="436">
        <f t="shared" si="46"/>
        <v>116486.695403942</v>
      </c>
      <c r="AB159" s="436">
        <f t="shared" si="46"/>
        <v>122293.950013523</v>
      </c>
      <c r="AC159" s="436">
        <f t="shared" si="46"/>
        <v>122977.156438179</v>
      </c>
      <c r="AD159" s="436">
        <f t="shared" si="46"/>
        <v>122977.156438179</v>
      </c>
      <c r="AE159" s="436">
        <f t="shared" si="46"/>
        <v>122977.156438179</v>
      </c>
      <c r="AF159" s="436">
        <f t="shared" si="46"/>
        <v>122977.156438179</v>
      </c>
    </row>
    <row r="160" ht="24" customHeight="1" spans="2:32">
      <c r="B160" s="422"/>
      <c r="C160" s="423" t="s">
        <v>600</v>
      </c>
      <c r="D160" s="424"/>
      <c r="E160" s="425" t="s">
        <v>24</v>
      </c>
      <c r="F160" s="426"/>
      <c r="G160" s="426"/>
      <c r="H160" s="426"/>
      <c r="I160" s="426"/>
      <c r="J160" s="426">
        <f t="shared" ref="J160:AF160" si="47">J151-J159</f>
        <v>17421.7638287421</v>
      </c>
      <c r="K160" s="426">
        <f t="shared" si="47"/>
        <v>115803.488979286</v>
      </c>
      <c r="L160" s="426">
        <f t="shared" si="47"/>
        <v>108971.42473272</v>
      </c>
      <c r="M160" s="426">
        <f t="shared" si="47"/>
        <v>102139.360486155</v>
      </c>
      <c r="N160" s="426">
        <f t="shared" si="47"/>
        <v>95307.2962395891</v>
      </c>
      <c r="O160" s="426">
        <f t="shared" si="47"/>
        <v>88475.2319930236</v>
      </c>
      <c r="P160" s="426">
        <f t="shared" si="47"/>
        <v>81643.167746458</v>
      </c>
      <c r="Q160" s="426">
        <f t="shared" si="47"/>
        <v>74811.1034998925</v>
      </c>
      <c r="R160" s="426">
        <f t="shared" si="47"/>
        <v>67979.039253327</v>
      </c>
      <c r="S160" s="426">
        <f t="shared" si="47"/>
        <v>61146.9750067615</v>
      </c>
      <c r="T160" s="426">
        <f t="shared" si="47"/>
        <v>54314.9107601959</v>
      </c>
      <c r="U160" s="426">
        <f t="shared" si="47"/>
        <v>47482.8465136304</v>
      </c>
      <c r="V160" s="426">
        <f t="shared" si="47"/>
        <v>40650.7822670649</v>
      </c>
      <c r="W160" s="426">
        <f t="shared" si="47"/>
        <v>33818.7180204994</v>
      </c>
      <c r="X160" s="426">
        <f t="shared" si="47"/>
        <v>26986.6537739338</v>
      </c>
      <c r="Y160" s="426">
        <f t="shared" si="47"/>
        <v>20154.5895273683</v>
      </c>
      <c r="Z160" s="426">
        <f t="shared" si="47"/>
        <v>13322.5252808028</v>
      </c>
      <c r="AA160" s="426">
        <f t="shared" si="47"/>
        <v>6490.46103423726</v>
      </c>
      <c r="AB160" s="426">
        <f t="shared" si="47"/>
        <v>683.206424656571</v>
      </c>
      <c r="AC160" s="426">
        <f t="shared" si="47"/>
        <v>0</v>
      </c>
      <c r="AD160" s="426">
        <f t="shared" si="47"/>
        <v>0</v>
      </c>
      <c r="AE160" s="426">
        <f t="shared" si="47"/>
        <v>0</v>
      </c>
      <c r="AF160" s="426">
        <f t="shared" si="47"/>
        <v>0</v>
      </c>
    </row>
    <row r="161" ht="24" customHeight="1" spans="2:32">
      <c r="B161" s="427">
        <v>2</v>
      </c>
      <c r="C161" s="428" t="s">
        <v>564</v>
      </c>
      <c r="D161" s="429"/>
      <c r="E161" s="430" t="s">
        <v>24</v>
      </c>
      <c r="F161" s="429"/>
      <c r="G161" s="429"/>
      <c r="H161" s="429"/>
      <c r="I161" s="429"/>
      <c r="J161" s="429">
        <f t="shared" ref="J161:AF161" si="48">J37</f>
        <v>0</v>
      </c>
      <c r="K161" s="429">
        <f t="shared" si="48"/>
        <v>0</v>
      </c>
      <c r="L161" s="429">
        <f t="shared" si="48"/>
        <v>0</v>
      </c>
      <c r="M161" s="429">
        <f t="shared" si="48"/>
        <v>0</v>
      </c>
      <c r="N161" s="429">
        <f t="shared" si="48"/>
        <v>366.97247706422</v>
      </c>
      <c r="O161" s="429">
        <f t="shared" si="48"/>
        <v>275.229357798165</v>
      </c>
      <c r="P161" s="429">
        <f t="shared" si="48"/>
        <v>183.48623853211</v>
      </c>
      <c r="Q161" s="429">
        <f t="shared" si="48"/>
        <v>91.7431192660551</v>
      </c>
      <c r="R161" s="429">
        <f t="shared" si="48"/>
        <v>0</v>
      </c>
      <c r="S161" s="429">
        <f t="shared" si="48"/>
        <v>366.97247706422</v>
      </c>
      <c r="T161" s="429">
        <f t="shared" si="48"/>
        <v>275.229357798165</v>
      </c>
      <c r="U161" s="429">
        <f t="shared" si="48"/>
        <v>183.48623853211</v>
      </c>
      <c r="V161" s="429">
        <f t="shared" si="48"/>
        <v>91.7431192660551</v>
      </c>
      <c r="W161" s="429">
        <f t="shared" si="48"/>
        <v>0</v>
      </c>
      <c r="X161" s="429">
        <f t="shared" si="48"/>
        <v>366.97247706422</v>
      </c>
      <c r="Y161" s="429">
        <f t="shared" si="48"/>
        <v>275.229357798165</v>
      </c>
      <c r="Z161" s="429">
        <f t="shared" si="48"/>
        <v>183.48623853211</v>
      </c>
      <c r="AA161" s="429">
        <f t="shared" si="48"/>
        <v>91.7431192660551</v>
      </c>
      <c r="AB161" s="429">
        <f t="shared" si="48"/>
        <v>0</v>
      </c>
      <c r="AC161" s="429">
        <f t="shared" si="48"/>
        <v>366.97247706422</v>
      </c>
      <c r="AD161" s="429">
        <f t="shared" si="48"/>
        <v>275.229357798165</v>
      </c>
      <c r="AE161" s="429">
        <f t="shared" si="48"/>
        <v>183.48623853211</v>
      </c>
      <c r="AF161" s="429">
        <f t="shared" si="48"/>
        <v>91.7431192660551</v>
      </c>
    </row>
    <row r="162" ht="24" customHeight="1" spans="2:32">
      <c r="B162" s="408"/>
      <c r="C162" s="259" t="s">
        <v>565</v>
      </c>
      <c r="D162" s="409">
        <f>SUM(F162:AF162)</f>
        <v>1834.8623853211</v>
      </c>
      <c r="E162" s="410" t="s">
        <v>24</v>
      </c>
      <c r="F162" s="409"/>
      <c r="G162" s="409"/>
      <c r="H162" s="409"/>
      <c r="I162" s="409"/>
      <c r="J162" s="409">
        <f t="shared" ref="J162:AF162" si="49">J38</f>
        <v>0</v>
      </c>
      <c r="K162" s="409">
        <f t="shared" si="49"/>
        <v>0</v>
      </c>
      <c r="L162" s="409">
        <f t="shared" si="49"/>
        <v>0</v>
      </c>
      <c r="M162" s="409">
        <f t="shared" si="49"/>
        <v>458.715596330275</v>
      </c>
      <c r="N162" s="409">
        <f t="shared" si="49"/>
        <v>0</v>
      </c>
      <c r="O162" s="409">
        <f t="shared" si="49"/>
        <v>0</v>
      </c>
      <c r="P162" s="409">
        <f t="shared" si="49"/>
        <v>0</v>
      </c>
      <c r="Q162" s="409">
        <f t="shared" si="49"/>
        <v>0</v>
      </c>
      <c r="R162" s="409">
        <f t="shared" si="49"/>
        <v>458.715596330275</v>
      </c>
      <c r="S162" s="409">
        <f t="shared" si="49"/>
        <v>0</v>
      </c>
      <c r="T162" s="409">
        <f t="shared" si="49"/>
        <v>0</v>
      </c>
      <c r="U162" s="409">
        <f t="shared" si="49"/>
        <v>0</v>
      </c>
      <c r="V162" s="409">
        <f t="shared" si="49"/>
        <v>0</v>
      </c>
      <c r="W162" s="409">
        <f t="shared" si="49"/>
        <v>458.715596330275</v>
      </c>
      <c r="X162" s="409">
        <f t="shared" si="49"/>
        <v>0</v>
      </c>
      <c r="Y162" s="409">
        <f t="shared" si="49"/>
        <v>0</v>
      </c>
      <c r="Z162" s="409">
        <f t="shared" si="49"/>
        <v>0</v>
      </c>
      <c r="AA162" s="409">
        <f t="shared" si="49"/>
        <v>0</v>
      </c>
      <c r="AB162" s="409">
        <f t="shared" si="49"/>
        <v>458.715596330275</v>
      </c>
      <c r="AC162" s="409">
        <f t="shared" si="49"/>
        <v>0</v>
      </c>
      <c r="AD162" s="409">
        <f t="shared" si="49"/>
        <v>0</v>
      </c>
      <c r="AE162" s="409">
        <f t="shared" si="49"/>
        <v>0</v>
      </c>
      <c r="AF162" s="409">
        <f t="shared" si="49"/>
        <v>0</v>
      </c>
    </row>
    <row r="163" s="375" customFormat="1" ht="24" customHeight="1" spans="2:32">
      <c r="B163" s="408"/>
      <c r="C163" s="414" t="s">
        <v>566</v>
      </c>
      <c r="D163" s="415">
        <f>SUM(F163:AF163)</f>
        <v>1834.8623853211</v>
      </c>
      <c r="E163" s="410" t="s">
        <v>24</v>
      </c>
      <c r="F163" s="415"/>
      <c r="G163" s="415"/>
      <c r="H163" s="415"/>
      <c r="I163" s="415"/>
      <c r="J163" s="415">
        <f t="shared" ref="J163:AF163" si="50">J39</f>
        <v>0</v>
      </c>
      <c r="K163" s="415">
        <f t="shared" si="50"/>
        <v>0</v>
      </c>
      <c r="L163" s="415">
        <f t="shared" si="50"/>
        <v>0</v>
      </c>
      <c r="M163" s="415">
        <f t="shared" si="50"/>
        <v>91.743119266055</v>
      </c>
      <c r="N163" s="415">
        <f t="shared" si="50"/>
        <v>91.743119266055</v>
      </c>
      <c r="O163" s="415">
        <f t="shared" si="50"/>
        <v>91.743119266055</v>
      </c>
      <c r="P163" s="415">
        <f t="shared" si="50"/>
        <v>91.743119266055</v>
      </c>
      <c r="Q163" s="415">
        <f t="shared" si="50"/>
        <v>91.743119266055</v>
      </c>
      <c r="R163" s="415">
        <f t="shared" si="50"/>
        <v>91.743119266055</v>
      </c>
      <c r="S163" s="415">
        <f t="shared" si="50"/>
        <v>91.743119266055</v>
      </c>
      <c r="T163" s="415">
        <f t="shared" si="50"/>
        <v>91.743119266055</v>
      </c>
      <c r="U163" s="415">
        <f t="shared" si="50"/>
        <v>91.743119266055</v>
      </c>
      <c r="V163" s="415">
        <f t="shared" si="50"/>
        <v>91.743119266055</v>
      </c>
      <c r="W163" s="415">
        <f t="shared" si="50"/>
        <v>91.743119266055</v>
      </c>
      <c r="X163" s="415">
        <f t="shared" si="50"/>
        <v>91.743119266055</v>
      </c>
      <c r="Y163" s="415">
        <f t="shared" si="50"/>
        <v>91.743119266055</v>
      </c>
      <c r="Z163" s="415">
        <f t="shared" si="50"/>
        <v>91.743119266055</v>
      </c>
      <c r="AA163" s="415">
        <f t="shared" si="50"/>
        <v>91.743119266055</v>
      </c>
      <c r="AB163" s="415">
        <f t="shared" si="50"/>
        <v>91.743119266055</v>
      </c>
      <c r="AC163" s="415">
        <f t="shared" si="50"/>
        <v>91.743119266055</v>
      </c>
      <c r="AD163" s="415">
        <f t="shared" si="50"/>
        <v>91.743119266055</v>
      </c>
      <c r="AE163" s="415">
        <f t="shared" si="50"/>
        <v>91.743119266055</v>
      </c>
      <c r="AF163" s="415">
        <f t="shared" si="50"/>
        <v>91.743119266055</v>
      </c>
    </row>
    <row r="164" ht="24" customHeight="1" spans="2:32">
      <c r="B164" s="422"/>
      <c r="C164" s="423" t="s">
        <v>567</v>
      </c>
      <c r="D164" s="426"/>
      <c r="E164" s="425" t="s">
        <v>24</v>
      </c>
      <c r="F164" s="426"/>
      <c r="G164" s="426"/>
      <c r="H164" s="426"/>
      <c r="I164" s="426"/>
      <c r="J164" s="426">
        <f t="shared" ref="J164:AF164" si="51">J67</f>
        <v>0</v>
      </c>
      <c r="K164" s="426">
        <f t="shared" si="51"/>
        <v>0</v>
      </c>
      <c r="L164" s="426">
        <f t="shared" si="51"/>
        <v>0</v>
      </c>
      <c r="M164" s="426">
        <f t="shared" si="51"/>
        <v>366.97247706422</v>
      </c>
      <c r="N164" s="426">
        <f t="shared" si="51"/>
        <v>275.229357798165</v>
      </c>
      <c r="O164" s="426">
        <f t="shared" si="51"/>
        <v>183.48623853211</v>
      </c>
      <c r="P164" s="426">
        <f t="shared" si="51"/>
        <v>91.7431192660551</v>
      </c>
      <c r="Q164" s="426">
        <f t="shared" si="51"/>
        <v>0</v>
      </c>
      <c r="R164" s="426">
        <f t="shared" si="51"/>
        <v>366.97247706422</v>
      </c>
      <c r="S164" s="426">
        <f t="shared" si="51"/>
        <v>275.229357798165</v>
      </c>
      <c r="T164" s="426">
        <f t="shared" si="51"/>
        <v>183.48623853211</v>
      </c>
      <c r="U164" s="426">
        <f t="shared" si="51"/>
        <v>91.7431192660551</v>
      </c>
      <c r="V164" s="426">
        <f t="shared" si="51"/>
        <v>0</v>
      </c>
      <c r="W164" s="426">
        <f t="shared" si="51"/>
        <v>366.97247706422</v>
      </c>
      <c r="X164" s="426">
        <f t="shared" si="51"/>
        <v>275.229357798165</v>
      </c>
      <c r="Y164" s="426">
        <f t="shared" si="51"/>
        <v>183.48623853211</v>
      </c>
      <c r="Z164" s="426">
        <f t="shared" si="51"/>
        <v>91.7431192660551</v>
      </c>
      <c r="AA164" s="426">
        <f t="shared" si="51"/>
        <v>0</v>
      </c>
      <c r="AB164" s="426">
        <f t="shared" si="51"/>
        <v>366.97247706422</v>
      </c>
      <c r="AC164" s="426">
        <f t="shared" si="51"/>
        <v>275.229357798165</v>
      </c>
      <c r="AD164" s="426">
        <f t="shared" si="51"/>
        <v>183.48623853211</v>
      </c>
      <c r="AE164" s="426">
        <f t="shared" si="51"/>
        <v>91.7431192660551</v>
      </c>
      <c r="AF164" s="426">
        <f t="shared" si="51"/>
        <v>0</v>
      </c>
    </row>
    <row r="165" ht="24" customHeight="1" spans="2:32">
      <c r="B165" s="427">
        <v>3</v>
      </c>
      <c r="C165" s="439" t="s">
        <v>568</v>
      </c>
      <c r="D165" s="429"/>
      <c r="E165" s="430" t="s">
        <v>24</v>
      </c>
      <c r="F165" s="429"/>
      <c r="G165" s="429"/>
      <c r="H165" s="429"/>
      <c r="I165" s="429"/>
      <c r="J165" s="409">
        <f t="shared" ref="J165:P165" si="52">J68</f>
        <v>270</v>
      </c>
      <c r="K165" s="409">
        <f t="shared" si="52"/>
        <v>1620</v>
      </c>
      <c r="L165" s="409">
        <f t="shared" si="52"/>
        <v>1800</v>
      </c>
      <c r="M165" s="409">
        <f t="shared" si="52"/>
        <v>1800</v>
      </c>
      <c r="N165" s="409">
        <f t="shared" si="52"/>
        <v>1800</v>
      </c>
      <c r="O165" s="409">
        <f t="shared" si="52"/>
        <v>1800</v>
      </c>
      <c r="P165" s="409">
        <f t="shared" si="52"/>
        <v>1800</v>
      </c>
      <c r="Q165" s="409">
        <f t="shared" ref="Q165:AF165" si="53">Q68</f>
        <v>1800</v>
      </c>
      <c r="R165" s="409">
        <f t="shared" si="53"/>
        <v>1800</v>
      </c>
      <c r="S165" s="409">
        <f t="shared" si="53"/>
        <v>1800</v>
      </c>
      <c r="T165" s="409">
        <f t="shared" si="53"/>
        <v>1800</v>
      </c>
      <c r="U165" s="409">
        <f t="shared" si="53"/>
        <v>1800</v>
      </c>
      <c r="V165" s="409">
        <f t="shared" si="53"/>
        <v>1800</v>
      </c>
      <c r="W165" s="409">
        <f t="shared" si="53"/>
        <v>1800</v>
      </c>
      <c r="X165" s="409">
        <f t="shared" si="53"/>
        <v>1800</v>
      </c>
      <c r="Y165" s="409">
        <f t="shared" si="53"/>
        <v>1800</v>
      </c>
      <c r="Z165" s="409">
        <f t="shared" si="53"/>
        <v>1800</v>
      </c>
      <c r="AA165" s="409">
        <f t="shared" si="53"/>
        <v>1800</v>
      </c>
      <c r="AB165" s="409">
        <f t="shared" si="53"/>
        <v>1800</v>
      </c>
      <c r="AC165" s="409">
        <f t="shared" si="53"/>
        <v>1800</v>
      </c>
      <c r="AD165" s="409">
        <f t="shared" si="53"/>
        <v>1800</v>
      </c>
      <c r="AE165" s="409">
        <f t="shared" si="53"/>
        <v>1800</v>
      </c>
      <c r="AF165" s="409">
        <f t="shared" si="53"/>
        <v>1800</v>
      </c>
    </row>
    <row r="166" ht="22.8" customHeight="1" spans="2:32">
      <c r="B166" s="408"/>
      <c r="C166" s="440" t="s">
        <v>569</v>
      </c>
      <c r="D166" s="409">
        <f>SUM(F166:AF166)</f>
        <v>1800</v>
      </c>
      <c r="E166" s="410" t="s">
        <v>24</v>
      </c>
      <c r="F166" s="409"/>
      <c r="G166" s="409"/>
      <c r="H166" s="409"/>
      <c r="I166" s="409"/>
      <c r="J166" s="409">
        <f t="shared" ref="J166:P166" si="54">J69</f>
        <v>540</v>
      </c>
      <c r="K166" s="409">
        <f t="shared" si="54"/>
        <v>1260</v>
      </c>
      <c r="L166" s="409">
        <f t="shared" si="54"/>
        <v>0</v>
      </c>
      <c r="M166" s="409">
        <f t="shared" si="54"/>
        <v>0</v>
      </c>
      <c r="N166" s="409">
        <f t="shared" si="54"/>
        <v>0</v>
      </c>
      <c r="O166" s="409">
        <f t="shared" si="54"/>
        <v>0</v>
      </c>
      <c r="P166" s="409">
        <f t="shared" si="54"/>
        <v>0</v>
      </c>
      <c r="Q166" s="409">
        <f t="shared" ref="Q166:AF166" si="55">Q69</f>
        <v>0</v>
      </c>
      <c r="R166" s="409">
        <f t="shared" si="55"/>
        <v>0</v>
      </c>
      <c r="S166" s="409">
        <f t="shared" si="55"/>
        <v>0</v>
      </c>
      <c r="T166" s="409">
        <f t="shared" si="55"/>
        <v>0</v>
      </c>
      <c r="U166" s="409">
        <f t="shared" si="55"/>
        <v>0</v>
      </c>
      <c r="V166" s="409">
        <f t="shared" si="55"/>
        <v>0</v>
      </c>
      <c r="W166" s="409">
        <f t="shared" si="55"/>
        <v>0</v>
      </c>
      <c r="X166" s="409">
        <f t="shared" si="55"/>
        <v>0</v>
      </c>
      <c r="Y166" s="409">
        <f t="shared" si="55"/>
        <v>0</v>
      </c>
      <c r="Z166" s="409">
        <f t="shared" si="55"/>
        <v>0</v>
      </c>
      <c r="AA166" s="409">
        <f t="shared" si="55"/>
        <v>0</v>
      </c>
      <c r="AB166" s="409">
        <f t="shared" si="55"/>
        <v>0</v>
      </c>
      <c r="AC166" s="409">
        <f t="shared" si="55"/>
        <v>0</v>
      </c>
      <c r="AD166" s="409">
        <f t="shared" si="55"/>
        <v>0</v>
      </c>
      <c r="AE166" s="409">
        <f t="shared" si="55"/>
        <v>0</v>
      </c>
      <c r="AF166" s="409">
        <f t="shared" si="55"/>
        <v>0</v>
      </c>
    </row>
    <row r="167" customFormat="1" ht="22.8" customHeight="1" spans="2:32">
      <c r="B167" s="408"/>
      <c r="C167" s="442" t="s">
        <v>570</v>
      </c>
      <c r="D167" s="409"/>
      <c r="E167" s="410" t="s">
        <v>24</v>
      </c>
      <c r="F167" s="409"/>
      <c r="G167" s="409"/>
      <c r="H167" s="409"/>
      <c r="I167" s="409"/>
      <c r="J167" s="409">
        <f>J70</f>
        <v>540</v>
      </c>
      <c r="K167" s="409">
        <f t="shared" ref="K167:AF167" si="56">K70</f>
        <v>1800</v>
      </c>
      <c r="L167" s="409">
        <f t="shared" si="56"/>
        <v>1800</v>
      </c>
      <c r="M167" s="409">
        <f t="shared" si="56"/>
        <v>1800</v>
      </c>
      <c r="N167" s="409">
        <f t="shared" si="56"/>
        <v>1800</v>
      </c>
      <c r="O167" s="409">
        <f t="shared" si="56"/>
        <v>1800</v>
      </c>
      <c r="P167" s="409">
        <f t="shared" si="56"/>
        <v>1800</v>
      </c>
      <c r="Q167" s="409">
        <f t="shared" si="56"/>
        <v>1800</v>
      </c>
      <c r="R167" s="409">
        <f t="shared" si="56"/>
        <v>1800</v>
      </c>
      <c r="S167" s="409">
        <f t="shared" si="56"/>
        <v>1800</v>
      </c>
      <c r="T167" s="409">
        <f t="shared" si="56"/>
        <v>1800</v>
      </c>
      <c r="U167" s="409">
        <f t="shared" si="56"/>
        <v>1800</v>
      </c>
      <c r="V167" s="409">
        <f t="shared" si="56"/>
        <v>1800</v>
      </c>
      <c r="W167" s="409">
        <f t="shared" si="56"/>
        <v>1800</v>
      </c>
      <c r="X167" s="409">
        <f t="shared" si="56"/>
        <v>1800</v>
      </c>
      <c r="Y167" s="409">
        <f t="shared" si="56"/>
        <v>1800</v>
      </c>
      <c r="Z167" s="409">
        <f t="shared" si="56"/>
        <v>1800</v>
      </c>
      <c r="AA167" s="409">
        <f t="shared" si="56"/>
        <v>1800</v>
      </c>
      <c r="AB167" s="409">
        <f t="shared" si="56"/>
        <v>1800</v>
      </c>
      <c r="AC167" s="409">
        <f t="shared" si="56"/>
        <v>1800</v>
      </c>
      <c r="AD167" s="409">
        <f t="shared" si="56"/>
        <v>1800</v>
      </c>
      <c r="AE167" s="409">
        <f t="shared" si="56"/>
        <v>1800</v>
      </c>
      <c r="AF167" s="409">
        <f t="shared" si="56"/>
        <v>1800</v>
      </c>
    </row>
    <row r="168" customFormat="1" ht="22.8" customHeight="1" spans="2:32">
      <c r="B168" s="408"/>
      <c r="C168" s="443" t="s">
        <v>571</v>
      </c>
      <c r="D168" s="409"/>
      <c r="E168" s="410" t="s">
        <v>24</v>
      </c>
      <c r="F168" s="409"/>
      <c r="G168" s="409"/>
      <c r="H168" s="409"/>
      <c r="I168" s="409"/>
      <c r="J168" s="409">
        <f>J71</f>
        <v>270</v>
      </c>
      <c r="K168" s="409">
        <f t="shared" ref="K168:AF168" si="57">K71</f>
        <v>180</v>
      </c>
      <c r="L168" s="409">
        <f t="shared" si="57"/>
        <v>0</v>
      </c>
      <c r="M168" s="409">
        <f t="shared" si="57"/>
        <v>0</v>
      </c>
      <c r="N168" s="409">
        <f t="shared" si="57"/>
        <v>0</v>
      </c>
      <c r="O168" s="409">
        <f t="shared" si="57"/>
        <v>0</v>
      </c>
      <c r="P168" s="409">
        <f t="shared" si="57"/>
        <v>0</v>
      </c>
      <c r="Q168" s="409">
        <f t="shared" si="57"/>
        <v>0</v>
      </c>
      <c r="R168" s="409">
        <f t="shared" si="57"/>
        <v>0</v>
      </c>
      <c r="S168" s="409">
        <f t="shared" si="57"/>
        <v>0</v>
      </c>
      <c r="T168" s="409">
        <f t="shared" si="57"/>
        <v>0</v>
      </c>
      <c r="U168" s="409">
        <f t="shared" si="57"/>
        <v>0</v>
      </c>
      <c r="V168" s="409">
        <f t="shared" si="57"/>
        <v>0</v>
      </c>
      <c r="W168" s="409">
        <f t="shared" si="57"/>
        <v>0</v>
      </c>
      <c r="X168" s="409">
        <f t="shared" si="57"/>
        <v>0</v>
      </c>
      <c r="Y168" s="409">
        <f t="shared" si="57"/>
        <v>0</v>
      </c>
      <c r="Z168" s="409">
        <f t="shared" si="57"/>
        <v>0</v>
      </c>
      <c r="AA168" s="409">
        <f t="shared" si="57"/>
        <v>0</v>
      </c>
      <c r="AB168" s="409">
        <f t="shared" si="57"/>
        <v>0</v>
      </c>
      <c r="AC168" s="409">
        <f t="shared" si="57"/>
        <v>0</v>
      </c>
      <c r="AD168" s="409">
        <f t="shared" si="57"/>
        <v>0</v>
      </c>
      <c r="AE168" s="409">
        <f t="shared" si="57"/>
        <v>0</v>
      </c>
      <c r="AF168" s="409">
        <f t="shared" si="57"/>
        <v>0</v>
      </c>
    </row>
    <row r="169" s="375" customFormat="1" ht="24" customHeight="1" spans="2:32">
      <c r="B169" s="408"/>
      <c r="C169" s="414" t="s">
        <v>572</v>
      </c>
      <c r="D169" s="415">
        <f>SUM(F169:AF169)</f>
        <v>1800</v>
      </c>
      <c r="E169" s="410" t="s">
        <v>24</v>
      </c>
      <c r="F169" s="415"/>
      <c r="G169" s="415"/>
      <c r="H169" s="415"/>
      <c r="I169" s="415"/>
      <c r="J169" s="415">
        <f t="shared" ref="J169:P169" si="58">SUM(J170:J172)</f>
        <v>15</v>
      </c>
      <c r="K169" s="415">
        <f t="shared" si="58"/>
        <v>90</v>
      </c>
      <c r="L169" s="415">
        <f t="shared" si="58"/>
        <v>100</v>
      </c>
      <c r="M169" s="415">
        <f t="shared" si="58"/>
        <v>100</v>
      </c>
      <c r="N169" s="415">
        <f t="shared" si="58"/>
        <v>100</v>
      </c>
      <c r="O169" s="415">
        <f t="shared" si="58"/>
        <v>100</v>
      </c>
      <c r="P169" s="415">
        <f t="shared" si="58"/>
        <v>100</v>
      </c>
      <c r="Q169" s="415">
        <f t="shared" ref="Q169:AF169" si="59">SUM(Q170:Q172)</f>
        <v>100</v>
      </c>
      <c r="R169" s="415">
        <f t="shared" si="59"/>
        <v>100</v>
      </c>
      <c r="S169" s="415">
        <f t="shared" si="59"/>
        <v>100</v>
      </c>
      <c r="T169" s="415">
        <f t="shared" si="59"/>
        <v>100</v>
      </c>
      <c r="U169" s="415">
        <f t="shared" si="59"/>
        <v>100</v>
      </c>
      <c r="V169" s="415">
        <f t="shared" si="59"/>
        <v>100</v>
      </c>
      <c r="W169" s="415">
        <f t="shared" si="59"/>
        <v>100</v>
      </c>
      <c r="X169" s="415">
        <f t="shared" si="59"/>
        <v>100</v>
      </c>
      <c r="Y169" s="415">
        <f t="shared" si="59"/>
        <v>100</v>
      </c>
      <c r="Z169" s="415">
        <f t="shared" si="59"/>
        <v>100</v>
      </c>
      <c r="AA169" s="415">
        <f t="shared" si="59"/>
        <v>100</v>
      </c>
      <c r="AB169" s="415">
        <f t="shared" si="59"/>
        <v>85</v>
      </c>
      <c r="AC169" s="415">
        <f t="shared" si="59"/>
        <v>10</v>
      </c>
      <c r="AD169" s="415">
        <f t="shared" si="59"/>
        <v>0</v>
      </c>
      <c r="AE169" s="415">
        <f t="shared" si="59"/>
        <v>0</v>
      </c>
      <c r="AF169" s="415">
        <f t="shared" si="59"/>
        <v>0</v>
      </c>
    </row>
    <row r="170" ht="21" customHeight="1" spans="2:32">
      <c r="B170" s="408"/>
      <c r="C170" s="444" t="s">
        <v>559</v>
      </c>
      <c r="D170" s="445">
        <f>SUM(F170:AF170)</f>
        <v>270</v>
      </c>
      <c r="E170" s="446" t="s">
        <v>24</v>
      </c>
      <c r="F170" s="445"/>
      <c r="G170" s="445"/>
      <c r="H170" s="445"/>
      <c r="I170" s="445"/>
      <c r="J170" s="445">
        <f t="shared" ref="J170:P170" si="60">J73</f>
        <v>15</v>
      </c>
      <c r="K170" s="445">
        <f t="shared" si="60"/>
        <v>15</v>
      </c>
      <c r="L170" s="445">
        <f t="shared" si="60"/>
        <v>15</v>
      </c>
      <c r="M170" s="445">
        <f t="shared" si="60"/>
        <v>15</v>
      </c>
      <c r="N170" s="445">
        <f t="shared" si="60"/>
        <v>15</v>
      </c>
      <c r="O170" s="445">
        <f t="shared" si="60"/>
        <v>15</v>
      </c>
      <c r="P170" s="445">
        <f t="shared" si="60"/>
        <v>15</v>
      </c>
      <c r="Q170" s="445">
        <f t="shared" ref="Q170:AF170" si="61">Q73</f>
        <v>15</v>
      </c>
      <c r="R170" s="445">
        <f t="shared" si="61"/>
        <v>15</v>
      </c>
      <c r="S170" s="445">
        <f t="shared" si="61"/>
        <v>15</v>
      </c>
      <c r="T170" s="445">
        <f t="shared" si="61"/>
        <v>15</v>
      </c>
      <c r="U170" s="445">
        <f t="shared" si="61"/>
        <v>15</v>
      </c>
      <c r="V170" s="445">
        <f t="shared" si="61"/>
        <v>15</v>
      </c>
      <c r="W170" s="445">
        <f t="shared" si="61"/>
        <v>15</v>
      </c>
      <c r="X170" s="445">
        <f t="shared" si="61"/>
        <v>15</v>
      </c>
      <c r="Y170" s="445">
        <f t="shared" si="61"/>
        <v>15</v>
      </c>
      <c r="Z170" s="445">
        <f t="shared" si="61"/>
        <v>15</v>
      </c>
      <c r="AA170" s="445">
        <f t="shared" si="61"/>
        <v>15</v>
      </c>
      <c r="AB170" s="445">
        <f t="shared" si="61"/>
        <v>0</v>
      </c>
      <c r="AC170" s="445">
        <f t="shared" si="61"/>
        <v>0</v>
      </c>
      <c r="AD170" s="445">
        <f t="shared" si="61"/>
        <v>0</v>
      </c>
      <c r="AE170" s="445">
        <f t="shared" si="61"/>
        <v>0</v>
      </c>
      <c r="AF170" s="445">
        <f t="shared" si="61"/>
        <v>0</v>
      </c>
    </row>
    <row r="171" ht="21" customHeight="1" spans="2:32">
      <c r="B171" s="408"/>
      <c r="C171" s="444" t="s">
        <v>560</v>
      </c>
      <c r="D171" s="445">
        <f>SUM(F171:AF171)</f>
        <v>1350</v>
      </c>
      <c r="E171" s="446" t="s">
        <v>24</v>
      </c>
      <c r="F171" s="445"/>
      <c r="G171" s="445"/>
      <c r="H171" s="445"/>
      <c r="I171" s="445"/>
      <c r="J171" s="445">
        <f t="shared" ref="J171:P171" si="62">J74</f>
        <v>0</v>
      </c>
      <c r="K171" s="445">
        <f t="shared" si="62"/>
        <v>75</v>
      </c>
      <c r="L171" s="445">
        <f t="shared" si="62"/>
        <v>75</v>
      </c>
      <c r="M171" s="445">
        <f t="shared" si="62"/>
        <v>75</v>
      </c>
      <c r="N171" s="445">
        <f t="shared" si="62"/>
        <v>75</v>
      </c>
      <c r="O171" s="445">
        <f t="shared" si="62"/>
        <v>75</v>
      </c>
      <c r="P171" s="445">
        <f t="shared" si="62"/>
        <v>75</v>
      </c>
      <c r="Q171" s="445">
        <f t="shared" ref="Q171:AF171" si="63">Q74</f>
        <v>75</v>
      </c>
      <c r="R171" s="445">
        <f t="shared" si="63"/>
        <v>75</v>
      </c>
      <c r="S171" s="445">
        <f t="shared" si="63"/>
        <v>75</v>
      </c>
      <c r="T171" s="445">
        <f t="shared" si="63"/>
        <v>75</v>
      </c>
      <c r="U171" s="445">
        <f t="shared" si="63"/>
        <v>75</v>
      </c>
      <c r="V171" s="445">
        <f t="shared" si="63"/>
        <v>75</v>
      </c>
      <c r="W171" s="445">
        <f t="shared" si="63"/>
        <v>75</v>
      </c>
      <c r="X171" s="445">
        <f t="shared" si="63"/>
        <v>75</v>
      </c>
      <c r="Y171" s="445">
        <f t="shared" si="63"/>
        <v>75</v>
      </c>
      <c r="Z171" s="445">
        <f t="shared" si="63"/>
        <v>75</v>
      </c>
      <c r="AA171" s="445">
        <f t="shared" si="63"/>
        <v>75</v>
      </c>
      <c r="AB171" s="445">
        <f t="shared" si="63"/>
        <v>75</v>
      </c>
      <c r="AC171" s="445">
        <f t="shared" si="63"/>
        <v>0</v>
      </c>
      <c r="AD171" s="445">
        <f t="shared" si="63"/>
        <v>0</v>
      </c>
      <c r="AE171" s="445">
        <f t="shared" si="63"/>
        <v>0</v>
      </c>
      <c r="AF171" s="445">
        <f t="shared" si="63"/>
        <v>0</v>
      </c>
    </row>
    <row r="172" ht="21" customHeight="1" spans="2:32">
      <c r="B172" s="408"/>
      <c r="C172" s="444" t="s">
        <v>561</v>
      </c>
      <c r="D172" s="445">
        <f>SUM(F172:AF172)</f>
        <v>180</v>
      </c>
      <c r="E172" s="446" t="s">
        <v>24</v>
      </c>
      <c r="F172" s="445"/>
      <c r="G172" s="445"/>
      <c r="H172" s="504"/>
      <c r="I172" s="504"/>
      <c r="J172" s="445">
        <f t="shared" ref="J172:P172" si="64">J75</f>
        <v>0</v>
      </c>
      <c r="K172" s="445">
        <f t="shared" si="64"/>
        <v>0</v>
      </c>
      <c r="L172" s="445">
        <f t="shared" si="64"/>
        <v>10</v>
      </c>
      <c r="M172" s="445">
        <f t="shared" si="64"/>
        <v>10</v>
      </c>
      <c r="N172" s="445">
        <f t="shared" si="64"/>
        <v>10</v>
      </c>
      <c r="O172" s="445">
        <f t="shared" si="64"/>
        <v>10</v>
      </c>
      <c r="P172" s="445">
        <f t="shared" si="64"/>
        <v>10</v>
      </c>
      <c r="Q172" s="445">
        <f t="shared" ref="Q172:AF172" si="65">Q75</f>
        <v>10</v>
      </c>
      <c r="R172" s="445">
        <f t="shared" si="65"/>
        <v>10</v>
      </c>
      <c r="S172" s="445">
        <f t="shared" si="65"/>
        <v>10</v>
      </c>
      <c r="T172" s="445">
        <f t="shared" si="65"/>
        <v>10</v>
      </c>
      <c r="U172" s="445">
        <f t="shared" si="65"/>
        <v>10</v>
      </c>
      <c r="V172" s="445">
        <f t="shared" si="65"/>
        <v>10</v>
      </c>
      <c r="W172" s="445">
        <f t="shared" si="65"/>
        <v>10</v>
      </c>
      <c r="X172" s="445">
        <f t="shared" si="65"/>
        <v>10</v>
      </c>
      <c r="Y172" s="445">
        <f t="shared" si="65"/>
        <v>10</v>
      </c>
      <c r="Z172" s="445">
        <f t="shared" si="65"/>
        <v>10</v>
      </c>
      <c r="AA172" s="445">
        <f t="shared" si="65"/>
        <v>10</v>
      </c>
      <c r="AB172" s="445">
        <f t="shared" si="65"/>
        <v>10</v>
      </c>
      <c r="AC172" s="445">
        <f t="shared" si="65"/>
        <v>10</v>
      </c>
      <c r="AD172" s="445">
        <f t="shared" si="65"/>
        <v>0</v>
      </c>
      <c r="AE172" s="445">
        <f t="shared" si="65"/>
        <v>0</v>
      </c>
      <c r="AF172" s="445">
        <f t="shared" si="65"/>
        <v>0</v>
      </c>
    </row>
    <row r="173" ht="21" customHeight="1" spans="2:32">
      <c r="B173" s="408"/>
      <c r="C173" s="443" t="s">
        <v>573</v>
      </c>
      <c r="D173" s="436"/>
      <c r="E173" s="448" t="s">
        <v>24</v>
      </c>
      <c r="F173" s="455"/>
      <c r="G173" s="455"/>
      <c r="H173" s="524"/>
      <c r="I173" s="524"/>
      <c r="J173" s="445">
        <f>J76</f>
        <v>15</v>
      </c>
      <c r="K173" s="445">
        <f t="shared" ref="K173:AF173" si="66">K76</f>
        <v>105</v>
      </c>
      <c r="L173" s="445">
        <f t="shared" si="66"/>
        <v>205</v>
      </c>
      <c r="M173" s="445">
        <f t="shared" si="66"/>
        <v>305</v>
      </c>
      <c r="N173" s="445">
        <f t="shared" si="66"/>
        <v>405</v>
      </c>
      <c r="O173" s="445">
        <f t="shared" si="66"/>
        <v>505</v>
      </c>
      <c r="P173" s="445">
        <f t="shared" si="66"/>
        <v>605</v>
      </c>
      <c r="Q173" s="445">
        <f t="shared" si="66"/>
        <v>705</v>
      </c>
      <c r="R173" s="445">
        <f t="shared" si="66"/>
        <v>805</v>
      </c>
      <c r="S173" s="445">
        <f t="shared" si="66"/>
        <v>905</v>
      </c>
      <c r="T173" s="445">
        <f t="shared" si="66"/>
        <v>1005</v>
      </c>
      <c r="U173" s="445">
        <f t="shared" si="66"/>
        <v>1105</v>
      </c>
      <c r="V173" s="445">
        <f t="shared" si="66"/>
        <v>1205</v>
      </c>
      <c r="W173" s="445">
        <f t="shared" si="66"/>
        <v>1305</v>
      </c>
      <c r="X173" s="445">
        <f t="shared" si="66"/>
        <v>1405</v>
      </c>
      <c r="Y173" s="445">
        <f t="shared" si="66"/>
        <v>1505</v>
      </c>
      <c r="Z173" s="445">
        <f t="shared" si="66"/>
        <v>1605</v>
      </c>
      <c r="AA173" s="445">
        <f t="shared" si="66"/>
        <v>1705</v>
      </c>
      <c r="AB173" s="445">
        <f t="shared" si="66"/>
        <v>1790</v>
      </c>
      <c r="AC173" s="445">
        <f t="shared" si="66"/>
        <v>1800</v>
      </c>
      <c r="AD173" s="445">
        <f t="shared" si="66"/>
        <v>1800</v>
      </c>
      <c r="AE173" s="445">
        <f t="shared" si="66"/>
        <v>1800</v>
      </c>
      <c r="AF173" s="445">
        <f t="shared" si="66"/>
        <v>1800</v>
      </c>
    </row>
    <row r="174" ht="24" customHeight="1" spans="2:32">
      <c r="B174" s="422"/>
      <c r="C174" s="423" t="s">
        <v>574</v>
      </c>
      <c r="D174" s="423"/>
      <c r="E174" s="425" t="s">
        <v>24</v>
      </c>
      <c r="F174" s="426"/>
      <c r="G174" s="426"/>
      <c r="H174" s="426"/>
      <c r="I174" s="426"/>
      <c r="J174" s="426">
        <f t="shared" ref="J174:P174" si="67">J77</f>
        <v>255</v>
      </c>
      <c r="K174" s="426">
        <f t="shared" si="67"/>
        <v>1515</v>
      </c>
      <c r="L174" s="426">
        <f t="shared" si="67"/>
        <v>1595</v>
      </c>
      <c r="M174" s="426">
        <f t="shared" si="67"/>
        <v>1495</v>
      </c>
      <c r="N174" s="426">
        <f t="shared" si="67"/>
        <v>1395</v>
      </c>
      <c r="O174" s="426">
        <f t="shared" si="67"/>
        <v>1295</v>
      </c>
      <c r="P174" s="426">
        <f t="shared" si="67"/>
        <v>1195</v>
      </c>
      <c r="Q174" s="426">
        <f t="shared" ref="Q174:AF174" si="68">Q77</f>
        <v>1095</v>
      </c>
      <c r="R174" s="426">
        <f t="shared" si="68"/>
        <v>995</v>
      </c>
      <c r="S174" s="426">
        <f t="shared" si="68"/>
        <v>895</v>
      </c>
      <c r="T174" s="426">
        <f t="shared" si="68"/>
        <v>795</v>
      </c>
      <c r="U174" s="426">
        <f t="shared" si="68"/>
        <v>695</v>
      </c>
      <c r="V174" s="426">
        <f t="shared" si="68"/>
        <v>595</v>
      </c>
      <c r="W174" s="426">
        <f t="shared" si="68"/>
        <v>495</v>
      </c>
      <c r="X174" s="426">
        <f t="shared" si="68"/>
        <v>395</v>
      </c>
      <c r="Y174" s="426">
        <f t="shared" si="68"/>
        <v>295</v>
      </c>
      <c r="Z174" s="426">
        <f t="shared" si="68"/>
        <v>195</v>
      </c>
      <c r="AA174" s="426">
        <f t="shared" si="68"/>
        <v>95</v>
      </c>
      <c r="AB174" s="426">
        <f t="shared" si="68"/>
        <v>10</v>
      </c>
      <c r="AC174" s="426">
        <f t="shared" si="68"/>
        <v>0</v>
      </c>
      <c r="AD174" s="426">
        <f t="shared" si="68"/>
        <v>0</v>
      </c>
      <c r="AE174" s="426">
        <f t="shared" si="68"/>
        <v>0</v>
      </c>
      <c r="AF174" s="426">
        <f t="shared" si="68"/>
        <v>0</v>
      </c>
    </row>
    <row r="175" ht="24" customHeight="1" spans="2:32">
      <c r="B175" s="450">
        <v>4</v>
      </c>
      <c r="C175" s="428" t="s">
        <v>575</v>
      </c>
      <c r="D175" s="429"/>
      <c r="E175" s="430" t="s">
        <v>24</v>
      </c>
      <c r="F175" s="429"/>
      <c r="G175" s="429"/>
      <c r="H175" s="429"/>
      <c r="I175" s="429"/>
      <c r="J175" s="429">
        <f t="shared" ref="J175:AF175" si="69">J78</f>
        <v>0</v>
      </c>
      <c r="K175" s="429">
        <f t="shared" si="69"/>
        <v>0</v>
      </c>
      <c r="L175" s="429">
        <f t="shared" si="69"/>
        <v>0</v>
      </c>
      <c r="M175" s="429">
        <f t="shared" si="69"/>
        <v>0</v>
      </c>
      <c r="N175" s="429">
        <f t="shared" si="69"/>
        <v>0</v>
      </c>
      <c r="O175" s="429">
        <f t="shared" si="69"/>
        <v>0</v>
      </c>
      <c r="P175" s="429">
        <f t="shared" si="69"/>
        <v>0</v>
      </c>
      <c r="Q175" s="429">
        <f t="shared" si="69"/>
        <v>0</v>
      </c>
      <c r="R175" s="429">
        <f t="shared" si="69"/>
        <v>0</v>
      </c>
      <c r="S175" s="429">
        <f t="shared" si="69"/>
        <v>0</v>
      </c>
      <c r="T175" s="429">
        <f t="shared" si="69"/>
        <v>0</v>
      </c>
      <c r="U175" s="429">
        <f t="shared" si="69"/>
        <v>0</v>
      </c>
      <c r="V175" s="429">
        <f t="shared" si="69"/>
        <v>0</v>
      </c>
      <c r="W175" s="429">
        <f t="shared" si="69"/>
        <v>0</v>
      </c>
      <c r="X175" s="429">
        <f t="shared" si="69"/>
        <v>0</v>
      </c>
      <c r="Y175" s="429">
        <f t="shared" si="69"/>
        <v>0</v>
      </c>
      <c r="Z175" s="429">
        <f t="shared" si="69"/>
        <v>0</v>
      </c>
      <c r="AA175" s="429">
        <f t="shared" si="69"/>
        <v>0</v>
      </c>
      <c r="AB175" s="429">
        <f t="shared" si="69"/>
        <v>0</v>
      </c>
      <c r="AC175" s="429">
        <f t="shared" si="69"/>
        <v>0</v>
      </c>
      <c r="AD175" s="429">
        <f t="shared" si="69"/>
        <v>0</v>
      </c>
      <c r="AE175" s="429">
        <f t="shared" si="69"/>
        <v>0</v>
      </c>
      <c r="AF175" s="429">
        <f t="shared" si="69"/>
        <v>0</v>
      </c>
    </row>
    <row r="176" ht="24" customHeight="1" spans="2:32">
      <c r="B176" s="452"/>
      <c r="C176" s="259" t="s">
        <v>576</v>
      </c>
      <c r="D176" s="409">
        <f>SUM(F176:AF176)</f>
        <v>0</v>
      </c>
      <c r="E176" s="410"/>
      <c r="F176" s="409"/>
      <c r="G176" s="409"/>
      <c r="H176" s="409"/>
      <c r="I176" s="409"/>
      <c r="J176" s="409">
        <f t="shared" ref="J176:AF176" si="70">J79</f>
        <v>0</v>
      </c>
      <c r="K176" s="409">
        <f t="shared" si="70"/>
        <v>0</v>
      </c>
      <c r="L176" s="409">
        <f t="shared" si="70"/>
        <v>0</v>
      </c>
      <c r="M176" s="409">
        <f t="shared" si="70"/>
        <v>0</v>
      </c>
      <c r="N176" s="409">
        <f t="shared" si="70"/>
        <v>0</v>
      </c>
      <c r="O176" s="409">
        <f t="shared" si="70"/>
        <v>0</v>
      </c>
      <c r="P176" s="409">
        <f t="shared" si="70"/>
        <v>0</v>
      </c>
      <c r="Q176" s="409">
        <f t="shared" si="70"/>
        <v>0</v>
      </c>
      <c r="R176" s="409">
        <f t="shared" si="70"/>
        <v>0</v>
      </c>
      <c r="S176" s="409">
        <f t="shared" si="70"/>
        <v>0</v>
      </c>
      <c r="T176" s="409">
        <f t="shared" si="70"/>
        <v>0</v>
      </c>
      <c r="U176" s="409">
        <f t="shared" si="70"/>
        <v>0</v>
      </c>
      <c r="V176" s="409">
        <f t="shared" si="70"/>
        <v>0</v>
      </c>
      <c r="W176" s="409">
        <f t="shared" si="70"/>
        <v>0</v>
      </c>
      <c r="X176" s="409">
        <f t="shared" si="70"/>
        <v>0</v>
      </c>
      <c r="Y176" s="409">
        <f t="shared" si="70"/>
        <v>0</v>
      </c>
      <c r="Z176" s="409">
        <f t="shared" si="70"/>
        <v>0</v>
      </c>
      <c r="AA176" s="409">
        <f t="shared" si="70"/>
        <v>0</v>
      </c>
      <c r="AB176" s="409">
        <f t="shared" si="70"/>
        <v>0</v>
      </c>
      <c r="AC176" s="409">
        <f t="shared" si="70"/>
        <v>0</v>
      </c>
      <c r="AD176" s="409">
        <f t="shared" si="70"/>
        <v>0</v>
      </c>
      <c r="AE176" s="409">
        <f t="shared" si="70"/>
        <v>0</v>
      </c>
      <c r="AF176" s="409">
        <f t="shared" si="70"/>
        <v>0</v>
      </c>
    </row>
    <row r="177" s="375" customFormat="1" ht="24" customHeight="1" spans="2:32">
      <c r="B177" s="452"/>
      <c r="C177" s="414" t="s">
        <v>577</v>
      </c>
      <c r="D177" s="415">
        <f>SUM(F177:AF177)</f>
        <v>0</v>
      </c>
      <c r="E177" s="410" t="s">
        <v>24</v>
      </c>
      <c r="F177" s="415"/>
      <c r="G177" s="415"/>
      <c r="H177" s="415"/>
      <c r="I177" s="415"/>
      <c r="J177" s="415">
        <f t="shared" ref="J177:AF177" si="71">J80</f>
        <v>0</v>
      </c>
      <c r="K177" s="415">
        <f t="shared" si="71"/>
        <v>0</v>
      </c>
      <c r="L177" s="415">
        <f t="shared" si="71"/>
        <v>0</v>
      </c>
      <c r="M177" s="415">
        <f t="shared" si="71"/>
        <v>0</v>
      </c>
      <c r="N177" s="415">
        <f t="shared" si="71"/>
        <v>0</v>
      </c>
      <c r="O177" s="415">
        <f t="shared" si="71"/>
        <v>0</v>
      </c>
      <c r="P177" s="415">
        <f t="shared" si="71"/>
        <v>0</v>
      </c>
      <c r="Q177" s="415">
        <f t="shared" si="71"/>
        <v>0</v>
      </c>
      <c r="R177" s="415">
        <f t="shared" si="71"/>
        <v>0</v>
      </c>
      <c r="S177" s="415">
        <f t="shared" si="71"/>
        <v>0</v>
      </c>
      <c r="T177" s="415">
        <f t="shared" si="71"/>
        <v>0</v>
      </c>
      <c r="U177" s="415">
        <f t="shared" si="71"/>
        <v>0</v>
      </c>
      <c r="V177" s="415">
        <f t="shared" si="71"/>
        <v>0</v>
      </c>
      <c r="W177" s="415">
        <f t="shared" si="71"/>
        <v>0</v>
      </c>
      <c r="X177" s="415">
        <f t="shared" si="71"/>
        <v>0</v>
      </c>
      <c r="Y177" s="415">
        <f t="shared" si="71"/>
        <v>0</v>
      </c>
      <c r="Z177" s="415">
        <f t="shared" si="71"/>
        <v>0</v>
      </c>
      <c r="AA177" s="415">
        <f t="shared" si="71"/>
        <v>0</v>
      </c>
      <c r="AB177" s="415">
        <f t="shared" si="71"/>
        <v>0</v>
      </c>
      <c r="AC177" s="415">
        <f t="shared" si="71"/>
        <v>0</v>
      </c>
      <c r="AD177" s="415">
        <f t="shared" si="71"/>
        <v>0</v>
      </c>
      <c r="AE177" s="415">
        <f t="shared" si="71"/>
        <v>0</v>
      </c>
      <c r="AF177" s="415">
        <f t="shared" si="71"/>
        <v>0</v>
      </c>
    </row>
    <row r="178" ht="24" customHeight="1" spans="2:32">
      <c r="B178" s="457"/>
      <c r="C178" s="423" t="s">
        <v>579</v>
      </c>
      <c r="D178" s="426"/>
      <c r="E178" s="425"/>
      <c r="F178" s="426"/>
      <c r="G178" s="426"/>
      <c r="H178" s="426"/>
      <c r="I178" s="426"/>
      <c r="J178" s="426">
        <f t="shared" ref="J178:AF178" si="72">J109</f>
        <v>0</v>
      </c>
      <c r="K178" s="426">
        <f t="shared" si="72"/>
        <v>0</v>
      </c>
      <c r="L178" s="426">
        <f t="shared" si="72"/>
        <v>0</v>
      </c>
      <c r="M178" s="426">
        <f t="shared" si="72"/>
        <v>0</v>
      </c>
      <c r="N178" s="426">
        <f t="shared" si="72"/>
        <v>0</v>
      </c>
      <c r="O178" s="426">
        <f t="shared" si="72"/>
        <v>0</v>
      </c>
      <c r="P178" s="426">
        <f t="shared" si="72"/>
        <v>0</v>
      </c>
      <c r="Q178" s="426">
        <f t="shared" si="72"/>
        <v>0</v>
      </c>
      <c r="R178" s="426">
        <f t="shared" si="72"/>
        <v>0</v>
      </c>
      <c r="S178" s="426">
        <f t="shared" si="72"/>
        <v>0</v>
      </c>
      <c r="T178" s="426">
        <f t="shared" si="72"/>
        <v>0</v>
      </c>
      <c r="U178" s="426">
        <f t="shared" si="72"/>
        <v>0</v>
      </c>
      <c r="V178" s="426">
        <f t="shared" si="72"/>
        <v>0</v>
      </c>
      <c r="W178" s="426">
        <f t="shared" si="72"/>
        <v>0</v>
      </c>
      <c r="X178" s="426">
        <f t="shared" si="72"/>
        <v>0</v>
      </c>
      <c r="Y178" s="426">
        <f t="shared" si="72"/>
        <v>0</v>
      </c>
      <c r="Z178" s="426">
        <f t="shared" si="72"/>
        <v>0</v>
      </c>
      <c r="AA178" s="426">
        <f t="shared" si="72"/>
        <v>0</v>
      </c>
      <c r="AB178" s="426">
        <f t="shared" si="72"/>
        <v>0</v>
      </c>
      <c r="AC178" s="426">
        <f t="shared" si="72"/>
        <v>0</v>
      </c>
      <c r="AD178" s="426">
        <f t="shared" si="72"/>
        <v>0</v>
      </c>
      <c r="AE178" s="426">
        <f t="shared" si="72"/>
        <v>0</v>
      </c>
      <c r="AF178" s="426">
        <f t="shared" si="72"/>
        <v>0</v>
      </c>
    </row>
    <row r="179" ht="24" customHeight="1" spans="2:32">
      <c r="B179" s="458">
        <v>5</v>
      </c>
      <c r="C179" s="463" t="s">
        <v>601</v>
      </c>
      <c r="D179" s="460">
        <f>SUM(F179:AF179)</f>
        <v>126612.018823501</v>
      </c>
      <c r="E179" s="461" t="s">
        <v>24</v>
      </c>
      <c r="F179" s="462"/>
      <c r="G179" s="462"/>
      <c r="H179" s="462"/>
      <c r="I179" s="462"/>
      <c r="J179" s="462">
        <f t="shared" ref="J179:AF179" si="73">J155+J163+J169+J177</f>
        <v>1039.80963698483</v>
      </c>
      <c r="K179" s="462">
        <f t="shared" si="73"/>
        <v>6238.85782190897</v>
      </c>
      <c r="L179" s="462">
        <f t="shared" si="73"/>
        <v>6932.06424656553</v>
      </c>
      <c r="M179" s="462">
        <f t="shared" si="73"/>
        <v>7023.80736583158</v>
      </c>
      <c r="N179" s="462">
        <f t="shared" si="73"/>
        <v>7023.80736583158</v>
      </c>
      <c r="O179" s="462">
        <f t="shared" si="73"/>
        <v>7023.80736583158</v>
      </c>
      <c r="P179" s="462">
        <f t="shared" si="73"/>
        <v>7023.80736583158</v>
      </c>
      <c r="Q179" s="462">
        <f t="shared" si="73"/>
        <v>7023.80736583158</v>
      </c>
      <c r="R179" s="462">
        <f t="shared" si="73"/>
        <v>7023.80736583158</v>
      </c>
      <c r="S179" s="462">
        <f t="shared" si="73"/>
        <v>7023.80736583158</v>
      </c>
      <c r="T179" s="462">
        <f t="shared" si="73"/>
        <v>7023.80736583158</v>
      </c>
      <c r="U179" s="462">
        <f t="shared" si="73"/>
        <v>7023.80736583158</v>
      </c>
      <c r="V179" s="462">
        <f t="shared" si="73"/>
        <v>7023.80736583158</v>
      </c>
      <c r="W179" s="462">
        <f t="shared" si="73"/>
        <v>7023.80736583158</v>
      </c>
      <c r="X179" s="462">
        <f t="shared" si="73"/>
        <v>7023.80736583158</v>
      </c>
      <c r="Y179" s="462">
        <f t="shared" si="73"/>
        <v>7023.80736583158</v>
      </c>
      <c r="Z179" s="462">
        <f t="shared" si="73"/>
        <v>7023.80736583158</v>
      </c>
      <c r="AA179" s="462">
        <f t="shared" si="73"/>
        <v>7023.80736583158</v>
      </c>
      <c r="AB179" s="462">
        <f t="shared" si="73"/>
        <v>5983.99772884675</v>
      </c>
      <c r="AC179" s="462">
        <f t="shared" si="73"/>
        <v>784.949543922608</v>
      </c>
      <c r="AD179" s="462">
        <f t="shared" si="73"/>
        <v>91.743119266055</v>
      </c>
      <c r="AE179" s="462">
        <f t="shared" si="73"/>
        <v>91.743119266055</v>
      </c>
      <c r="AF179" s="462">
        <f t="shared" si="73"/>
        <v>91.743119266055</v>
      </c>
    </row>
    <row r="180" ht="21" customHeight="1" spans="2:32">
      <c r="B180" s="458">
        <v>6</v>
      </c>
      <c r="C180" s="463" t="s">
        <v>602</v>
      </c>
      <c r="D180" s="460">
        <f>SUM(F180:AF180)</f>
        <v>1076573.27013899</v>
      </c>
      <c r="E180" s="461" t="s">
        <v>24</v>
      </c>
      <c r="F180" s="462"/>
      <c r="G180" s="462"/>
      <c r="H180" s="462"/>
      <c r="I180" s="462"/>
      <c r="J180" s="462">
        <f>J160+J164+J174+J178</f>
        <v>17676.7638287421</v>
      </c>
      <c r="K180" s="462">
        <f t="shared" ref="K180:AF180" si="74">K160+K164+K174+K178</f>
        <v>117318.488979286</v>
      </c>
      <c r="L180" s="462">
        <f t="shared" si="74"/>
        <v>110566.42473272</v>
      </c>
      <c r="M180" s="462">
        <f t="shared" si="74"/>
        <v>104001.332963219</v>
      </c>
      <c r="N180" s="462">
        <f t="shared" si="74"/>
        <v>96977.5255973873</v>
      </c>
      <c r="O180" s="462">
        <f t="shared" si="74"/>
        <v>89953.7182315557</v>
      </c>
      <c r="P180" s="462">
        <f t="shared" si="74"/>
        <v>82929.9108657241</v>
      </c>
      <c r="Q180" s="462">
        <f t="shared" si="74"/>
        <v>75906.1034998925</v>
      </c>
      <c r="R180" s="462">
        <f t="shared" si="74"/>
        <v>69341.0117303912</v>
      </c>
      <c r="S180" s="462">
        <f t="shared" si="74"/>
        <v>62317.2043645596</v>
      </c>
      <c r="T180" s="462">
        <f t="shared" si="74"/>
        <v>55293.3969987281</v>
      </c>
      <c r="U180" s="462">
        <f t="shared" si="74"/>
        <v>48269.5896328965</v>
      </c>
      <c r="V180" s="462">
        <f t="shared" si="74"/>
        <v>41245.7822670649</v>
      </c>
      <c r="W180" s="462">
        <f t="shared" si="74"/>
        <v>34680.6904975636</v>
      </c>
      <c r="X180" s="462">
        <f t="shared" si="74"/>
        <v>27656.883131732</v>
      </c>
      <c r="Y180" s="462">
        <f t="shared" si="74"/>
        <v>20633.0757659004</v>
      </c>
      <c r="Z180" s="462">
        <f t="shared" si="74"/>
        <v>13609.2684000688</v>
      </c>
      <c r="AA180" s="462">
        <f t="shared" si="74"/>
        <v>6585.46103423726</v>
      </c>
      <c r="AB180" s="462">
        <f t="shared" si="74"/>
        <v>1060.17890172079</v>
      </c>
      <c r="AC180" s="462">
        <f t="shared" si="74"/>
        <v>275.229357798165</v>
      </c>
      <c r="AD180" s="462">
        <f t="shared" si="74"/>
        <v>183.48623853211</v>
      </c>
      <c r="AE180" s="462">
        <f t="shared" si="74"/>
        <v>91.7431192660551</v>
      </c>
      <c r="AF180" s="462">
        <f t="shared" si="74"/>
        <v>0</v>
      </c>
    </row>
    <row r="182" ht="17.25" spans="2:5">
      <c r="B182" s="397" t="s">
        <v>603</v>
      </c>
      <c r="C182" s="398"/>
      <c r="D182" s="399"/>
      <c r="E182" s="379"/>
    </row>
    <row r="183" ht="19.8" customHeight="1" spans="2:32">
      <c r="B183" s="467" t="s">
        <v>15</v>
      </c>
      <c r="C183" s="468" t="s">
        <v>16</v>
      </c>
      <c r="D183" s="468" t="s">
        <v>17</v>
      </c>
      <c r="E183" s="401" t="s">
        <v>18</v>
      </c>
      <c r="F183" s="10" t="s">
        <v>464</v>
      </c>
      <c r="G183" s="10" t="s">
        <v>465</v>
      </c>
      <c r="H183" s="10" t="s">
        <v>466</v>
      </c>
      <c r="I183" s="37">
        <v>45107</v>
      </c>
      <c r="J183" s="37">
        <v>45261</v>
      </c>
      <c r="K183" s="10" t="s">
        <v>20</v>
      </c>
      <c r="L183" s="10" t="s">
        <v>467</v>
      </c>
      <c r="M183" s="10" t="s">
        <v>468</v>
      </c>
      <c r="N183" s="10" t="s">
        <v>469</v>
      </c>
      <c r="O183" s="10" t="s">
        <v>470</v>
      </c>
      <c r="P183" s="10" t="s">
        <v>471</v>
      </c>
      <c r="Q183" s="10" t="s">
        <v>472</v>
      </c>
      <c r="R183" s="10" t="s">
        <v>473</v>
      </c>
      <c r="S183" s="10" t="s">
        <v>474</v>
      </c>
      <c r="T183" s="10" t="s">
        <v>475</v>
      </c>
      <c r="U183" s="10" t="s">
        <v>476</v>
      </c>
      <c r="V183" s="10" t="s">
        <v>477</v>
      </c>
      <c r="W183" s="10" t="s">
        <v>478</v>
      </c>
      <c r="X183" s="10" t="s">
        <v>479</v>
      </c>
      <c r="Y183" s="10" t="s">
        <v>480</v>
      </c>
      <c r="Z183" s="10" t="s">
        <v>481</v>
      </c>
      <c r="AA183" s="10" t="s">
        <v>482</v>
      </c>
      <c r="AB183" s="10" t="s">
        <v>483</v>
      </c>
      <c r="AC183" s="10" t="s">
        <v>484</v>
      </c>
      <c r="AD183" s="10" t="s">
        <v>485</v>
      </c>
      <c r="AE183" s="10" t="s">
        <v>486</v>
      </c>
      <c r="AF183" s="37">
        <v>53051</v>
      </c>
    </row>
    <row r="184" ht="19.8" customHeight="1" spans="2:32">
      <c r="B184" s="469"/>
      <c r="C184" s="470"/>
      <c r="D184" s="470"/>
      <c r="E184" s="471"/>
      <c r="F184" s="472">
        <v>1</v>
      </c>
      <c r="G184" s="472">
        <v>2</v>
      </c>
      <c r="H184" s="472">
        <v>3</v>
      </c>
      <c r="I184" s="472">
        <v>4</v>
      </c>
      <c r="J184" s="497">
        <v>5</v>
      </c>
      <c r="K184" s="497">
        <v>6</v>
      </c>
      <c r="L184" s="497">
        <v>7</v>
      </c>
      <c r="M184" s="497">
        <v>8</v>
      </c>
      <c r="N184" s="497">
        <v>9</v>
      </c>
      <c r="O184" s="497">
        <v>10</v>
      </c>
      <c r="P184" s="497">
        <v>11</v>
      </c>
      <c r="Q184" s="497">
        <v>12</v>
      </c>
      <c r="R184" s="497">
        <v>13</v>
      </c>
      <c r="S184" s="497">
        <v>14</v>
      </c>
      <c r="T184" s="497">
        <v>15</v>
      </c>
      <c r="U184" s="497">
        <v>16</v>
      </c>
      <c r="V184" s="497">
        <v>17</v>
      </c>
      <c r="W184" s="497">
        <v>18</v>
      </c>
      <c r="X184" s="497">
        <v>19</v>
      </c>
      <c r="Y184" s="497">
        <v>20</v>
      </c>
      <c r="Z184" s="497">
        <v>21</v>
      </c>
      <c r="AA184" s="497">
        <v>22</v>
      </c>
      <c r="AB184" s="497">
        <v>23</v>
      </c>
      <c r="AC184" s="497">
        <v>24</v>
      </c>
      <c r="AD184" s="497">
        <v>25</v>
      </c>
      <c r="AE184" s="497">
        <v>26</v>
      </c>
      <c r="AF184" s="497">
        <v>27</v>
      </c>
    </row>
    <row r="185" ht="17.25" spans="2:32">
      <c r="B185" s="473">
        <v>1</v>
      </c>
      <c r="C185" s="474" t="s">
        <v>316</v>
      </c>
      <c r="D185" s="475"/>
      <c r="E185" s="476" t="s">
        <v>78</v>
      </c>
      <c r="F185" s="477">
        <f>F116</f>
        <v>0</v>
      </c>
      <c r="G185" s="477">
        <f t="shared" ref="G185:AF185" si="75">G116</f>
        <v>0</v>
      </c>
      <c r="H185" s="477">
        <f t="shared" si="75"/>
        <v>36000</v>
      </c>
      <c r="I185" s="477">
        <f t="shared" si="75"/>
        <v>36255.19572</v>
      </c>
      <c r="J185" s="477">
        <f t="shared" si="75"/>
        <v>36255.19572</v>
      </c>
      <c r="K185" s="477">
        <f t="shared" si="75"/>
        <v>36255.19572</v>
      </c>
      <c r="L185" s="477">
        <f t="shared" si="75"/>
        <v>36255.19572</v>
      </c>
      <c r="M185" s="477">
        <f t="shared" si="75"/>
        <v>36255.19572</v>
      </c>
      <c r="N185" s="477">
        <f t="shared" si="75"/>
        <v>36255.19572</v>
      </c>
      <c r="O185" s="477">
        <f t="shared" si="75"/>
        <v>36255.19572</v>
      </c>
      <c r="P185" s="477">
        <f t="shared" si="75"/>
        <v>36255.19572</v>
      </c>
      <c r="Q185" s="477">
        <f t="shared" si="75"/>
        <v>36255.19572</v>
      </c>
      <c r="R185" s="477">
        <f t="shared" si="75"/>
        <v>36255.19572</v>
      </c>
      <c r="S185" s="477">
        <f t="shared" si="75"/>
        <v>36255.19572</v>
      </c>
      <c r="T185" s="477">
        <f t="shared" si="75"/>
        <v>36255.19572</v>
      </c>
      <c r="U185" s="477">
        <f t="shared" si="75"/>
        <v>36255.19572</v>
      </c>
      <c r="V185" s="477">
        <f t="shared" si="75"/>
        <v>36255.19572</v>
      </c>
      <c r="W185" s="477">
        <f t="shared" si="75"/>
        <v>36255.19572</v>
      </c>
      <c r="X185" s="477">
        <f t="shared" si="75"/>
        <v>36255.19572</v>
      </c>
      <c r="Y185" s="477">
        <f t="shared" si="75"/>
        <v>36255.19572</v>
      </c>
      <c r="Z185" s="477">
        <f t="shared" si="75"/>
        <v>36255.19572</v>
      </c>
      <c r="AA185" s="477">
        <f t="shared" si="75"/>
        <v>36255.19572</v>
      </c>
      <c r="AB185" s="477">
        <f t="shared" si="75"/>
        <v>36255.19572</v>
      </c>
      <c r="AC185" s="477">
        <f t="shared" si="75"/>
        <v>36255.19572</v>
      </c>
      <c r="AD185" s="477">
        <f t="shared" si="75"/>
        <v>36255.19572</v>
      </c>
      <c r="AE185" s="477">
        <f t="shared" si="75"/>
        <v>36255.19572</v>
      </c>
      <c r="AF185" s="477">
        <f t="shared" si="75"/>
        <v>36255.19572</v>
      </c>
    </row>
    <row r="186" ht="17.25" spans="2:32">
      <c r="B186" s="404"/>
      <c r="C186" s="414" t="s">
        <v>583</v>
      </c>
      <c r="D186" s="460">
        <f>SUM(F186:AF186)</f>
        <v>30255.19572</v>
      </c>
      <c r="E186" s="410"/>
      <c r="F186" s="478">
        <f t="shared" ref="F186:F194" si="76">F117</f>
        <v>0</v>
      </c>
      <c r="G186" s="478">
        <f t="shared" ref="G186:AF186" si="77">G117</f>
        <v>0</v>
      </c>
      <c r="H186" s="478">
        <f t="shared" si="77"/>
        <v>0</v>
      </c>
      <c r="I186" s="478">
        <f t="shared" si="77"/>
        <v>887.292227</v>
      </c>
      <c r="J186" s="478">
        <f t="shared" si="77"/>
        <v>1048.85369617857</v>
      </c>
      <c r="K186" s="478">
        <f t="shared" si="77"/>
        <v>2097.70739235714</v>
      </c>
      <c r="L186" s="478">
        <f t="shared" si="77"/>
        <v>2097.70739235714</v>
      </c>
      <c r="M186" s="478">
        <f t="shared" si="77"/>
        <v>2097.70739235714</v>
      </c>
      <c r="N186" s="478">
        <f t="shared" si="77"/>
        <v>2097.70739235714</v>
      </c>
      <c r="O186" s="478">
        <f t="shared" si="77"/>
        <v>2097.70739235714</v>
      </c>
      <c r="P186" s="478">
        <f t="shared" si="77"/>
        <v>2097.70739235714</v>
      </c>
      <c r="Q186" s="478">
        <f t="shared" si="77"/>
        <v>2097.70739235714</v>
      </c>
      <c r="R186" s="478">
        <f t="shared" si="77"/>
        <v>2097.70739235714</v>
      </c>
      <c r="S186" s="478">
        <f t="shared" si="77"/>
        <v>2097.70739235714</v>
      </c>
      <c r="T186" s="478">
        <f t="shared" si="77"/>
        <v>2097.70739235714</v>
      </c>
      <c r="U186" s="478">
        <f t="shared" si="77"/>
        <v>2097.70739235714</v>
      </c>
      <c r="V186" s="478">
        <f t="shared" si="77"/>
        <v>2097.70739235714</v>
      </c>
      <c r="W186" s="478">
        <f t="shared" si="77"/>
        <v>2097.70739235714</v>
      </c>
      <c r="X186" s="478">
        <f t="shared" si="77"/>
        <v>1048.85369617856</v>
      </c>
      <c r="Y186" s="478">
        <f t="shared" si="77"/>
        <v>0</v>
      </c>
      <c r="Z186" s="478">
        <f t="shared" si="77"/>
        <v>0</v>
      </c>
      <c r="AA186" s="478">
        <f t="shared" si="77"/>
        <v>0</v>
      </c>
      <c r="AB186" s="478">
        <f t="shared" si="77"/>
        <v>0</v>
      </c>
      <c r="AC186" s="478">
        <f t="shared" si="77"/>
        <v>0</v>
      </c>
      <c r="AD186" s="478">
        <f t="shared" si="77"/>
        <v>0</v>
      </c>
      <c r="AE186" s="478">
        <f t="shared" si="77"/>
        <v>0</v>
      </c>
      <c r="AF186" s="478">
        <f t="shared" si="77"/>
        <v>0</v>
      </c>
    </row>
    <row r="187" ht="17.25" spans="2:32">
      <c r="B187" s="404"/>
      <c r="C187" s="417" t="s">
        <v>584</v>
      </c>
      <c r="D187" s="418"/>
      <c r="E187" s="360"/>
      <c r="F187" s="477">
        <f t="shared" si="76"/>
        <v>0</v>
      </c>
      <c r="G187" s="477">
        <f t="shared" ref="G187:AF187" si="78">G118</f>
        <v>0</v>
      </c>
      <c r="H187" s="477">
        <f t="shared" si="78"/>
        <v>6000</v>
      </c>
      <c r="I187" s="477">
        <f t="shared" si="78"/>
        <v>6887.292227</v>
      </c>
      <c r="J187" s="477">
        <f t="shared" si="78"/>
        <v>7936.14592317857</v>
      </c>
      <c r="K187" s="477">
        <f t="shared" si="78"/>
        <v>10033.8533155357</v>
      </c>
      <c r="L187" s="477">
        <f t="shared" si="78"/>
        <v>12131.5607078929</v>
      </c>
      <c r="M187" s="477">
        <f t="shared" si="78"/>
        <v>14229.26810025</v>
      </c>
      <c r="N187" s="477">
        <f t="shared" si="78"/>
        <v>16326.9754926071</v>
      </c>
      <c r="O187" s="477">
        <f t="shared" si="78"/>
        <v>18424.6828849643</v>
      </c>
      <c r="P187" s="477">
        <f t="shared" si="78"/>
        <v>20522.3902773214</v>
      </c>
      <c r="Q187" s="477">
        <f t="shared" si="78"/>
        <v>22620.0976696786</v>
      </c>
      <c r="R187" s="477">
        <f t="shared" si="78"/>
        <v>24717.8050620357</v>
      </c>
      <c r="S187" s="477">
        <f t="shared" si="78"/>
        <v>26815.5124543929</v>
      </c>
      <c r="T187" s="477">
        <f t="shared" si="78"/>
        <v>28913.21984675</v>
      </c>
      <c r="U187" s="477">
        <f t="shared" si="78"/>
        <v>31010.9272391071</v>
      </c>
      <c r="V187" s="477">
        <f t="shared" si="78"/>
        <v>33108.6346314643</v>
      </c>
      <c r="W187" s="477">
        <f t="shared" si="78"/>
        <v>35206.3420238214</v>
      </c>
      <c r="X187" s="477">
        <f t="shared" si="78"/>
        <v>36255.19572</v>
      </c>
      <c r="Y187" s="477">
        <f t="shared" si="78"/>
        <v>36255.19572</v>
      </c>
      <c r="Z187" s="477">
        <f t="shared" si="78"/>
        <v>36255.19572</v>
      </c>
      <c r="AA187" s="477">
        <f t="shared" si="78"/>
        <v>36255.19572</v>
      </c>
      <c r="AB187" s="477">
        <f t="shared" si="78"/>
        <v>36255.19572</v>
      </c>
      <c r="AC187" s="477">
        <f t="shared" si="78"/>
        <v>36255.19572</v>
      </c>
      <c r="AD187" s="477">
        <f t="shared" si="78"/>
        <v>36255.19572</v>
      </c>
      <c r="AE187" s="477">
        <f t="shared" si="78"/>
        <v>36255.19572</v>
      </c>
      <c r="AF187" s="477">
        <f t="shared" si="78"/>
        <v>36255.19572</v>
      </c>
    </row>
    <row r="188" ht="17.25" spans="2:32">
      <c r="B188" s="404"/>
      <c r="C188" s="479" t="s">
        <v>585</v>
      </c>
      <c r="D188" s="419"/>
      <c r="E188" s="480"/>
      <c r="F188" s="477">
        <f t="shared" si="76"/>
        <v>0</v>
      </c>
      <c r="G188" s="477">
        <f t="shared" ref="G188:AF188" si="79">G119</f>
        <v>0</v>
      </c>
      <c r="H188" s="477">
        <f t="shared" si="79"/>
        <v>30000</v>
      </c>
      <c r="I188" s="477">
        <f t="shared" si="79"/>
        <v>29367.903493</v>
      </c>
      <c r="J188" s="477">
        <f t="shared" si="79"/>
        <v>28319.0497968214</v>
      </c>
      <c r="K188" s="477">
        <f t="shared" si="79"/>
        <v>26221.3424044643</v>
      </c>
      <c r="L188" s="477">
        <f t="shared" si="79"/>
        <v>24123.6350121071</v>
      </c>
      <c r="M188" s="477">
        <f t="shared" si="79"/>
        <v>22025.92761975</v>
      </c>
      <c r="N188" s="477">
        <f t="shared" si="79"/>
        <v>19928.2202273929</v>
      </c>
      <c r="O188" s="477">
        <f t="shared" si="79"/>
        <v>17830.5128350357</v>
      </c>
      <c r="P188" s="477">
        <f t="shared" si="79"/>
        <v>15732.8054426786</v>
      </c>
      <c r="Q188" s="477">
        <f t="shared" si="79"/>
        <v>13635.0980503214</v>
      </c>
      <c r="R188" s="477">
        <f t="shared" si="79"/>
        <v>11537.3906579643</v>
      </c>
      <c r="S188" s="477">
        <f t="shared" si="79"/>
        <v>9439.68326560714</v>
      </c>
      <c r="T188" s="477">
        <f t="shared" si="79"/>
        <v>7341.97587325</v>
      </c>
      <c r="U188" s="477">
        <f t="shared" si="79"/>
        <v>5244.26848089285</v>
      </c>
      <c r="V188" s="477">
        <f t="shared" si="79"/>
        <v>3146.56108853571</v>
      </c>
      <c r="W188" s="477">
        <f t="shared" si="79"/>
        <v>1048.85369617856</v>
      </c>
      <c r="X188" s="477">
        <f t="shared" si="79"/>
        <v>0</v>
      </c>
      <c r="Y188" s="477">
        <f t="shared" si="79"/>
        <v>0</v>
      </c>
      <c r="Z188" s="477">
        <f t="shared" si="79"/>
        <v>0</v>
      </c>
      <c r="AA188" s="477">
        <f t="shared" si="79"/>
        <v>0</v>
      </c>
      <c r="AB188" s="477">
        <f t="shared" si="79"/>
        <v>0</v>
      </c>
      <c r="AC188" s="477">
        <f t="shared" si="79"/>
        <v>0</v>
      </c>
      <c r="AD188" s="477">
        <f t="shared" si="79"/>
        <v>0</v>
      </c>
      <c r="AE188" s="477">
        <f t="shared" si="79"/>
        <v>0</v>
      </c>
      <c r="AF188" s="477">
        <f t="shared" si="79"/>
        <v>0</v>
      </c>
    </row>
    <row r="189" spans="2:32">
      <c r="B189" s="473">
        <v>2</v>
      </c>
      <c r="C189" s="474" t="s">
        <v>564</v>
      </c>
      <c r="D189" s="475"/>
      <c r="E189" s="476"/>
      <c r="F189" s="477">
        <f t="shared" si="76"/>
        <v>0</v>
      </c>
      <c r="G189" s="477">
        <f t="shared" ref="G189:AF189" si="80">G120</f>
        <v>0</v>
      </c>
      <c r="H189" s="477">
        <f t="shared" si="80"/>
        <v>0</v>
      </c>
      <c r="I189" s="477">
        <f t="shared" si="80"/>
        <v>0</v>
      </c>
      <c r="J189" s="477">
        <f t="shared" si="80"/>
        <v>0</v>
      </c>
      <c r="K189" s="477">
        <f t="shared" si="80"/>
        <v>0</v>
      </c>
      <c r="L189" s="477">
        <f t="shared" si="80"/>
        <v>0</v>
      </c>
      <c r="M189" s="477">
        <f t="shared" si="80"/>
        <v>0</v>
      </c>
      <c r="N189" s="477">
        <f t="shared" si="80"/>
        <v>0</v>
      </c>
      <c r="O189" s="477">
        <f t="shared" si="80"/>
        <v>0</v>
      </c>
      <c r="P189" s="477">
        <f t="shared" si="80"/>
        <v>0</v>
      </c>
      <c r="Q189" s="477">
        <f t="shared" si="80"/>
        <v>0</v>
      </c>
      <c r="R189" s="477">
        <f t="shared" si="80"/>
        <v>0</v>
      </c>
      <c r="S189" s="477">
        <f t="shared" si="80"/>
        <v>0</v>
      </c>
      <c r="T189" s="477">
        <f t="shared" si="80"/>
        <v>0</v>
      </c>
      <c r="U189" s="477">
        <f t="shared" si="80"/>
        <v>0</v>
      </c>
      <c r="V189" s="477">
        <f t="shared" si="80"/>
        <v>0</v>
      </c>
      <c r="W189" s="477">
        <f t="shared" si="80"/>
        <v>0</v>
      </c>
      <c r="X189" s="477">
        <f t="shared" si="80"/>
        <v>0</v>
      </c>
      <c r="Y189" s="477">
        <f t="shared" si="80"/>
        <v>0</v>
      </c>
      <c r="Z189" s="477">
        <f t="shared" si="80"/>
        <v>0</v>
      </c>
      <c r="AA189" s="477">
        <f t="shared" si="80"/>
        <v>0</v>
      </c>
      <c r="AB189" s="477">
        <f t="shared" si="80"/>
        <v>0</v>
      </c>
      <c r="AC189" s="477">
        <f t="shared" si="80"/>
        <v>0</v>
      </c>
      <c r="AD189" s="477">
        <f t="shared" si="80"/>
        <v>0</v>
      </c>
      <c r="AE189" s="477">
        <f t="shared" si="80"/>
        <v>0</v>
      </c>
      <c r="AF189" s="477">
        <f t="shared" si="80"/>
        <v>0</v>
      </c>
    </row>
    <row r="190" s="374" customFormat="1" ht="17.25" spans="2:32">
      <c r="B190" s="482"/>
      <c r="C190" s="483" t="s">
        <v>586</v>
      </c>
      <c r="D190" s="415">
        <f>SUM(F190:AF190)</f>
        <v>0</v>
      </c>
      <c r="E190" s="484"/>
      <c r="F190" s="478">
        <f t="shared" si="76"/>
        <v>0</v>
      </c>
      <c r="G190" s="478">
        <f t="shared" ref="G190:AF190" si="81">G121</f>
        <v>0</v>
      </c>
      <c r="H190" s="478">
        <f t="shared" si="81"/>
        <v>0</v>
      </c>
      <c r="I190" s="478">
        <f t="shared" si="81"/>
        <v>0</v>
      </c>
      <c r="J190" s="478">
        <f t="shared" si="81"/>
        <v>0</v>
      </c>
      <c r="K190" s="478">
        <f t="shared" si="81"/>
        <v>0</v>
      </c>
      <c r="L190" s="478">
        <f t="shared" si="81"/>
        <v>0</v>
      </c>
      <c r="M190" s="478">
        <f t="shared" si="81"/>
        <v>0</v>
      </c>
      <c r="N190" s="478">
        <f t="shared" si="81"/>
        <v>0</v>
      </c>
      <c r="O190" s="478">
        <f t="shared" si="81"/>
        <v>0</v>
      </c>
      <c r="P190" s="478">
        <f t="shared" si="81"/>
        <v>0</v>
      </c>
      <c r="Q190" s="478">
        <f t="shared" si="81"/>
        <v>0</v>
      </c>
      <c r="R190" s="478">
        <f t="shared" si="81"/>
        <v>0</v>
      </c>
      <c r="S190" s="478">
        <f t="shared" si="81"/>
        <v>0</v>
      </c>
      <c r="T190" s="478">
        <f t="shared" si="81"/>
        <v>0</v>
      </c>
      <c r="U190" s="478">
        <f t="shared" si="81"/>
        <v>0</v>
      </c>
      <c r="V190" s="478">
        <f t="shared" si="81"/>
        <v>0</v>
      </c>
      <c r="W190" s="478">
        <f t="shared" si="81"/>
        <v>0</v>
      </c>
      <c r="X190" s="478">
        <f t="shared" si="81"/>
        <v>0</v>
      </c>
      <c r="Y190" s="478">
        <f t="shared" si="81"/>
        <v>0</v>
      </c>
      <c r="Z190" s="478">
        <f t="shared" si="81"/>
        <v>0</v>
      </c>
      <c r="AA190" s="478">
        <f t="shared" si="81"/>
        <v>0</v>
      </c>
      <c r="AB190" s="478">
        <f t="shared" si="81"/>
        <v>0</v>
      </c>
      <c r="AC190" s="478">
        <f t="shared" si="81"/>
        <v>0</v>
      </c>
      <c r="AD190" s="478">
        <f t="shared" si="81"/>
        <v>0</v>
      </c>
      <c r="AE190" s="478">
        <f t="shared" si="81"/>
        <v>0</v>
      </c>
      <c r="AF190" s="478">
        <f t="shared" si="81"/>
        <v>0</v>
      </c>
    </row>
    <row r="191" ht="17.25" spans="2:32">
      <c r="B191" s="486"/>
      <c r="C191" s="487" t="s">
        <v>567</v>
      </c>
      <c r="D191" s="488"/>
      <c r="E191" s="372"/>
      <c r="F191" s="477">
        <f t="shared" si="76"/>
        <v>0</v>
      </c>
      <c r="G191" s="477">
        <f t="shared" ref="G191:AF191" si="82">G122</f>
        <v>0</v>
      </c>
      <c r="H191" s="477">
        <f t="shared" si="82"/>
        <v>0</v>
      </c>
      <c r="I191" s="477">
        <f t="shared" si="82"/>
        <v>0</v>
      </c>
      <c r="J191" s="477">
        <f t="shared" si="82"/>
        <v>0</v>
      </c>
      <c r="K191" s="477">
        <f t="shared" si="82"/>
        <v>0</v>
      </c>
      <c r="L191" s="477">
        <f t="shared" si="82"/>
        <v>0</v>
      </c>
      <c r="M191" s="477">
        <f t="shared" si="82"/>
        <v>0</v>
      </c>
      <c r="N191" s="477">
        <f t="shared" si="82"/>
        <v>0</v>
      </c>
      <c r="O191" s="477">
        <f t="shared" si="82"/>
        <v>0</v>
      </c>
      <c r="P191" s="477">
        <f t="shared" si="82"/>
        <v>0</v>
      </c>
      <c r="Q191" s="477">
        <f t="shared" si="82"/>
        <v>0</v>
      </c>
      <c r="R191" s="477">
        <f t="shared" si="82"/>
        <v>0</v>
      </c>
      <c r="S191" s="477">
        <f t="shared" si="82"/>
        <v>0</v>
      </c>
      <c r="T191" s="477">
        <f t="shared" si="82"/>
        <v>0</v>
      </c>
      <c r="U191" s="477">
        <f t="shared" si="82"/>
        <v>0</v>
      </c>
      <c r="V191" s="477">
        <f t="shared" si="82"/>
        <v>0</v>
      </c>
      <c r="W191" s="477">
        <f t="shared" si="82"/>
        <v>0</v>
      </c>
      <c r="X191" s="477">
        <f t="shared" si="82"/>
        <v>0</v>
      </c>
      <c r="Y191" s="477">
        <f t="shared" si="82"/>
        <v>0</v>
      </c>
      <c r="Z191" s="477">
        <f t="shared" si="82"/>
        <v>0</v>
      </c>
      <c r="AA191" s="477">
        <f t="shared" si="82"/>
        <v>0</v>
      </c>
      <c r="AB191" s="477">
        <f t="shared" si="82"/>
        <v>0</v>
      </c>
      <c r="AC191" s="477">
        <f t="shared" si="82"/>
        <v>0</v>
      </c>
      <c r="AD191" s="477">
        <f t="shared" si="82"/>
        <v>0</v>
      </c>
      <c r="AE191" s="477">
        <f t="shared" si="82"/>
        <v>0</v>
      </c>
      <c r="AF191" s="477">
        <f t="shared" si="82"/>
        <v>0</v>
      </c>
    </row>
    <row r="192" spans="2:32">
      <c r="B192" s="473">
        <v>3</v>
      </c>
      <c r="C192" s="474" t="s">
        <v>587</v>
      </c>
      <c r="D192" s="491"/>
      <c r="E192" s="430"/>
      <c r="F192" s="477">
        <f t="shared" si="76"/>
        <v>0</v>
      </c>
      <c r="G192" s="477">
        <f t="shared" ref="G192:AF192" si="83">G123</f>
        <v>0</v>
      </c>
      <c r="H192" s="477">
        <f t="shared" si="83"/>
        <v>0</v>
      </c>
      <c r="I192" s="477">
        <f t="shared" si="83"/>
        <v>16</v>
      </c>
      <c r="J192" s="477">
        <f t="shared" si="83"/>
        <v>14.882016</v>
      </c>
      <c r="K192" s="477">
        <f t="shared" si="83"/>
        <v>14.1379152</v>
      </c>
      <c r="L192" s="477">
        <f t="shared" si="83"/>
        <v>12.6497136</v>
      </c>
      <c r="M192" s="477">
        <f t="shared" si="83"/>
        <v>11.161512</v>
      </c>
      <c r="N192" s="477">
        <f t="shared" si="83"/>
        <v>9.6733104</v>
      </c>
      <c r="O192" s="477">
        <f t="shared" si="83"/>
        <v>8.1851088</v>
      </c>
      <c r="P192" s="477">
        <f t="shared" si="83"/>
        <v>6.6969072</v>
      </c>
      <c r="Q192" s="477">
        <f t="shared" si="83"/>
        <v>5.2087056</v>
      </c>
      <c r="R192" s="477">
        <f t="shared" si="83"/>
        <v>3.720504</v>
      </c>
      <c r="S192" s="477">
        <f t="shared" si="83"/>
        <v>2.2323024</v>
      </c>
      <c r="T192" s="477">
        <f t="shared" si="83"/>
        <v>0.7441008</v>
      </c>
      <c r="U192" s="477">
        <f t="shared" si="83"/>
        <v>0</v>
      </c>
      <c r="V192" s="477">
        <f t="shared" si="83"/>
        <v>0</v>
      </c>
      <c r="W192" s="477">
        <f t="shared" si="83"/>
        <v>0</v>
      </c>
      <c r="X192" s="477">
        <f t="shared" si="83"/>
        <v>0</v>
      </c>
      <c r="Y192" s="477">
        <f t="shared" si="83"/>
        <v>0</v>
      </c>
      <c r="Z192" s="477">
        <f t="shared" si="83"/>
        <v>0</v>
      </c>
      <c r="AA192" s="477">
        <f t="shared" si="83"/>
        <v>0</v>
      </c>
      <c r="AB192" s="477">
        <f t="shared" si="83"/>
        <v>0</v>
      </c>
      <c r="AC192" s="477">
        <f t="shared" si="83"/>
        <v>0</v>
      </c>
      <c r="AD192" s="477">
        <f t="shared" si="83"/>
        <v>0</v>
      </c>
      <c r="AE192" s="477">
        <f t="shared" si="83"/>
        <v>0</v>
      </c>
      <c r="AF192" s="477">
        <f t="shared" si="83"/>
        <v>0</v>
      </c>
    </row>
    <row r="193" ht="17.25" spans="2:32">
      <c r="B193" s="404"/>
      <c r="C193" s="414" t="s">
        <v>588</v>
      </c>
      <c r="D193" s="415">
        <f>SUM(F193:AF193)</f>
        <v>16</v>
      </c>
      <c r="E193" s="410"/>
      <c r="F193" s="478">
        <f t="shared" si="76"/>
        <v>0</v>
      </c>
      <c r="G193" s="478">
        <f t="shared" ref="G193:AF193" si="84">G124</f>
        <v>0</v>
      </c>
      <c r="H193" s="478">
        <f t="shared" si="84"/>
        <v>0</v>
      </c>
      <c r="I193" s="478">
        <f t="shared" si="84"/>
        <v>1.117984</v>
      </c>
      <c r="J193" s="478">
        <f t="shared" si="84"/>
        <v>0.7441008</v>
      </c>
      <c r="K193" s="478">
        <f t="shared" si="84"/>
        <v>1.4882016</v>
      </c>
      <c r="L193" s="478">
        <f t="shared" si="84"/>
        <v>1.4882016</v>
      </c>
      <c r="M193" s="478">
        <f t="shared" si="84"/>
        <v>1.4882016</v>
      </c>
      <c r="N193" s="478">
        <f t="shared" si="84"/>
        <v>1.4882016</v>
      </c>
      <c r="O193" s="478">
        <f t="shared" si="84"/>
        <v>1.4882016</v>
      </c>
      <c r="P193" s="478">
        <f t="shared" si="84"/>
        <v>1.4882016</v>
      </c>
      <c r="Q193" s="478">
        <f t="shared" si="84"/>
        <v>1.4882016</v>
      </c>
      <c r="R193" s="478">
        <f t="shared" si="84"/>
        <v>1.4882016</v>
      </c>
      <c r="S193" s="478">
        <f t="shared" si="84"/>
        <v>1.4882016</v>
      </c>
      <c r="T193" s="478">
        <f t="shared" si="84"/>
        <v>0.7441008</v>
      </c>
      <c r="U193" s="478">
        <f t="shared" si="84"/>
        <v>0</v>
      </c>
      <c r="V193" s="478">
        <f t="shared" si="84"/>
        <v>0</v>
      </c>
      <c r="W193" s="478">
        <f t="shared" si="84"/>
        <v>0</v>
      </c>
      <c r="X193" s="478">
        <f t="shared" si="84"/>
        <v>0</v>
      </c>
      <c r="Y193" s="478">
        <f t="shared" si="84"/>
        <v>0</v>
      </c>
      <c r="Z193" s="478">
        <f t="shared" si="84"/>
        <v>0</v>
      </c>
      <c r="AA193" s="478">
        <f t="shared" si="84"/>
        <v>0</v>
      </c>
      <c r="AB193" s="478">
        <f t="shared" si="84"/>
        <v>0</v>
      </c>
      <c r="AC193" s="478">
        <f t="shared" si="84"/>
        <v>0</v>
      </c>
      <c r="AD193" s="478">
        <f t="shared" si="84"/>
        <v>0</v>
      </c>
      <c r="AE193" s="478">
        <f t="shared" si="84"/>
        <v>0</v>
      </c>
      <c r="AF193" s="478">
        <f t="shared" si="84"/>
        <v>0</v>
      </c>
    </row>
    <row r="194" ht="17.25" spans="2:32">
      <c r="B194" s="404"/>
      <c r="C194" s="479" t="s">
        <v>574</v>
      </c>
      <c r="D194" s="416"/>
      <c r="E194" s="492"/>
      <c r="F194" s="477">
        <f t="shared" si="76"/>
        <v>0</v>
      </c>
      <c r="G194" s="477">
        <f t="shared" ref="G194:AF194" si="85">G125</f>
        <v>0</v>
      </c>
      <c r="H194" s="477">
        <f t="shared" si="85"/>
        <v>16</v>
      </c>
      <c r="I194" s="477">
        <f t="shared" si="85"/>
        <v>14.882016</v>
      </c>
      <c r="J194" s="477">
        <f t="shared" si="85"/>
        <v>14.1379152</v>
      </c>
      <c r="K194" s="477">
        <f t="shared" si="85"/>
        <v>12.6497136</v>
      </c>
      <c r="L194" s="477">
        <f t="shared" si="85"/>
        <v>11.161512</v>
      </c>
      <c r="M194" s="477">
        <f t="shared" si="85"/>
        <v>9.6733104</v>
      </c>
      <c r="N194" s="477">
        <f t="shared" si="85"/>
        <v>8.1851088</v>
      </c>
      <c r="O194" s="477">
        <f t="shared" si="85"/>
        <v>6.6969072</v>
      </c>
      <c r="P194" s="477">
        <f t="shared" si="85"/>
        <v>5.2087056</v>
      </c>
      <c r="Q194" s="477">
        <f t="shared" si="85"/>
        <v>3.720504</v>
      </c>
      <c r="R194" s="477">
        <f t="shared" si="85"/>
        <v>2.2323024</v>
      </c>
      <c r="S194" s="477">
        <f t="shared" si="85"/>
        <v>0.7441008</v>
      </c>
      <c r="T194" s="477">
        <f t="shared" si="85"/>
        <v>0</v>
      </c>
      <c r="U194" s="477">
        <f t="shared" si="85"/>
        <v>0</v>
      </c>
      <c r="V194" s="477">
        <f t="shared" si="85"/>
        <v>0</v>
      </c>
      <c r="W194" s="477">
        <f t="shared" si="85"/>
        <v>0</v>
      </c>
      <c r="X194" s="477">
        <f t="shared" si="85"/>
        <v>0</v>
      </c>
      <c r="Y194" s="477">
        <f t="shared" si="85"/>
        <v>0</v>
      </c>
      <c r="Z194" s="477">
        <f t="shared" si="85"/>
        <v>0</v>
      </c>
      <c r="AA194" s="477">
        <f t="shared" si="85"/>
        <v>0</v>
      </c>
      <c r="AB194" s="477">
        <f t="shared" si="85"/>
        <v>0</v>
      </c>
      <c r="AC194" s="477">
        <f t="shared" si="85"/>
        <v>0</v>
      </c>
      <c r="AD194" s="477">
        <f t="shared" si="85"/>
        <v>0</v>
      </c>
      <c r="AE194" s="477">
        <f t="shared" si="85"/>
        <v>0</v>
      </c>
      <c r="AF194" s="477">
        <f t="shared" si="85"/>
        <v>0</v>
      </c>
    </row>
    <row r="195" ht="17.25" spans="2:32">
      <c r="B195" s="458">
        <v>4</v>
      </c>
      <c r="C195" s="459" t="s">
        <v>580</v>
      </c>
      <c r="D195" s="460">
        <f>SUM(F195:AF195)</f>
        <v>30271.19572</v>
      </c>
      <c r="E195" s="461" t="s">
        <v>24</v>
      </c>
      <c r="F195" s="462">
        <f t="shared" ref="F195:AF195" si="86">F186+F190+F193</f>
        <v>0</v>
      </c>
      <c r="G195" s="462">
        <f t="shared" si="86"/>
        <v>0</v>
      </c>
      <c r="H195" s="462">
        <f t="shared" si="86"/>
        <v>0</v>
      </c>
      <c r="I195" s="462">
        <f t="shared" si="86"/>
        <v>888.410211</v>
      </c>
      <c r="J195" s="462">
        <f t="shared" si="86"/>
        <v>1049.59779697857</v>
      </c>
      <c r="K195" s="462">
        <f t="shared" si="86"/>
        <v>2099.19559395714</v>
      </c>
      <c r="L195" s="462">
        <f t="shared" si="86"/>
        <v>2099.19559395714</v>
      </c>
      <c r="M195" s="462">
        <f t="shared" si="86"/>
        <v>2099.19559395714</v>
      </c>
      <c r="N195" s="462">
        <f t="shared" si="86"/>
        <v>2099.19559395714</v>
      </c>
      <c r="O195" s="462">
        <f t="shared" si="86"/>
        <v>2099.19559395714</v>
      </c>
      <c r="P195" s="462">
        <f t="shared" si="86"/>
        <v>2099.19559395714</v>
      </c>
      <c r="Q195" s="462">
        <f t="shared" si="86"/>
        <v>2099.19559395714</v>
      </c>
      <c r="R195" s="462">
        <f t="shared" si="86"/>
        <v>2099.19559395714</v>
      </c>
      <c r="S195" s="462">
        <f t="shared" si="86"/>
        <v>2099.19559395714</v>
      </c>
      <c r="T195" s="462">
        <f t="shared" si="86"/>
        <v>2098.45149315714</v>
      </c>
      <c r="U195" s="462">
        <f t="shared" si="86"/>
        <v>2097.70739235714</v>
      </c>
      <c r="V195" s="462">
        <f t="shared" si="86"/>
        <v>2097.70739235714</v>
      </c>
      <c r="W195" s="462">
        <f t="shared" si="86"/>
        <v>2097.70739235714</v>
      </c>
      <c r="X195" s="462">
        <f t="shared" si="86"/>
        <v>1048.85369617856</v>
      </c>
      <c r="Y195" s="462">
        <f t="shared" si="86"/>
        <v>0</v>
      </c>
      <c r="Z195" s="462">
        <f t="shared" si="86"/>
        <v>0</v>
      </c>
      <c r="AA195" s="462">
        <f t="shared" si="86"/>
        <v>0</v>
      </c>
      <c r="AB195" s="462">
        <f t="shared" si="86"/>
        <v>0</v>
      </c>
      <c r="AC195" s="462">
        <f t="shared" si="86"/>
        <v>0</v>
      </c>
      <c r="AD195" s="462">
        <f t="shared" si="86"/>
        <v>0</v>
      </c>
      <c r="AE195" s="462">
        <f t="shared" si="86"/>
        <v>0</v>
      </c>
      <c r="AF195" s="508">
        <f t="shared" si="86"/>
        <v>0</v>
      </c>
    </row>
    <row r="196" ht="17.25" spans="2:32">
      <c r="B196" s="458">
        <v>5</v>
      </c>
      <c r="C196" s="463" t="s">
        <v>581</v>
      </c>
      <c r="D196" s="460"/>
      <c r="E196" s="461" t="s">
        <v>24</v>
      </c>
      <c r="F196" s="462">
        <f t="shared" ref="F196:AF196" si="87">F188+F191+F194</f>
        <v>0</v>
      </c>
      <c r="G196" s="462">
        <f t="shared" si="87"/>
        <v>0</v>
      </c>
      <c r="H196" s="462">
        <f t="shared" si="87"/>
        <v>30016</v>
      </c>
      <c r="I196" s="462">
        <f t="shared" si="87"/>
        <v>29382.785509</v>
      </c>
      <c r="J196" s="462">
        <f t="shared" si="87"/>
        <v>28333.1877120214</v>
      </c>
      <c r="K196" s="462">
        <f t="shared" si="87"/>
        <v>26233.9921180643</v>
      </c>
      <c r="L196" s="462">
        <f t="shared" si="87"/>
        <v>24134.7965241071</v>
      </c>
      <c r="M196" s="462">
        <f t="shared" si="87"/>
        <v>22035.60093015</v>
      </c>
      <c r="N196" s="462">
        <f t="shared" si="87"/>
        <v>19936.4053361929</v>
      </c>
      <c r="O196" s="462">
        <f t="shared" si="87"/>
        <v>17837.2097422357</v>
      </c>
      <c r="P196" s="462">
        <f t="shared" si="87"/>
        <v>15738.0141482786</v>
      </c>
      <c r="Q196" s="462">
        <f t="shared" si="87"/>
        <v>13638.8185543214</v>
      </c>
      <c r="R196" s="462">
        <f t="shared" si="87"/>
        <v>11539.6229603643</v>
      </c>
      <c r="S196" s="462">
        <f t="shared" si="87"/>
        <v>9440.42736640714</v>
      </c>
      <c r="T196" s="462">
        <f t="shared" si="87"/>
        <v>7341.97587325</v>
      </c>
      <c r="U196" s="462">
        <f t="shared" si="87"/>
        <v>5244.26848089285</v>
      </c>
      <c r="V196" s="462">
        <f t="shared" si="87"/>
        <v>3146.56108853571</v>
      </c>
      <c r="W196" s="462">
        <f t="shared" si="87"/>
        <v>1048.85369617856</v>
      </c>
      <c r="X196" s="462">
        <f t="shared" si="87"/>
        <v>0</v>
      </c>
      <c r="Y196" s="462">
        <f t="shared" si="87"/>
        <v>0</v>
      </c>
      <c r="Z196" s="462">
        <f t="shared" si="87"/>
        <v>0</v>
      </c>
      <c r="AA196" s="462">
        <f t="shared" si="87"/>
        <v>0</v>
      </c>
      <c r="AB196" s="462">
        <f t="shared" si="87"/>
        <v>0</v>
      </c>
      <c r="AC196" s="462">
        <f t="shared" si="87"/>
        <v>0</v>
      </c>
      <c r="AD196" s="462">
        <f t="shared" si="87"/>
        <v>0</v>
      </c>
      <c r="AE196" s="462">
        <f t="shared" si="87"/>
        <v>0</v>
      </c>
      <c r="AF196" s="508">
        <f t="shared" si="87"/>
        <v>0</v>
      </c>
    </row>
    <row r="197" spans="2:32">
      <c r="B197" s="464"/>
      <c r="C197" s="375"/>
      <c r="D197" s="465"/>
      <c r="F197" s="466"/>
      <c r="G197" s="466"/>
      <c r="H197" s="466"/>
      <c r="I197" s="466"/>
      <c r="J197" s="466"/>
      <c r="K197" s="466"/>
      <c r="L197" s="466"/>
      <c r="M197" s="466"/>
      <c r="N197" s="466"/>
      <c r="O197" s="466"/>
      <c r="P197" s="466"/>
      <c r="Q197" s="466"/>
      <c r="R197" s="466"/>
      <c r="S197" s="466"/>
      <c r="T197" s="466"/>
      <c r="U197" s="466"/>
      <c r="V197" s="466"/>
      <c r="W197" s="466"/>
      <c r="X197" s="466"/>
      <c r="Y197" s="466"/>
      <c r="Z197" s="466"/>
      <c r="AA197" s="466"/>
      <c r="AB197" s="466"/>
      <c r="AC197" s="466"/>
      <c r="AD197" s="466"/>
      <c r="AE197" s="466"/>
      <c r="AF197" s="466"/>
    </row>
    <row r="198" ht="17.25" spans="2:5">
      <c r="B198" s="397" t="s">
        <v>604</v>
      </c>
      <c r="C198" s="398"/>
      <c r="D198" s="399"/>
      <c r="E198" s="379"/>
    </row>
    <row r="199" ht="19.8" customHeight="1" spans="2:32">
      <c r="B199" s="509" t="s">
        <v>15</v>
      </c>
      <c r="C199" s="510" t="s">
        <v>16</v>
      </c>
      <c r="D199" s="510" t="s">
        <v>17</v>
      </c>
      <c r="E199" s="511" t="s">
        <v>18</v>
      </c>
      <c r="F199" s="98" t="s">
        <v>464</v>
      </c>
      <c r="G199" s="98" t="s">
        <v>465</v>
      </c>
      <c r="H199" s="98" t="s">
        <v>466</v>
      </c>
      <c r="I199" s="126">
        <v>45107</v>
      </c>
      <c r="J199" s="126">
        <v>45261</v>
      </c>
      <c r="K199" s="98" t="s">
        <v>20</v>
      </c>
      <c r="L199" s="98" t="s">
        <v>467</v>
      </c>
      <c r="M199" s="98" t="s">
        <v>468</v>
      </c>
      <c r="N199" s="98" t="s">
        <v>469</v>
      </c>
      <c r="O199" s="98" t="s">
        <v>470</v>
      </c>
      <c r="P199" s="98" t="s">
        <v>471</v>
      </c>
      <c r="Q199" s="98" t="s">
        <v>472</v>
      </c>
      <c r="R199" s="98" t="s">
        <v>473</v>
      </c>
      <c r="S199" s="98" t="s">
        <v>474</v>
      </c>
      <c r="T199" s="98" t="s">
        <v>475</v>
      </c>
      <c r="U199" s="98" t="s">
        <v>476</v>
      </c>
      <c r="V199" s="98" t="s">
        <v>477</v>
      </c>
      <c r="W199" s="98" t="s">
        <v>478</v>
      </c>
      <c r="X199" s="98" t="s">
        <v>479</v>
      </c>
      <c r="Y199" s="98" t="s">
        <v>480</v>
      </c>
      <c r="Z199" s="98" t="s">
        <v>481</v>
      </c>
      <c r="AA199" s="98" t="s">
        <v>482</v>
      </c>
      <c r="AB199" s="98" t="s">
        <v>483</v>
      </c>
      <c r="AC199" s="98" t="s">
        <v>484</v>
      </c>
      <c r="AD199" s="98" t="s">
        <v>485</v>
      </c>
      <c r="AE199" s="98" t="s">
        <v>486</v>
      </c>
      <c r="AF199" s="525">
        <v>53051</v>
      </c>
    </row>
    <row r="200" ht="19.8" customHeight="1" spans="2:32">
      <c r="B200" s="512"/>
      <c r="C200" s="513"/>
      <c r="D200" s="513"/>
      <c r="E200" s="514"/>
      <c r="F200" s="14">
        <v>1</v>
      </c>
      <c r="G200" s="14">
        <v>2</v>
      </c>
      <c r="H200" s="14">
        <v>3</v>
      </c>
      <c r="I200" s="14">
        <v>4</v>
      </c>
      <c r="J200" s="38">
        <v>5</v>
      </c>
      <c r="K200" s="38">
        <v>6</v>
      </c>
      <c r="L200" s="38">
        <v>7</v>
      </c>
      <c r="M200" s="38">
        <v>8</v>
      </c>
      <c r="N200" s="38">
        <v>9</v>
      </c>
      <c r="O200" s="38">
        <v>10</v>
      </c>
      <c r="P200" s="38">
        <v>11</v>
      </c>
      <c r="Q200" s="38">
        <v>12</v>
      </c>
      <c r="R200" s="38">
        <v>13</v>
      </c>
      <c r="S200" s="38">
        <v>14</v>
      </c>
      <c r="T200" s="38">
        <v>15</v>
      </c>
      <c r="U200" s="38">
        <v>16</v>
      </c>
      <c r="V200" s="38">
        <v>17</v>
      </c>
      <c r="W200" s="38">
        <v>18</v>
      </c>
      <c r="X200" s="38">
        <v>19</v>
      </c>
      <c r="Y200" s="38">
        <v>20</v>
      </c>
      <c r="Z200" s="38">
        <v>21</v>
      </c>
      <c r="AA200" s="38">
        <v>22</v>
      </c>
      <c r="AB200" s="38">
        <v>23</v>
      </c>
      <c r="AC200" s="38">
        <v>24</v>
      </c>
      <c r="AD200" s="38">
        <v>25</v>
      </c>
      <c r="AE200" s="38">
        <v>26</v>
      </c>
      <c r="AF200" s="526">
        <v>27</v>
      </c>
    </row>
    <row r="201" spans="2:32">
      <c r="B201" s="452">
        <v>1</v>
      </c>
      <c r="C201" s="259" t="s">
        <v>583</v>
      </c>
      <c r="D201" s="409">
        <f t="shared" ref="D201:D204" si="88">SUM(F201:AF201)</f>
        <v>153232.352158179</v>
      </c>
      <c r="E201" s="337" t="s">
        <v>24</v>
      </c>
      <c r="F201" s="515">
        <f>F155+F177+F186</f>
        <v>0</v>
      </c>
      <c r="G201" s="515">
        <f t="shared" ref="G201:AF201" si="89">G155+G177+G186</f>
        <v>0</v>
      </c>
      <c r="H201" s="515">
        <f t="shared" si="89"/>
        <v>0</v>
      </c>
      <c r="I201" s="515">
        <f t="shared" si="89"/>
        <v>887.292227</v>
      </c>
      <c r="J201" s="515">
        <f t="shared" si="89"/>
        <v>2073.6633331634</v>
      </c>
      <c r="K201" s="515">
        <f t="shared" si="89"/>
        <v>8246.56521426612</v>
      </c>
      <c r="L201" s="515">
        <f t="shared" si="89"/>
        <v>8929.77163892267</v>
      </c>
      <c r="M201" s="515">
        <f t="shared" si="89"/>
        <v>8929.77163892267</v>
      </c>
      <c r="N201" s="515">
        <f t="shared" si="89"/>
        <v>8929.77163892267</v>
      </c>
      <c r="O201" s="515">
        <f t="shared" si="89"/>
        <v>8929.77163892267</v>
      </c>
      <c r="P201" s="515">
        <f t="shared" si="89"/>
        <v>8929.77163892267</v>
      </c>
      <c r="Q201" s="515">
        <f t="shared" si="89"/>
        <v>8929.77163892267</v>
      </c>
      <c r="R201" s="515">
        <f t="shared" si="89"/>
        <v>8929.77163892267</v>
      </c>
      <c r="S201" s="515">
        <f t="shared" si="89"/>
        <v>8929.77163892267</v>
      </c>
      <c r="T201" s="515">
        <f t="shared" si="89"/>
        <v>8929.77163892267</v>
      </c>
      <c r="U201" s="515">
        <f t="shared" si="89"/>
        <v>8929.77163892267</v>
      </c>
      <c r="V201" s="515">
        <f t="shared" si="89"/>
        <v>8929.77163892267</v>
      </c>
      <c r="W201" s="515">
        <f t="shared" si="89"/>
        <v>8929.77163892267</v>
      </c>
      <c r="X201" s="515">
        <f t="shared" si="89"/>
        <v>7880.91794274409</v>
      </c>
      <c r="Y201" s="515">
        <f t="shared" si="89"/>
        <v>6832.06424656553</v>
      </c>
      <c r="Z201" s="515">
        <f t="shared" si="89"/>
        <v>6832.06424656553</v>
      </c>
      <c r="AA201" s="515">
        <f t="shared" si="89"/>
        <v>6832.06424656553</v>
      </c>
      <c r="AB201" s="515">
        <f t="shared" si="89"/>
        <v>5807.2546095807</v>
      </c>
      <c r="AC201" s="515">
        <f t="shared" si="89"/>
        <v>683.206424656553</v>
      </c>
      <c r="AD201" s="515">
        <f t="shared" si="89"/>
        <v>0</v>
      </c>
      <c r="AE201" s="515">
        <f t="shared" si="89"/>
        <v>0</v>
      </c>
      <c r="AF201" s="515">
        <f t="shared" si="89"/>
        <v>0</v>
      </c>
    </row>
    <row r="202" spans="2:32">
      <c r="B202" s="452">
        <v>2</v>
      </c>
      <c r="C202" s="259" t="s">
        <v>586</v>
      </c>
      <c r="D202" s="409">
        <f t="shared" si="88"/>
        <v>1834.8623853211</v>
      </c>
      <c r="E202" s="337" t="s">
        <v>24</v>
      </c>
      <c r="F202" s="515">
        <f>F163+F190</f>
        <v>0</v>
      </c>
      <c r="G202" s="515">
        <f t="shared" ref="G202:AF202" si="90">G163+G190</f>
        <v>0</v>
      </c>
      <c r="H202" s="515">
        <f t="shared" si="90"/>
        <v>0</v>
      </c>
      <c r="I202" s="515">
        <f t="shared" si="90"/>
        <v>0</v>
      </c>
      <c r="J202" s="515">
        <f t="shared" si="90"/>
        <v>0</v>
      </c>
      <c r="K202" s="515">
        <f t="shared" si="90"/>
        <v>0</v>
      </c>
      <c r="L202" s="515">
        <f t="shared" si="90"/>
        <v>0</v>
      </c>
      <c r="M202" s="515">
        <f t="shared" si="90"/>
        <v>91.743119266055</v>
      </c>
      <c r="N202" s="515">
        <f t="shared" si="90"/>
        <v>91.743119266055</v>
      </c>
      <c r="O202" s="515">
        <f t="shared" si="90"/>
        <v>91.743119266055</v>
      </c>
      <c r="P202" s="515">
        <f t="shared" si="90"/>
        <v>91.743119266055</v>
      </c>
      <c r="Q202" s="515">
        <f t="shared" si="90"/>
        <v>91.743119266055</v>
      </c>
      <c r="R202" s="515">
        <f t="shared" si="90"/>
        <v>91.743119266055</v>
      </c>
      <c r="S202" s="515">
        <f t="shared" si="90"/>
        <v>91.743119266055</v>
      </c>
      <c r="T202" s="515">
        <f t="shared" si="90"/>
        <v>91.743119266055</v>
      </c>
      <c r="U202" s="515">
        <f t="shared" si="90"/>
        <v>91.743119266055</v>
      </c>
      <c r="V202" s="515">
        <f t="shared" si="90"/>
        <v>91.743119266055</v>
      </c>
      <c r="W202" s="515">
        <f t="shared" si="90"/>
        <v>91.743119266055</v>
      </c>
      <c r="X202" s="515">
        <f t="shared" si="90"/>
        <v>91.743119266055</v>
      </c>
      <c r="Y202" s="515">
        <f t="shared" si="90"/>
        <v>91.743119266055</v>
      </c>
      <c r="Z202" s="515">
        <f t="shared" si="90"/>
        <v>91.743119266055</v>
      </c>
      <c r="AA202" s="515">
        <f t="shared" si="90"/>
        <v>91.743119266055</v>
      </c>
      <c r="AB202" s="515">
        <f t="shared" si="90"/>
        <v>91.743119266055</v>
      </c>
      <c r="AC202" s="515">
        <f t="shared" si="90"/>
        <v>91.743119266055</v>
      </c>
      <c r="AD202" s="515">
        <f t="shared" si="90"/>
        <v>91.743119266055</v>
      </c>
      <c r="AE202" s="515">
        <f t="shared" si="90"/>
        <v>91.743119266055</v>
      </c>
      <c r="AF202" s="515">
        <f t="shared" si="90"/>
        <v>91.743119266055</v>
      </c>
    </row>
    <row r="203" spans="2:32">
      <c r="B203" s="452">
        <v>3</v>
      </c>
      <c r="C203" s="259" t="s">
        <v>588</v>
      </c>
      <c r="D203" s="409">
        <f t="shared" si="88"/>
        <v>1816</v>
      </c>
      <c r="E203" s="337" t="s">
        <v>24</v>
      </c>
      <c r="F203" s="515">
        <f>F169+F193</f>
        <v>0</v>
      </c>
      <c r="G203" s="515">
        <f t="shared" ref="G203:AF203" si="91">G169+G193</f>
        <v>0</v>
      </c>
      <c r="H203" s="515">
        <f t="shared" si="91"/>
        <v>0</v>
      </c>
      <c r="I203" s="515">
        <f t="shared" si="91"/>
        <v>1.117984</v>
      </c>
      <c r="J203" s="515">
        <f t="shared" si="91"/>
        <v>15.7441008</v>
      </c>
      <c r="K203" s="515">
        <f t="shared" si="91"/>
        <v>91.4882016</v>
      </c>
      <c r="L203" s="515">
        <f t="shared" si="91"/>
        <v>101.4882016</v>
      </c>
      <c r="M203" s="515">
        <f t="shared" si="91"/>
        <v>101.4882016</v>
      </c>
      <c r="N203" s="515">
        <f t="shared" si="91"/>
        <v>101.4882016</v>
      </c>
      <c r="O203" s="515">
        <f t="shared" si="91"/>
        <v>101.4882016</v>
      </c>
      <c r="P203" s="515">
        <f t="shared" si="91"/>
        <v>101.4882016</v>
      </c>
      <c r="Q203" s="515">
        <f t="shared" si="91"/>
        <v>101.4882016</v>
      </c>
      <c r="R203" s="515">
        <f t="shared" si="91"/>
        <v>101.4882016</v>
      </c>
      <c r="S203" s="515">
        <f t="shared" si="91"/>
        <v>101.4882016</v>
      </c>
      <c r="T203" s="515">
        <f t="shared" si="91"/>
        <v>100.7441008</v>
      </c>
      <c r="U203" s="515">
        <f t="shared" si="91"/>
        <v>100</v>
      </c>
      <c r="V203" s="515">
        <f t="shared" si="91"/>
        <v>100</v>
      </c>
      <c r="W203" s="515">
        <f t="shared" si="91"/>
        <v>100</v>
      </c>
      <c r="X203" s="515">
        <f t="shared" si="91"/>
        <v>100</v>
      </c>
      <c r="Y203" s="515">
        <f t="shared" si="91"/>
        <v>100</v>
      </c>
      <c r="Z203" s="515">
        <f t="shared" si="91"/>
        <v>100</v>
      </c>
      <c r="AA203" s="515">
        <f t="shared" si="91"/>
        <v>100</v>
      </c>
      <c r="AB203" s="515">
        <f t="shared" si="91"/>
        <v>85</v>
      </c>
      <c r="AC203" s="515">
        <f t="shared" si="91"/>
        <v>10</v>
      </c>
      <c r="AD203" s="515">
        <f t="shared" si="91"/>
        <v>0</v>
      </c>
      <c r="AE203" s="515">
        <f t="shared" si="91"/>
        <v>0</v>
      </c>
      <c r="AF203" s="515">
        <f t="shared" si="91"/>
        <v>0</v>
      </c>
    </row>
    <row r="204" ht="17.25" spans="2:32">
      <c r="B204" s="516">
        <v>4</v>
      </c>
      <c r="C204" s="517" t="s">
        <v>590</v>
      </c>
      <c r="D204" s="518">
        <f t="shared" si="88"/>
        <v>156883.214543501</v>
      </c>
      <c r="E204" s="519" t="s">
        <v>24</v>
      </c>
      <c r="F204" s="518">
        <f>SUM(F201:F203)</f>
        <v>0</v>
      </c>
      <c r="G204" s="518">
        <f t="shared" ref="G204:AF204" si="92">SUM(G201:G203)</f>
        <v>0</v>
      </c>
      <c r="H204" s="518">
        <f t="shared" si="92"/>
        <v>0</v>
      </c>
      <c r="I204" s="518">
        <f t="shared" si="92"/>
        <v>888.410211</v>
      </c>
      <c r="J204" s="518">
        <f t="shared" si="92"/>
        <v>2089.4074339634</v>
      </c>
      <c r="K204" s="518">
        <f t="shared" si="92"/>
        <v>8338.05341586612</v>
      </c>
      <c r="L204" s="518">
        <f t="shared" si="92"/>
        <v>9031.25984052267</v>
      </c>
      <c r="M204" s="518">
        <f t="shared" si="92"/>
        <v>9123.00295978872</v>
      </c>
      <c r="N204" s="518">
        <f t="shared" si="92"/>
        <v>9123.00295978872</v>
      </c>
      <c r="O204" s="518">
        <f t="shared" si="92"/>
        <v>9123.00295978872</v>
      </c>
      <c r="P204" s="518">
        <f t="shared" si="92"/>
        <v>9123.00295978872</v>
      </c>
      <c r="Q204" s="518">
        <f t="shared" si="92"/>
        <v>9123.00295978872</v>
      </c>
      <c r="R204" s="518">
        <f t="shared" si="92"/>
        <v>9123.00295978872</v>
      </c>
      <c r="S204" s="518">
        <f t="shared" si="92"/>
        <v>9123.00295978872</v>
      </c>
      <c r="T204" s="518">
        <f t="shared" si="92"/>
        <v>9122.25885898872</v>
      </c>
      <c r="U204" s="518">
        <f t="shared" si="92"/>
        <v>9121.51475818872</v>
      </c>
      <c r="V204" s="518">
        <f t="shared" si="92"/>
        <v>9121.51475818872</v>
      </c>
      <c r="W204" s="518">
        <f t="shared" si="92"/>
        <v>9121.51475818872</v>
      </c>
      <c r="X204" s="518">
        <f t="shared" si="92"/>
        <v>8072.66106201015</v>
      </c>
      <c r="Y204" s="518">
        <f t="shared" si="92"/>
        <v>7023.80736583158</v>
      </c>
      <c r="Z204" s="518">
        <f t="shared" si="92"/>
        <v>7023.80736583158</v>
      </c>
      <c r="AA204" s="518">
        <f t="shared" si="92"/>
        <v>7023.80736583158</v>
      </c>
      <c r="AB204" s="518">
        <f t="shared" si="92"/>
        <v>5983.99772884675</v>
      </c>
      <c r="AC204" s="518">
        <f t="shared" si="92"/>
        <v>784.949543922608</v>
      </c>
      <c r="AD204" s="518">
        <f t="shared" si="92"/>
        <v>91.743119266055</v>
      </c>
      <c r="AE204" s="518">
        <f t="shared" si="92"/>
        <v>91.743119266055</v>
      </c>
      <c r="AF204" s="518">
        <f t="shared" si="92"/>
        <v>91.743119266055</v>
      </c>
    </row>
  </sheetData>
  <mergeCells count="38">
    <mergeCell ref="B24:B25"/>
    <mergeCell ref="B27:B36"/>
    <mergeCell ref="B37:B67"/>
    <mergeCell ref="B68:B77"/>
    <mergeCell ref="B78:B109"/>
    <mergeCell ref="B114:B115"/>
    <mergeCell ref="B116:B119"/>
    <mergeCell ref="B120:B122"/>
    <mergeCell ref="B123:B125"/>
    <mergeCell ref="B130:B131"/>
    <mergeCell ref="B148:B149"/>
    <mergeCell ref="B150:B160"/>
    <mergeCell ref="B161:B164"/>
    <mergeCell ref="B165:B174"/>
    <mergeCell ref="B175:B178"/>
    <mergeCell ref="B183:B184"/>
    <mergeCell ref="B185:B188"/>
    <mergeCell ref="B189:B191"/>
    <mergeCell ref="B192:B194"/>
    <mergeCell ref="B199:B200"/>
    <mergeCell ref="C24:C25"/>
    <mergeCell ref="C114:C115"/>
    <mergeCell ref="C130:C131"/>
    <mergeCell ref="C148:C149"/>
    <mergeCell ref="C183:C184"/>
    <mergeCell ref="C199:C200"/>
    <mergeCell ref="D24:D25"/>
    <mergeCell ref="D114:D115"/>
    <mergeCell ref="D130:D131"/>
    <mergeCell ref="D148:D149"/>
    <mergeCell ref="D183:D184"/>
    <mergeCell ref="D199:D200"/>
    <mergeCell ref="E24:E25"/>
    <mergeCell ref="E114:E115"/>
    <mergeCell ref="E130:E131"/>
    <mergeCell ref="E148:E149"/>
    <mergeCell ref="E183:E184"/>
    <mergeCell ref="E199:E200"/>
  </mergeCells>
  <conditionalFormatting sqref="F79:AF79">
    <cfRule type="cellIs" dxfId="1" priority="2" operator="greaterThan">
      <formula>0</formula>
    </cfRule>
  </conditionalFormatting>
  <conditionalFormatting sqref="F176:AF176">
    <cfRule type="cellIs" dxfId="1" priority="1" operator="greaterThan">
      <formula>0</formula>
    </cfRule>
  </conditionalFormatting>
  <pageMargins left="0.7" right="0.7" top="0.75" bottom="0.75" header="0.3" footer="0.3"/>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B1:AF74"/>
  <sheetViews>
    <sheetView showGridLines="0" zoomScale="70" zoomScaleNormal="70" workbookViewId="0">
      <pane xSplit="4" ySplit="4" topLeftCell="E5" activePane="bottomRight" state="frozen"/>
      <selection/>
      <selection pane="topRight"/>
      <selection pane="bottomLeft"/>
      <selection pane="bottomRight" activeCell="F78" sqref="F78"/>
    </sheetView>
  </sheetViews>
  <sheetFormatPr defaultColWidth="8.78181818181818" defaultRowHeight="16.5"/>
  <cols>
    <col min="1" max="1" width="4.44545454545455" style="232" customWidth="1"/>
    <col min="2" max="2" width="8.78181818181818" style="232"/>
    <col min="3" max="3" width="46.7818181818182" style="232" customWidth="1"/>
    <col min="4" max="4" width="17.6636363636364" style="232" customWidth="1"/>
    <col min="5" max="5" width="8.78181818181818" style="232"/>
    <col min="6" max="7" width="10.5545454545455" style="232" customWidth="1"/>
    <col min="8" max="9" width="12.8909090909091" style="232" customWidth="1"/>
    <col min="10" max="10" width="14.7818181818182" style="232" customWidth="1"/>
    <col min="11" max="32" width="12.8909090909091" style="232" customWidth="1"/>
    <col min="33" max="16384" width="8.78181818181818" style="232"/>
  </cols>
  <sheetData>
    <row r="1" ht="9" customHeight="1"/>
    <row r="2" ht="18.45" customHeight="1" spans="2:2">
      <c r="B2" s="233" t="s">
        <v>605</v>
      </c>
    </row>
    <row r="3" spans="2:32">
      <c r="B3" s="234" t="s">
        <v>15</v>
      </c>
      <c r="C3" s="9" t="s">
        <v>463</v>
      </c>
      <c r="D3" s="9" t="s">
        <v>17</v>
      </c>
      <c r="E3" s="9" t="s">
        <v>18</v>
      </c>
      <c r="F3" s="10" t="s">
        <v>464</v>
      </c>
      <c r="G3" s="10" t="s">
        <v>465</v>
      </c>
      <c r="H3" s="10" t="s">
        <v>466</v>
      </c>
      <c r="I3" s="37">
        <v>45107</v>
      </c>
      <c r="J3" s="37">
        <v>45261</v>
      </c>
      <c r="K3" s="10" t="s">
        <v>20</v>
      </c>
      <c r="L3" s="10" t="s">
        <v>467</v>
      </c>
      <c r="M3" s="10" t="s">
        <v>468</v>
      </c>
      <c r="N3" s="10" t="s">
        <v>469</v>
      </c>
      <c r="O3" s="10" t="s">
        <v>470</v>
      </c>
      <c r="P3" s="10" t="s">
        <v>471</v>
      </c>
      <c r="Q3" s="10" t="s">
        <v>472</v>
      </c>
      <c r="R3" s="10" t="s">
        <v>473</v>
      </c>
      <c r="S3" s="10" t="s">
        <v>474</v>
      </c>
      <c r="T3" s="10" t="s">
        <v>475</v>
      </c>
      <c r="U3" s="10" t="s">
        <v>476</v>
      </c>
      <c r="V3" s="10" t="s">
        <v>477</v>
      </c>
      <c r="W3" s="10" t="s">
        <v>478</v>
      </c>
      <c r="X3" s="10" t="s">
        <v>479</v>
      </c>
      <c r="Y3" s="10" t="s">
        <v>480</v>
      </c>
      <c r="Z3" s="10" t="s">
        <v>481</v>
      </c>
      <c r="AA3" s="10" t="s">
        <v>482</v>
      </c>
      <c r="AB3" s="10" t="s">
        <v>483</v>
      </c>
      <c r="AC3" s="10" t="s">
        <v>484</v>
      </c>
      <c r="AD3" s="10" t="s">
        <v>485</v>
      </c>
      <c r="AE3" s="10" t="s">
        <v>486</v>
      </c>
      <c r="AF3" s="37">
        <v>53051</v>
      </c>
    </row>
    <row r="4" spans="2:32">
      <c r="B4" s="235"/>
      <c r="C4" s="13"/>
      <c r="D4" s="13"/>
      <c r="E4" s="13"/>
      <c r="F4" s="14">
        <v>1</v>
      </c>
      <c r="G4" s="14">
        <v>2</v>
      </c>
      <c r="H4" s="14">
        <v>3</v>
      </c>
      <c r="I4" s="14">
        <v>4</v>
      </c>
      <c r="J4" s="38">
        <v>5</v>
      </c>
      <c r="K4" s="38">
        <v>6</v>
      </c>
      <c r="L4" s="38">
        <v>7</v>
      </c>
      <c r="M4" s="38">
        <v>8</v>
      </c>
      <c r="N4" s="38">
        <v>9</v>
      </c>
      <c r="O4" s="38">
        <v>10</v>
      </c>
      <c r="P4" s="38">
        <v>11</v>
      </c>
      <c r="Q4" s="38">
        <v>12</v>
      </c>
      <c r="R4" s="38">
        <v>13</v>
      </c>
      <c r="S4" s="38">
        <v>14</v>
      </c>
      <c r="T4" s="38">
        <v>15</v>
      </c>
      <c r="U4" s="38">
        <v>16</v>
      </c>
      <c r="V4" s="38">
        <v>17</v>
      </c>
      <c r="W4" s="38">
        <v>18</v>
      </c>
      <c r="X4" s="38">
        <v>19</v>
      </c>
      <c r="Y4" s="38">
        <v>20</v>
      </c>
      <c r="Z4" s="38">
        <v>21</v>
      </c>
      <c r="AA4" s="38">
        <v>22</v>
      </c>
      <c r="AB4" s="38">
        <v>23</v>
      </c>
      <c r="AC4" s="38">
        <v>24</v>
      </c>
      <c r="AD4" s="38">
        <v>25</v>
      </c>
      <c r="AE4" s="38">
        <v>26</v>
      </c>
      <c r="AF4" s="38">
        <v>27</v>
      </c>
    </row>
    <row r="5" spans="2:32">
      <c r="B5" s="280"/>
      <c r="C5" s="281" t="s">
        <v>398</v>
      </c>
      <c r="D5" s="281"/>
      <c r="E5" s="281"/>
      <c r="F5" s="282">
        <f>参数输入表!$I$39</f>
        <v>0</v>
      </c>
      <c r="G5" s="282">
        <f>参数输入表!$I$40</f>
        <v>0.03125</v>
      </c>
      <c r="H5" s="282">
        <f>参数输入表!$I$41</f>
        <v>0.03125</v>
      </c>
      <c r="I5" s="282">
        <f>参数输入表!$I$42</f>
        <v>0.03125</v>
      </c>
      <c r="J5" s="282">
        <f>参数输入表!$I$43</f>
        <v>0.1765625</v>
      </c>
      <c r="K5" s="282">
        <f>参数输入表!$I$44</f>
        <v>0.7578125</v>
      </c>
      <c r="L5" s="282">
        <f>参数输入表!$I$45</f>
        <v>1</v>
      </c>
      <c r="M5" s="282">
        <f>参数输入表!$I$46</f>
        <v>1</v>
      </c>
      <c r="N5" s="282">
        <f>参数输入表!$I$47</f>
        <v>1</v>
      </c>
      <c r="O5" s="282">
        <f>参数输入表!$I$48</f>
        <v>1</v>
      </c>
      <c r="P5" s="282">
        <f>参数输入表!$I$49</f>
        <v>1</v>
      </c>
      <c r="Q5" s="282">
        <f>参数输入表!$I$50</f>
        <v>1</v>
      </c>
      <c r="R5" s="282">
        <f>参数输入表!$I$51</f>
        <v>1</v>
      </c>
      <c r="S5" s="282">
        <f>参数输入表!$I$52</f>
        <v>1</v>
      </c>
      <c r="T5" s="282">
        <f>参数输入表!$I$53</f>
        <v>1</v>
      </c>
      <c r="U5" s="282">
        <f>参数输入表!$I$54</f>
        <v>1</v>
      </c>
      <c r="V5" s="282">
        <f>参数输入表!$I$55</f>
        <v>1</v>
      </c>
      <c r="W5" s="282">
        <f>参数输入表!$I$56</f>
        <v>1</v>
      </c>
      <c r="X5" s="282">
        <f>参数输入表!$I$57</f>
        <v>1</v>
      </c>
      <c r="Y5" s="282">
        <f>参数输入表!$I$58</f>
        <v>1</v>
      </c>
      <c r="Z5" s="282">
        <f>参数输入表!$I$59</f>
        <v>1</v>
      </c>
      <c r="AA5" s="282">
        <f>参数输入表!$I$60</f>
        <v>1</v>
      </c>
      <c r="AB5" s="282">
        <f>参数输入表!$I$61</f>
        <v>1</v>
      </c>
      <c r="AC5" s="282">
        <f>参数输入表!$I$62</f>
        <v>1</v>
      </c>
      <c r="AD5" s="282">
        <f>参数输入表!$I$63</f>
        <v>1</v>
      </c>
      <c r="AE5" s="282">
        <f>参数输入表!$I$64</f>
        <v>1</v>
      </c>
      <c r="AF5" s="282">
        <f>参数输入表!$I$65</f>
        <v>1</v>
      </c>
    </row>
    <row r="6" spans="2:32">
      <c r="B6" s="283" t="s">
        <v>606</v>
      </c>
      <c r="C6" s="284" t="s">
        <v>607</v>
      </c>
      <c r="D6" s="39">
        <f ca="1">SUM(F6:AF6)</f>
        <v>280573.038218645</v>
      </c>
      <c r="E6" s="337" t="s">
        <v>24</v>
      </c>
      <c r="F6" s="39">
        <f>F7+F16+F17+F20+F21</f>
        <v>0</v>
      </c>
      <c r="G6" s="39">
        <f t="shared" ref="G6:N6" si="0">G7+G16+G17+G20+G21</f>
        <v>0</v>
      </c>
      <c r="H6" s="39">
        <f t="shared" si="0"/>
        <v>0</v>
      </c>
      <c r="I6" s="39">
        <f t="shared" si="0"/>
        <v>2000</v>
      </c>
      <c r="J6" s="39">
        <f ca="1" t="shared" si="0"/>
        <v>3055.49656742155</v>
      </c>
      <c r="K6" s="39">
        <f ca="1" t="shared" si="0"/>
        <v>13980.6813452446</v>
      </c>
      <c r="L6" s="39">
        <f ca="1" t="shared" si="0"/>
        <v>17011.7992703252</v>
      </c>
      <c r="M6" s="39">
        <f ca="1" t="shared" si="0"/>
        <v>17068.9028193193</v>
      </c>
      <c r="N6" s="39">
        <f ca="1" t="shared" si="0"/>
        <v>16772.1621337954</v>
      </c>
      <c r="O6" s="39">
        <f ca="1" t="shared" ref="O6:AF6" si="1">O7+O16+O17+O20+O21</f>
        <v>16483.811948794</v>
      </c>
      <c r="P6" s="39">
        <f ca="1" t="shared" si="1"/>
        <v>16185.1783058376</v>
      </c>
      <c r="Q6" s="39">
        <f ca="1" t="shared" si="1"/>
        <v>15875.819016234</v>
      </c>
      <c r="R6" s="39">
        <f ca="1" t="shared" si="1"/>
        <v>15738.8052293356</v>
      </c>
      <c r="S6" s="39">
        <f ca="1" t="shared" si="1"/>
        <v>15406.5912062997</v>
      </c>
      <c r="T6" s="39">
        <f ca="1" t="shared" si="1"/>
        <v>15061.4634794731</v>
      </c>
      <c r="U6" s="39">
        <f ca="1" t="shared" si="1"/>
        <v>14703.6428567275</v>
      </c>
      <c r="V6" s="39">
        <f ca="1" t="shared" si="1"/>
        <v>14411.3276443382</v>
      </c>
      <c r="W6" s="39">
        <f ca="1" t="shared" si="1"/>
        <v>14288.7368299743</v>
      </c>
      <c r="X6" s="39">
        <f ca="1" t="shared" si="1"/>
        <v>12919.3582711132</v>
      </c>
      <c r="Y6" s="39">
        <f ca="1" t="shared" si="1"/>
        <v>11534.9587431568</v>
      </c>
      <c r="Z6" s="39">
        <f ca="1" t="shared" si="1"/>
        <v>11183.7460406125</v>
      </c>
      <c r="AA6" s="39">
        <f ca="1" t="shared" si="1"/>
        <v>10816.1927918588</v>
      </c>
      <c r="AB6" s="39">
        <f ca="1" t="shared" si="1"/>
        <v>9983.9049634378</v>
      </c>
      <c r="AC6" s="39">
        <f ca="1" t="shared" si="1"/>
        <v>4384.1197966078</v>
      </c>
      <c r="AD6" s="39">
        <f ca="1" t="shared" si="1"/>
        <v>3716.50634288833</v>
      </c>
      <c r="AE6" s="39">
        <f ca="1" t="shared" si="1"/>
        <v>3745.30634288833</v>
      </c>
      <c r="AF6" s="39">
        <f ca="1" t="shared" si="1"/>
        <v>4244.52627296171</v>
      </c>
    </row>
    <row r="7" spans="2:32">
      <c r="B7" s="283">
        <v>1</v>
      </c>
      <c r="C7" s="284" t="s">
        <v>608</v>
      </c>
      <c r="D7" s="39">
        <f ca="1">SUM(F7:AF7)</f>
        <v>221338.953173349</v>
      </c>
      <c r="E7" s="337" t="s">
        <v>24</v>
      </c>
      <c r="F7" s="19">
        <f>'表5-利润表-资本金(标准格式)'!F11</f>
        <v>0</v>
      </c>
      <c r="G7" s="19">
        <f>'表5-利润表-资本金(标准格式)'!G11</f>
        <v>0</v>
      </c>
      <c r="H7" s="19">
        <f>'表5-利润表-资本金(标准格式)'!H11</f>
        <v>0</v>
      </c>
      <c r="I7" s="19">
        <f>'表5-利润表-资本金(标准格式)'!I11</f>
        <v>2000</v>
      </c>
      <c r="J7" s="39">
        <f ca="1">SUM(J8:J15)</f>
        <v>2381.58547755777</v>
      </c>
      <c r="K7" s="39">
        <f ca="1" t="shared" ref="K7:AF7" si="2">SUM(K8:K15)</f>
        <v>10114.8166774323</v>
      </c>
      <c r="L7" s="39">
        <f ca="1" t="shared" si="2"/>
        <v>11326.7301311518</v>
      </c>
      <c r="M7" s="39">
        <f ca="1" t="shared" si="2"/>
        <v>11664.8703068924</v>
      </c>
      <c r="N7" s="39">
        <f ca="1" t="shared" si="2"/>
        <v>11693.6703068924</v>
      </c>
      <c r="O7" s="39">
        <f ca="1" t="shared" si="2"/>
        <v>11722.4703068924</v>
      </c>
      <c r="P7" s="39">
        <f ca="1" t="shared" si="2"/>
        <v>11751.2703068924</v>
      </c>
      <c r="Q7" s="39">
        <f ca="1" t="shared" si="2"/>
        <v>11780.0703068924</v>
      </c>
      <c r="R7" s="39">
        <f ca="1" t="shared" si="2"/>
        <v>11992.4026590506</v>
      </c>
      <c r="S7" s="39">
        <f ca="1" t="shared" si="2"/>
        <v>12021.2026590506</v>
      </c>
      <c r="T7" s="39">
        <f ca="1" t="shared" si="2"/>
        <v>12049.2585582506</v>
      </c>
      <c r="U7" s="39">
        <f ca="1" t="shared" si="2"/>
        <v>12077.3144574506</v>
      </c>
      <c r="V7" s="39">
        <f ca="1" t="shared" si="2"/>
        <v>12106.1144574506</v>
      </c>
      <c r="W7" s="39">
        <f ca="1" t="shared" si="2"/>
        <v>12318.4468096088</v>
      </c>
      <c r="X7" s="39">
        <f ca="1" t="shared" si="2"/>
        <v>11298.3931134302</v>
      </c>
      <c r="Y7" s="39">
        <f ca="1" t="shared" si="2"/>
        <v>10278.3394172516</v>
      </c>
      <c r="Z7" s="39">
        <f ca="1" t="shared" si="2"/>
        <v>10307.1394172516</v>
      </c>
      <c r="AA7" s="39">
        <f ca="1" t="shared" si="2"/>
        <v>10335.9394172516</v>
      </c>
      <c r="AB7" s="39">
        <f ca="1" t="shared" si="2"/>
        <v>9503.65158883061</v>
      </c>
      <c r="AC7" s="39">
        <f ca="1" t="shared" si="2"/>
        <v>4309.3506859346</v>
      </c>
      <c r="AD7" s="39">
        <f t="shared" si="2"/>
        <v>3641.73723221513</v>
      </c>
      <c r="AE7" s="39">
        <f t="shared" si="2"/>
        <v>3670.53723221513</v>
      </c>
      <c r="AF7" s="39">
        <f t="shared" si="2"/>
        <v>993.641647503324</v>
      </c>
    </row>
    <row r="8" spans="2:32">
      <c r="B8" s="338">
        <v>1.1</v>
      </c>
      <c r="C8" s="339" t="s">
        <v>609</v>
      </c>
      <c r="D8" s="34">
        <f>SUM(F8:AF8)</f>
        <v>1206.75</v>
      </c>
      <c r="E8" s="337" t="s">
        <v>24</v>
      </c>
      <c r="F8" s="34"/>
      <c r="G8" s="34"/>
      <c r="H8" s="34"/>
      <c r="I8" s="34"/>
      <c r="J8" s="44">
        <f>参数输入表!$I$289*参数输入表!$I$295/(1+参数输入表!$I$318)*J5*(12-MONTH(参数输入表!$I$8))/12</f>
        <v>28.25</v>
      </c>
      <c r="K8" s="34">
        <f>参数输入表!$I$289*参数输入表!$I$296/(1+参数输入表!$I$318)*K5</f>
        <v>242.5</v>
      </c>
      <c r="L8" s="34">
        <f>参数输入表!$I$289*参数输入表!$I$297/(1+参数输入表!$I$318)*L5</f>
        <v>320</v>
      </c>
      <c r="M8" s="34">
        <f>参数输入表!$I$289*参数输入表!$I$298/(1+参数输入表!$I$318)*M5</f>
        <v>32</v>
      </c>
      <c r="N8" s="34">
        <f>参数输入表!$I$289*参数输入表!$I$299/(1+参数输入表!$I$318)*N5</f>
        <v>32</v>
      </c>
      <c r="O8" s="34">
        <f>参数输入表!$I$289*参数输入表!$I$300/(1+参数输入表!$I$318)*O5</f>
        <v>32</v>
      </c>
      <c r="P8" s="34">
        <f>参数输入表!$I$289*参数输入表!$I$301/(1+参数输入表!$I$318)*P5</f>
        <v>32</v>
      </c>
      <c r="Q8" s="34">
        <f>参数输入表!$I$289*参数输入表!$I$302/(1+参数输入表!$I$318)*Q5</f>
        <v>32</v>
      </c>
      <c r="R8" s="34">
        <f>参数输入表!$I$289*参数输入表!$I$303/(1+参数输入表!$I$318)*R5</f>
        <v>32</v>
      </c>
      <c r="S8" s="34">
        <f>参数输入表!$I$289*参数输入表!$I$304/(1+参数输入表!$I$318)*S5</f>
        <v>32</v>
      </c>
      <c r="T8" s="34">
        <f>参数输入表!$I$289*参数输入表!$I$305/(1+参数输入表!$I$318)*T5</f>
        <v>32</v>
      </c>
      <c r="U8" s="34">
        <f>参数输入表!$I$289*参数输入表!$I$306/(1+参数输入表!$I$318)*U5</f>
        <v>32</v>
      </c>
      <c r="V8" s="34">
        <f>参数输入表!$I$289*参数输入表!$I$307/(1+参数输入表!$I$318)*V5</f>
        <v>32</v>
      </c>
      <c r="W8" s="34">
        <f>参数输入表!$I$289*参数输入表!$I$308/(1+参数输入表!$I$318)*W5</f>
        <v>32</v>
      </c>
      <c r="X8" s="34">
        <f>参数输入表!$I$289*参数输入表!$I$309/(1+参数输入表!$I$318)*X5</f>
        <v>32</v>
      </c>
      <c r="Y8" s="34">
        <f>参数输入表!$I$289*参数输入表!$I$310/(1+参数输入表!$I$318)*Y5</f>
        <v>32</v>
      </c>
      <c r="Z8" s="34">
        <f>参数输入表!$I$289*参数输入表!$I$311/(1+参数输入表!$I$318)*Z5</f>
        <v>32</v>
      </c>
      <c r="AA8" s="34">
        <f>参数输入表!$I$289*参数输入表!$I$312/(1+参数输入表!$I$318)*AA5</f>
        <v>32</v>
      </c>
      <c r="AB8" s="34">
        <f>参数输入表!$I$289*参数输入表!$I$313/(1+参数输入表!$I$318)*AB5</f>
        <v>32</v>
      </c>
      <c r="AC8" s="34">
        <f>参数输入表!$I$289*参数输入表!$I$314/(1+参数输入表!$I$318)*AC5</f>
        <v>32</v>
      </c>
      <c r="AD8" s="34">
        <f>参数输入表!$I$289*参数输入表!$I$315/(1+参数输入表!$I$318)*AD5</f>
        <v>32</v>
      </c>
      <c r="AE8" s="34">
        <f>参数输入表!$I$289*参数输入表!$I$316/(1+参数输入表!$I$318)*AE5</f>
        <v>32</v>
      </c>
      <c r="AF8" s="44">
        <f>参数输入表!$I$289*参数输入表!$I$317/(1+参数输入表!$I$318)*AF5*MONTH(参数输入表!I6)/12</f>
        <v>8</v>
      </c>
    </row>
    <row r="9" spans="2:32">
      <c r="B9" s="340" t="s">
        <v>610</v>
      </c>
      <c r="C9" s="341" t="s">
        <v>611</v>
      </c>
      <c r="D9" s="34">
        <f t="shared" ref="D9:D25" si="3">SUM(F9:AF9)</f>
        <v>13768.2661095243</v>
      </c>
      <c r="E9" s="337" t="s">
        <v>24</v>
      </c>
      <c r="F9" s="34"/>
      <c r="G9" s="34"/>
      <c r="H9" s="34"/>
      <c r="I9" s="34"/>
      <c r="J9" s="44">
        <f>参数输入表!$I$320*参数输入表!$I$326/(1+参数输入表!$I$349)*J5*(12-MONTH(参数输入表!I8))/12</f>
        <v>0</v>
      </c>
      <c r="K9" s="34">
        <f>参数输入表!$I$320*参数输入表!$I$327/(1+参数输入表!$I$349)*K5</f>
        <v>0</v>
      </c>
      <c r="L9" s="34">
        <f>参数输入表!$I$320*参数输入表!$I$328/(1+参数输入表!$I$349)*L5</f>
        <v>0</v>
      </c>
      <c r="M9" s="34">
        <f>参数输入表!$I$320*参数输入表!$I$329/(1+参数输入表!$I$349)*M5</f>
        <v>483.097056474538</v>
      </c>
      <c r="N9" s="34">
        <f>参数输入表!$I$320*参数输入表!$I$330/(1+参数输入表!$I$349)*N5</f>
        <v>483.097056474538</v>
      </c>
      <c r="O9" s="34">
        <f>参数输入表!$I$320*参数输入表!$I$331/(1+参数输入表!$I$349)*O5</f>
        <v>483.097056474538</v>
      </c>
      <c r="P9" s="34">
        <f>参数输入表!$I$320*参数输入表!$I$332/(1+参数输入表!$I$349)*P5</f>
        <v>483.097056474538</v>
      </c>
      <c r="Q9" s="34">
        <f>参数输入表!$I$320*参数输入表!$I$333/(1+参数输入表!$I$349)*Q5</f>
        <v>483.097056474538</v>
      </c>
      <c r="R9" s="34">
        <f>参数输入表!$I$320*参数输入表!$I$334/(1+参数输入表!$I$349)*R5</f>
        <v>644.129408632718</v>
      </c>
      <c r="S9" s="34">
        <f>参数输入表!$I$320*参数输入表!$I$335/(1+参数输入表!$I$349)*S5</f>
        <v>644.129408632718</v>
      </c>
      <c r="T9" s="34">
        <f>参数输入表!$I$320*参数输入表!$I$336/(1+参数输入表!$I$349)*T5</f>
        <v>644.129408632718</v>
      </c>
      <c r="U9" s="34">
        <f>参数输入表!$I$320*参数输入表!$I$337/(1+参数输入表!$I$349)*U5</f>
        <v>644.129408632718</v>
      </c>
      <c r="V9" s="34">
        <f>参数输入表!$I$320*参数输入表!$I$338/(1+参数输入表!$I$349)*V5</f>
        <v>644.129408632718</v>
      </c>
      <c r="W9" s="34">
        <f>参数输入表!$I$320*参数输入表!$I$339/(1+参数输入表!$I$349)*W5</f>
        <v>805.161760790897</v>
      </c>
      <c r="X9" s="34">
        <f>参数输入表!$I$320*参数输入表!$I$340/(1+参数输入表!$I$349)*X5</f>
        <v>805.161760790897</v>
      </c>
      <c r="Y9" s="34">
        <f>参数输入表!$I$320*参数输入表!$I$341/(1+参数输入表!$I$349)*Y5</f>
        <v>805.161760790897</v>
      </c>
      <c r="Z9" s="34">
        <f>参数输入表!$I$320*参数输入表!$I$342/(1+参数输入表!$I$349)*Z5</f>
        <v>805.161760790897</v>
      </c>
      <c r="AA9" s="34">
        <f>参数输入表!$I$320*参数输入表!$I$343/(1+参数输入表!$I$349)*AA5</f>
        <v>805.161760790897</v>
      </c>
      <c r="AB9" s="34">
        <f>参数输入表!$I$320*参数输入表!$I$344/(1+参数输入表!$I$349)*AB5</f>
        <v>966.194112949077</v>
      </c>
      <c r="AC9" s="34">
        <f>参数输入表!$I$320*参数输入表!$I$345/(1+参数输入表!$I$349)*AC5</f>
        <v>966.194112949077</v>
      </c>
      <c r="AD9" s="34">
        <f>参数输入表!$I$320*参数输入表!$I$346/(1+参数输入表!$I$349)*AD5</f>
        <v>966.194112949077</v>
      </c>
      <c r="AE9" s="34">
        <f>参数输入表!$I$320*参数输入表!$I$347/(1+参数输入表!$I$349)*AE5</f>
        <v>966.194112949077</v>
      </c>
      <c r="AF9" s="44">
        <f>参数输入表!$I$320*参数输入表!$I$348/(1+参数输入表!$I$349)*AF5*MONTH(参数输入表!I6)/12</f>
        <v>241.548528237269</v>
      </c>
    </row>
    <row r="10" spans="2:32">
      <c r="B10" s="340" t="s">
        <v>612</v>
      </c>
      <c r="C10" s="342" t="s">
        <v>613</v>
      </c>
      <c r="D10" s="34">
        <f t="shared" si="3"/>
        <v>19563.1425</v>
      </c>
      <c r="E10" s="337" t="s">
        <v>24</v>
      </c>
      <c r="F10" s="34"/>
      <c r="G10" s="34"/>
      <c r="H10" s="34"/>
      <c r="I10" s="34"/>
      <c r="J10" s="44">
        <f>(参数输入表!$I$383*参数输入表!$I$386+参数输入表!$I$384*参数输入表!$I$387)*(1+参数输入表!$I$388)*(1+参数输入表!$I$389*(J4-参数输入表!$I$7))/(1+参数输入表!$I$390)*J5*(12-MONTH(参数输入表!I8))/12</f>
        <v>53.3925</v>
      </c>
      <c r="K10" s="44">
        <f>(参数输入表!$I$383*参数输入表!$I$386+参数输入表!$I$384*参数输入表!$I$387)*(1+参数输入表!$I$388)*(1+参数输入表!$I$389*(K4-参数输入表!$I$7))/(1+参数输入表!$I$390)*K5</f>
        <v>480.15</v>
      </c>
      <c r="L10" s="44">
        <f>(参数输入表!$I$383*参数输入表!$I$386+参数输入表!$I$384*参数输入表!$I$387)*(1+参数输入表!$I$388)*(1+参数输入表!$I$389*(L4-参数输入表!$I$7))/(1+参数输入表!$I$390)*L5</f>
        <v>662.4</v>
      </c>
      <c r="M10" s="44">
        <f>(参数输入表!$I$383*参数输入表!$I$386+参数输入表!$I$384*参数输入表!$I$387)*(1+参数输入表!$I$388)*(1+参数输入表!$I$389*(M4-参数输入表!$I$7))/(1+参数输入表!$I$390)*M5</f>
        <v>691.2</v>
      </c>
      <c r="N10" s="44">
        <f>(参数输入表!$I$383*参数输入表!$I$386+参数输入表!$I$384*参数输入表!$I$387)*(1+参数输入表!$I$388)*(1+参数输入表!$I$389*(N4-参数输入表!$I$7))/(1+参数输入表!$I$390)*N5</f>
        <v>720</v>
      </c>
      <c r="O10" s="44">
        <f>(参数输入表!$I$383*参数输入表!$I$386+参数输入表!$I$384*参数输入表!$I$387)*(1+参数输入表!$I$388)*(1+参数输入表!$I$389*(O4-参数输入表!$I$7))/(1+参数输入表!$I$390)*O5</f>
        <v>748.8</v>
      </c>
      <c r="P10" s="44">
        <f>(参数输入表!$I$383*参数输入表!$I$386+参数输入表!$I$384*参数输入表!$I$387)*(1+参数输入表!$I$388)*(1+参数输入表!$I$389*(P4-参数输入表!$I$7))/(1+参数输入表!$I$390)*P5</f>
        <v>777.6</v>
      </c>
      <c r="Q10" s="44">
        <f>(参数输入表!$I$383*参数输入表!$I$386+参数输入表!$I$384*参数输入表!$I$387)*(1+参数输入表!$I$388)*(1+参数输入表!$I$389*(Q4-参数输入表!$I$7))/(1+参数输入表!$I$390)*Q5</f>
        <v>806.4</v>
      </c>
      <c r="R10" s="44">
        <f>(参数输入表!$I$383*参数输入表!$I$386+参数输入表!$I$384*参数输入表!$I$387)*(1+参数输入表!$I$388)*(1+参数输入表!$I$389*(R4-参数输入表!$I$7))/(1+参数输入表!$I$390)*R5</f>
        <v>835.2</v>
      </c>
      <c r="S10" s="44">
        <f>(参数输入表!$I$383*参数输入表!$I$386+参数输入表!$I$384*参数输入表!$I$387)*(1+参数输入表!$I$388)*(1+参数输入表!$I$389*(S4-参数输入表!$I$7))/(1+参数输入表!$I$390)*S5</f>
        <v>864</v>
      </c>
      <c r="T10" s="44">
        <f>(参数输入表!$I$383*参数输入表!$I$386+参数输入表!$I$384*参数输入表!$I$387)*(1+参数输入表!$I$388)*(1+参数输入表!$I$389*(T4-参数输入表!$I$7))/(1+参数输入表!$I$390)*T5</f>
        <v>892.8</v>
      </c>
      <c r="U10" s="44">
        <f>(参数输入表!$I$383*参数输入表!$I$386+参数输入表!$I$384*参数输入表!$I$387)*(1+参数输入表!$I$388)*(1+参数输入表!$I$389*(U4-参数输入表!$I$7))/(1+参数输入表!$I$390)*U5</f>
        <v>921.6</v>
      </c>
      <c r="V10" s="44">
        <f>(参数输入表!$I$383*参数输入表!$I$386+参数输入表!$I$384*参数输入表!$I$387)*(1+参数输入表!$I$388)*(1+参数输入表!$I$389*(V4-参数输入表!$I$7))/(1+参数输入表!$I$390)*V5</f>
        <v>950.4</v>
      </c>
      <c r="W10" s="44">
        <f>(参数输入表!$I$383*参数输入表!$I$386+参数输入表!$I$384*参数输入表!$I$387)*(1+参数输入表!$I$388)*(1+参数输入表!$I$389*(W4-参数输入表!$I$7))/(1+参数输入表!$I$390)*W5</f>
        <v>979.2</v>
      </c>
      <c r="X10" s="44">
        <f>(参数输入表!$I$383*参数输入表!$I$386+参数输入表!$I$384*参数输入表!$I$387)*(1+参数输入表!$I$388)*(1+参数输入表!$I$389*(X4-参数输入表!$I$7))/(1+参数输入表!$I$390)*X5</f>
        <v>1008</v>
      </c>
      <c r="Y10" s="44">
        <f>(参数输入表!$I$383*参数输入表!$I$386+参数输入表!$I$384*参数输入表!$I$387)*(1+参数输入表!$I$388)*(1+参数输入表!$I$389*(Y4-参数输入表!$I$7))/(1+参数输入表!$I$390)*Y5</f>
        <v>1036.8</v>
      </c>
      <c r="Z10" s="44">
        <f>(参数输入表!$I$383*参数输入表!$I$386+参数输入表!$I$384*参数输入表!$I$387)*(1+参数输入表!$I$388)*(1+参数输入表!$I$389*(Z4-参数输入表!$I$7))/(1+参数输入表!$I$390)*Z5</f>
        <v>1065.6</v>
      </c>
      <c r="AA10" s="44">
        <f>(参数输入表!$I$383*参数输入表!$I$386+参数输入表!$I$384*参数输入表!$I$387)*(1+参数输入表!$I$388)*(1+参数输入表!$I$389*(AA4-参数输入表!$I$7))/(1+参数输入表!$I$390)*AA5</f>
        <v>1094.4</v>
      </c>
      <c r="AB10" s="44">
        <f>(参数输入表!$I$383*参数输入表!$I$386+参数输入表!$I$384*参数输入表!$I$387)*(1+参数输入表!$I$388)*(1+参数输入表!$I$389*(AB4-参数输入表!$I$7))/(1+参数输入表!$I$390)*AB5</f>
        <v>1123.2</v>
      </c>
      <c r="AC10" s="44">
        <f>(参数输入表!$I$383*参数输入表!$I$386+参数输入表!$I$384*参数输入表!$I$387)*(1+参数输入表!$I$388)*(1+参数输入表!$I$389*(AC4-参数输入表!$I$7))/(1+参数输入表!$I$390)*AC5</f>
        <v>1152</v>
      </c>
      <c r="AD10" s="44">
        <f>(参数输入表!$I$383*参数输入表!$I$386+参数输入表!$I$384*参数输入表!$I$387)*(1+参数输入表!$I$388)*(1+参数输入表!$I$389*(AD4-参数输入表!$I$7))/(1+参数输入表!$I$390)*AD5</f>
        <v>1180.8</v>
      </c>
      <c r="AE10" s="44">
        <f>(参数输入表!$I$383*参数输入表!$I$386+参数输入表!$I$384*参数输入表!$I$387)*(1+参数输入表!$I$388)*(1+参数输入表!$I$389*(AE4-参数输入表!$I$7))/(1+参数输入表!$I$390)*AE5</f>
        <v>1209.6</v>
      </c>
      <c r="AF10" s="44">
        <f>(参数输入表!$I$383*参数输入表!$I$386+参数输入表!$I$384*参数输入表!$I$387)*(1+参数输入表!$I$388)*(1+参数输入表!$I$389*(AF4-参数输入表!$I$7))/(1+参数输入表!$I$390)*AF5*MONTH(参数输入表!I6)/12</f>
        <v>309.6</v>
      </c>
    </row>
    <row r="11" spans="2:32">
      <c r="B11" s="340" t="s">
        <v>614</v>
      </c>
      <c r="C11" s="342" t="s">
        <v>615</v>
      </c>
      <c r="D11" s="34">
        <f t="shared" si="3"/>
        <v>1834.8623853211</v>
      </c>
      <c r="E11" s="337" t="s">
        <v>24</v>
      </c>
      <c r="F11" s="34"/>
      <c r="G11" s="34"/>
      <c r="H11" s="34"/>
      <c r="I11" s="34"/>
      <c r="J11" s="44">
        <f>'表2-折旧摊销表'!J133</f>
        <v>0</v>
      </c>
      <c r="K11" s="44">
        <f>'表2-折旧摊销表'!K133</f>
        <v>0</v>
      </c>
      <c r="L11" s="44">
        <f>'表2-折旧摊销表'!L133</f>
        <v>0</v>
      </c>
      <c r="M11" s="44">
        <f>'表2-折旧摊销表'!M133</f>
        <v>91.743119266055</v>
      </c>
      <c r="N11" s="44">
        <f>'表2-折旧摊销表'!N133</f>
        <v>91.743119266055</v>
      </c>
      <c r="O11" s="44">
        <f>'表2-折旧摊销表'!O133</f>
        <v>91.743119266055</v>
      </c>
      <c r="P11" s="44">
        <f>'表2-折旧摊销表'!P133</f>
        <v>91.743119266055</v>
      </c>
      <c r="Q11" s="44">
        <f>'表2-折旧摊销表'!Q133</f>
        <v>91.743119266055</v>
      </c>
      <c r="R11" s="44">
        <f>'表2-折旧摊销表'!R133</f>
        <v>91.743119266055</v>
      </c>
      <c r="S11" s="44">
        <f>'表2-折旧摊销表'!S133</f>
        <v>91.743119266055</v>
      </c>
      <c r="T11" s="44">
        <f>'表2-折旧摊销表'!T133</f>
        <v>91.743119266055</v>
      </c>
      <c r="U11" s="44">
        <f>'表2-折旧摊销表'!U133</f>
        <v>91.743119266055</v>
      </c>
      <c r="V11" s="44">
        <f>'表2-折旧摊销表'!V133</f>
        <v>91.743119266055</v>
      </c>
      <c r="W11" s="44">
        <f>'表2-折旧摊销表'!W133</f>
        <v>91.743119266055</v>
      </c>
      <c r="X11" s="44">
        <f>'表2-折旧摊销表'!X133</f>
        <v>91.743119266055</v>
      </c>
      <c r="Y11" s="44">
        <f>'表2-折旧摊销表'!Y133</f>
        <v>91.743119266055</v>
      </c>
      <c r="Z11" s="44">
        <f>'表2-折旧摊销表'!Z133</f>
        <v>91.743119266055</v>
      </c>
      <c r="AA11" s="44">
        <f>'表2-折旧摊销表'!AA133</f>
        <v>91.743119266055</v>
      </c>
      <c r="AB11" s="44">
        <f>'表2-折旧摊销表'!AB133</f>
        <v>91.743119266055</v>
      </c>
      <c r="AC11" s="44">
        <f>'表2-折旧摊销表'!AC133</f>
        <v>91.743119266055</v>
      </c>
      <c r="AD11" s="44">
        <f>'表2-折旧摊销表'!AD133</f>
        <v>91.743119266055</v>
      </c>
      <c r="AE11" s="44">
        <f>'表2-折旧摊销表'!AE133</f>
        <v>91.743119266055</v>
      </c>
      <c r="AF11" s="44">
        <f>'表2-折旧摊销表'!AF133</f>
        <v>91.743119266055</v>
      </c>
    </row>
    <row r="12" spans="2:32">
      <c r="B12" s="340" t="s">
        <v>616</v>
      </c>
      <c r="C12" s="342" t="s">
        <v>617</v>
      </c>
      <c r="D12" s="34">
        <f ca="1" t="shared" si="3"/>
        <v>154737.207178504</v>
      </c>
      <c r="E12" s="337" t="s">
        <v>24</v>
      </c>
      <c r="F12" s="34"/>
      <c r="G12" s="34"/>
      <c r="H12" s="34"/>
      <c r="I12" s="34"/>
      <c r="J12" s="44">
        <f ca="1">'表2-折旧摊销表'!J132+'表2-折旧摊销表'!J134</f>
        <v>2094.21797755777</v>
      </c>
      <c r="K12" s="44">
        <f ca="1">'表2-折旧摊销表'!K132+'表2-折旧摊销表'!K134</f>
        <v>8366.91667743235</v>
      </c>
      <c r="L12" s="44">
        <f ca="1">'表2-折旧摊销表'!L132+'表2-折旧摊销表'!L134</f>
        <v>9063.33013115182</v>
      </c>
      <c r="M12" s="44">
        <f ca="1">'表2-折旧摊销表'!M132+'表2-折旧摊销表'!M134</f>
        <v>9063.33013115182</v>
      </c>
      <c r="N12" s="44">
        <f ca="1">'表2-折旧摊销表'!N132+'表2-折旧摊销表'!N134</f>
        <v>9063.33013115182</v>
      </c>
      <c r="O12" s="44">
        <f ca="1">'表2-折旧摊销表'!O132+'表2-折旧摊销表'!O134</f>
        <v>9063.33013115182</v>
      </c>
      <c r="P12" s="44">
        <f ca="1">'表2-折旧摊销表'!P132+'表2-折旧摊销表'!P134</f>
        <v>9063.33013115182</v>
      </c>
      <c r="Q12" s="44">
        <f ca="1">'表2-折旧摊销表'!Q132+'表2-折旧摊销表'!Q134</f>
        <v>9063.33013115182</v>
      </c>
      <c r="R12" s="44">
        <f ca="1">'表2-折旧摊销表'!R132+'表2-折旧摊销表'!R134</f>
        <v>9063.33013115182</v>
      </c>
      <c r="S12" s="44">
        <f ca="1">'表2-折旧摊销表'!S132+'表2-折旧摊销表'!S134</f>
        <v>9063.33013115182</v>
      </c>
      <c r="T12" s="44">
        <f ca="1">'表2-折旧摊销表'!T132+'表2-折旧摊销表'!T134</f>
        <v>9062.58603035182</v>
      </c>
      <c r="U12" s="44">
        <f ca="1">'表2-折旧摊销表'!U132+'表2-折旧摊销表'!U134</f>
        <v>9061.84192955182</v>
      </c>
      <c r="V12" s="44">
        <f ca="1">'表2-折旧摊销表'!V132+'表2-折旧摊销表'!V134</f>
        <v>9061.84192955182</v>
      </c>
      <c r="W12" s="44">
        <f ca="1">'表2-折旧摊销表'!W132+'表2-折旧摊销表'!W134</f>
        <v>9061.84192955182</v>
      </c>
      <c r="X12" s="44">
        <f ca="1">'表2-折旧摊销表'!X132+'表2-折旧摊销表'!X134</f>
        <v>8012.98823337324</v>
      </c>
      <c r="Y12" s="44">
        <f ca="1">'表2-折旧摊销表'!Y132+'表2-折旧摊销表'!Y134</f>
        <v>6964.13453719467</v>
      </c>
      <c r="Z12" s="44">
        <f ca="1">'表2-折旧摊销表'!Z132+'表2-折旧摊销表'!Z134</f>
        <v>6964.13453719467</v>
      </c>
      <c r="AA12" s="44">
        <f ca="1">'表2-折旧摊销表'!AA132+'表2-折旧摊销表'!AA134</f>
        <v>6964.13453719467</v>
      </c>
      <c r="AB12" s="44">
        <f ca="1">'表2-折旧摊销表'!AB132+'表2-折旧摊销表'!AB134</f>
        <v>5919.51435661547</v>
      </c>
      <c r="AC12" s="44">
        <f ca="1">'表2-折旧摊销表'!AC132+'表2-折旧摊销表'!AC134</f>
        <v>696.413453719467</v>
      </c>
      <c r="AD12" s="44">
        <f>'表2-折旧摊销表'!AD132+'表2-折旧摊销表'!AD134</f>
        <v>0</v>
      </c>
      <c r="AE12" s="44">
        <f>'表2-折旧摊销表'!AE132+'表2-折旧摊销表'!AE134</f>
        <v>0</v>
      </c>
      <c r="AF12" s="44">
        <f>'表2-折旧摊销表'!AF132+'表2-折旧摊销表'!AF134</f>
        <v>0</v>
      </c>
    </row>
    <row r="13" spans="2:32">
      <c r="B13" s="338" t="s">
        <v>618</v>
      </c>
      <c r="C13" s="25" t="s">
        <v>26</v>
      </c>
      <c r="D13" s="34">
        <f t="shared" si="3"/>
        <v>6750.75</v>
      </c>
      <c r="E13" s="337" t="s">
        <v>24</v>
      </c>
      <c r="F13" s="34"/>
      <c r="G13" s="34"/>
      <c r="H13" s="34"/>
      <c r="I13" s="34"/>
      <c r="J13" s="44">
        <f>参数输入表!$I$392*参数输入表!$I$393/(1+参数输入表!$I$394)*J5*(12-MONTH(参数输入表!I8))/12</f>
        <v>28.25</v>
      </c>
      <c r="K13" s="34">
        <f>参数输入表!$I$392*参数输入表!$I$393/(1+参数输入表!$I$394)*K5</f>
        <v>242.5</v>
      </c>
      <c r="L13" s="34">
        <f>参数输入表!$I$392*参数输入表!$I$393/(1+参数输入表!$I$394)*L5</f>
        <v>320</v>
      </c>
      <c r="M13" s="34">
        <f>参数输入表!$I$392*参数输入表!$I$393/(1+参数输入表!$I$394)*M5</f>
        <v>320</v>
      </c>
      <c r="N13" s="34">
        <f>参数输入表!$I$392*参数输入表!$I$393/(1+参数输入表!$I$394)*N5</f>
        <v>320</v>
      </c>
      <c r="O13" s="34">
        <f>参数输入表!$I$392*参数输入表!$I$393/(1+参数输入表!$I$394)*O5</f>
        <v>320</v>
      </c>
      <c r="P13" s="34">
        <f>参数输入表!$I$392*参数输入表!$I$393/(1+参数输入表!$I$394)*P5</f>
        <v>320</v>
      </c>
      <c r="Q13" s="34">
        <f>参数输入表!$I$392*参数输入表!$I$393/(1+参数输入表!$I$394)*Q5</f>
        <v>320</v>
      </c>
      <c r="R13" s="34">
        <f>参数输入表!$I$392*参数输入表!$I$393/(1+参数输入表!$I$394)*R5</f>
        <v>320</v>
      </c>
      <c r="S13" s="34">
        <f>参数输入表!$I$392*参数输入表!$I$393/(1+参数输入表!$I$394)*S5</f>
        <v>320</v>
      </c>
      <c r="T13" s="34">
        <f>参数输入表!$I$392*参数输入表!$I$393/(1+参数输入表!$I$394)*T5</f>
        <v>320</v>
      </c>
      <c r="U13" s="34">
        <f>参数输入表!$I$392*参数输入表!$I$393/(1+参数输入表!$I$394)*U5</f>
        <v>320</v>
      </c>
      <c r="V13" s="34">
        <f>参数输入表!$I$392*参数输入表!$I$393/(1+参数输入表!$I$394)*V5</f>
        <v>320</v>
      </c>
      <c r="W13" s="34">
        <f>参数输入表!$I$392*参数输入表!$I$393/(1+参数输入表!$I$394)*W5</f>
        <v>320</v>
      </c>
      <c r="X13" s="34">
        <f>参数输入表!$I$392*参数输入表!$I$393/(1+参数输入表!$I$394)*X5</f>
        <v>320</v>
      </c>
      <c r="Y13" s="34">
        <f>参数输入表!$I$392*参数输入表!$I$393/(1+参数输入表!$I$394)*Y5</f>
        <v>320</v>
      </c>
      <c r="Z13" s="34">
        <f>参数输入表!$I$392*参数输入表!$I$393/(1+参数输入表!$I$394)*Z5</f>
        <v>320</v>
      </c>
      <c r="AA13" s="34">
        <f>参数输入表!$I$392*参数输入表!$I$393/(1+参数输入表!$I$394)*AA5</f>
        <v>320</v>
      </c>
      <c r="AB13" s="34">
        <f>参数输入表!$I$392*参数输入表!$I$393/(1+参数输入表!$I$394)*AB5</f>
        <v>320</v>
      </c>
      <c r="AC13" s="34">
        <f>参数输入表!$I$392*参数输入表!$I$393/(1+参数输入表!$I$394)*AC5</f>
        <v>320</v>
      </c>
      <c r="AD13" s="34">
        <f>参数输入表!$I$392*参数输入表!$I$393/(1+参数输入表!$I$394)*AD5</f>
        <v>320</v>
      </c>
      <c r="AE13" s="34">
        <f>参数输入表!$I$392*参数输入表!$I$393/(1+参数输入表!$I$394)*AE5</f>
        <v>320</v>
      </c>
      <c r="AF13" s="44">
        <f>参数输入表!$I$392*参数输入表!$I$393/(1+参数输入表!$I$394)*AF5*MONTH(参数输入表!I6)/12</f>
        <v>80</v>
      </c>
    </row>
    <row r="14" spans="2:32">
      <c r="B14" s="338" t="s">
        <v>619</v>
      </c>
      <c r="C14" s="343" t="s">
        <v>284</v>
      </c>
      <c r="D14" s="34">
        <f t="shared" si="3"/>
        <v>15526.725</v>
      </c>
      <c r="E14" s="337" t="s">
        <v>24</v>
      </c>
      <c r="F14" s="34"/>
      <c r="G14" s="34"/>
      <c r="H14" s="34"/>
      <c r="I14" s="34"/>
      <c r="J14" s="44">
        <f>参数输入表!$I$396*参数输入表!$I$397*1000/10000/(1+参数输入表!$I$398)*J5*(12-MONTH(参数输入表!I8))/12</f>
        <v>64.975</v>
      </c>
      <c r="K14" s="34">
        <f>参数输入表!$I$396*参数输入表!$I$397*1000/10000/(1+参数输入表!$I$398)*K5</f>
        <v>557.75</v>
      </c>
      <c r="L14" s="34">
        <f>参数输入表!$I$396*参数输入表!$I$397*1000/10000/(1+参数输入表!$I$398)*L5</f>
        <v>736</v>
      </c>
      <c r="M14" s="34">
        <f>参数输入表!$I$396*参数输入表!$I$397*1000/10000/(1+参数输入表!$I$398)*M5</f>
        <v>736</v>
      </c>
      <c r="N14" s="34">
        <f>参数输入表!$I$396*参数输入表!$I$397*1000/10000/(1+参数输入表!$I$398)*N5</f>
        <v>736</v>
      </c>
      <c r="O14" s="34">
        <f>参数输入表!$I$396*参数输入表!$I$397*1000/10000/(1+参数输入表!$I$398)*O5</f>
        <v>736</v>
      </c>
      <c r="P14" s="34">
        <f>参数输入表!$I$396*参数输入表!$I$397*1000/10000/(1+参数输入表!$I$398)*P5</f>
        <v>736</v>
      </c>
      <c r="Q14" s="34">
        <f>参数输入表!$I$396*参数输入表!$I$397*1000/10000/(1+参数输入表!$I$398)*Q5</f>
        <v>736</v>
      </c>
      <c r="R14" s="34">
        <f>参数输入表!$I$396*参数输入表!$I$397*1000/10000/(1+参数输入表!$I$398)*R5</f>
        <v>736</v>
      </c>
      <c r="S14" s="34">
        <f>参数输入表!$I$396*参数输入表!$I$397*1000/10000/(1+参数输入表!$I$398)*S5</f>
        <v>736</v>
      </c>
      <c r="T14" s="34">
        <f>参数输入表!$I$396*参数输入表!$I$397*1000/10000/(1+参数输入表!$I$398)*T5</f>
        <v>736</v>
      </c>
      <c r="U14" s="34">
        <f>参数输入表!$I$396*参数输入表!$I$397*1000/10000/(1+参数输入表!$I$398)*U5</f>
        <v>736</v>
      </c>
      <c r="V14" s="34">
        <f>参数输入表!$I$396*参数输入表!$I$397*1000/10000/(1+参数输入表!$I$398)*V5</f>
        <v>736</v>
      </c>
      <c r="W14" s="34">
        <f>参数输入表!$I$396*参数输入表!$I$397*1000/10000/(1+参数输入表!$I$398)*W5</f>
        <v>736</v>
      </c>
      <c r="X14" s="34">
        <f>参数输入表!$I$396*参数输入表!$I$397*1000/10000/(1+参数输入表!$I$398)*X5</f>
        <v>736</v>
      </c>
      <c r="Y14" s="34">
        <f>参数输入表!$I$396*参数输入表!$I$397*1000/10000/(1+参数输入表!$I$398)*Y5</f>
        <v>736</v>
      </c>
      <c r="Z14" s="34">
        <f>参数输入表!$I$396*参数输入表!$I$397*1000/10000/(1+参数输入表!$I$398)*Z5</f>
        <v>736</v>
      </c>
      <c r="AA14" s="34">
        <f>参数输入表!$I$396*参数输入表!$I$397*1000/10000/(1+参数输入表!$I$398)*AA5</f>
        <v>736</v>
      </c>
      <c r="AB14" s="34">
        <f>参数输入表!$I$396*参数输入表!$I$397*1000/10000/(1+参数输入表!$I$398)*AB5</f>
        <v>736</v>
      </c>
      <c r="AC14" s="34">
        <f>参数输入表!$I$396*参数输入表!$I$397*1000/10000/(1+参数输入表!$I$398)*AC5</f>
        <v>736</v>
      </c>
      <c r="AD14" s="34">
        <f>参数输入表!$I$396*参数输入表!$I$397*1000/10000/(1+参数输入表!$I$398)*AD5</f>
        <v>736</v>
      </c>
      <c r="AE14" s="34">
        <f>参数输入表!$I$396*参数输入表!$I$397*1000/10000/(1+参数输入表!$I$398)*AE5</f>
        <v>736</v>
      </c>
      <c r="AF14" s="44">
        <f>参数输入表!$I$396*参数输入表!$I$397*1000/10000/(1+参数输入表!$I$398)*AF5*MONTH(参数输入表!I6)/12</f>
        <v>184</v>
      </c>
    </row>
    <row r="15" spans="2:32">
      <c r="B15" s="338" t="s">
        <v>620</v>
      </c>
      <c r="C15" s="343" t="s">
        <v>288</v>
      </c>
      <c r="D15" s="34">
        <f t="shared" si="3"/>
        <v>5951.25</v>
      </c>
      <c r="E15" s="337" t="s">
        <v>24</v>
      </c>
      <c r="F15" s="34"/>
      <c r="G15" s="34"/>
      <c r="H15" s="34"/>
      <c r="I15" s="34"/>
      <c r="J15" s="44">
        <f>参数输入表!$I$400*参数输入表!$I$406/10000/(1+参数输入表!$I$429)*(12-MONTH(参数输入表!I8))/12</f>
        <v>112.5</v>
      </c>
      <c r="K15" s="34">
        <f>参数输入表!$I$400*参数输入表!$I$407/10000/(1+参数输入表!$I$429)</f>
        <v>225</v>
      </c>
      <c r="L15" s="34">
        <f>参数输入表!$I$400*参数输入表!$I$408/10000/(1+参数输入表!$I$429)</f>
        <v>225</v>
      </c>
      <c r="M15" s="34">
        <f>参数输入表!$I$400*参数输入表!$I$409/10000/(1+参数输入表!$I$429)</f>
        <v>247.5</v>
      </c>
      <c r="N15" s="34">
        <f>参数输入表!$I$400*参数输入表!$I$410/10000/(1+参数输入表!$I$429)</f>
        <v>247.5</v>
      </c>
      <c r="O15" s="34">
        <f>参数输入表!$I$400*参数输入表!$I$411/10000/(1+参数输入表!$I$429)</f>
        <v>247.5</v>
      </c>
      <c r="P15" s="34">
        <f>参数输入表!$I$400*参数输入表!$I$412/10000/(1+参数输入表!$I$429)</f>
        <v>247.5</v>
      </c>
      <c r="Q15" s="34">
        <f>参数输入表!$I$400*参数输入表!$I$413/10000/(1+参数输入表!$I$429)</f>
        <v>247.5</v>
      </c>
      <c r="R15" s="34">
        <f>参数输入表!$I$400*参数输入表!$I$414/10000/(1+参数输入表!$I$429)</f>
        <v>270</v>
      </c>
      <c r="S15" s="34">
        <f>参数输入表!$I$400*参数输入表!$I$415/10000/(1+参数输入表!$I$429)</f>
        <v>270</v>
      </c>
      <c r="T15" s="34">
        <f>参数输入表!$I$400*参数输入表!$I$416/10000/(1+参数输入表!$I$429)</f>
        <v>270</v>
      </c>
      <c r="U15" s="34">
        <f>参数输入表!$I$400*参数输入表!$I$417/10000/(1+参数输入表!$I$429)</f>
        <v>270</v>
      </c>
      <c r="V15" s="34">
        <f>参数输入表!$I$400*参数输入表!$I$418/10000/(1+参数输入表!$I$429)</f>
        <v>270</v>
      </c>
      <c r="W15" s="34">
        <f>参数输入表!$I$400*参数输入表!$I$419/10000/(1+参数输入表!$I$429)</f>
        <v>292.5</v>
      </c>
      <c r="X15" s="34">
        <f>参数输入表!$I$400*参数输入表!$I$420/10000/(1+参数输入表!$I$429)</f>
        <v>292.5</v>
      </c>
      <c r="Y15" s="34">
        <f>参数输入表!$I$400*参数输入表!$I$421/10000/(1+参数输入表!$I$429)</f>
        <v>292.5</v>
      </c>
      <c r="Z15" s="34">
        <f>参数输入表!$I$400*参数输入表!$I$422/10000/(1+参数输入表!$I$429)</f>
        <v>292.5</v>
      </c>
      <c r="AA15" s="34">
        <f>参数输入表!$I$400*参数输入表!$I$423/10000/(1+参数输入表!$I$429)</f>
        <v>292.5</v>
      </c>
      <c r="AB15" s="34">
        <f>参数输入表!$I$400*参数输入表!$I$424/10000/(1+参数输入表!$I$429)</f>
        <v>315</v>
      </c>
      <c r="AC15" s="34">
        <f>参数输入表!$I$400*参数输入表!$I$425/10000/(1+参数输入表!$I$429)</f>
        <v>315</v>
      </c>
      <c r="AD15" s="34">
        <f>参数输入表!$I$400*参数输入表!$I$426/10000/(1+参数输入表!$I$429)</f>
        <v>315</v>
      </c>
      <c r="AE15" s="34">
        <f>参数输入表!$I$400*参数输入表!$I$427/10000/(1+参数输入表!$I$429)</f>
        <v>315</v>
      </c>
      <c r="AF15" s="44">
        <f>参数输入表!$I$400*参数输入表!$I$428/10000/(1+参数输入表!$I$429)*MONTH(参数输入表!I6)/12</f>
        <v>78.75</v>
      </c>
    </row>
    <row r="16" ht="21" customHeight="1" spans="2:32">
      <c r="B16" s="283">
        <v>2</v>
      </c>
      <c r="C16" s="284" t="s">
        <v>621</v>
      </c>
      <c r="D16" s="39">
        <f t="shared" si="3"/>
        <v>0</v>
      </c>
      <c r="E16" s="337" t="s">
        <v>24</v>
      </c>
      <c r="F16" s="19">
        <f>'表5-利润表-资本金(标准格式)'!F20</f>
        <v>0</v>
      </c>
      <c r="G16" s="19">
        <f>'表5-利润表-资本金(标准格式)'!G20</f>
        <v>0</v>
      </c>
      <c r="H16" s="19">
        <f>'表5-利润表-资本金(标准格式)'!H20</f>
        <v>0</v>
      </c>
      <c r="I16" s="19">
        <f>'表5-利润表-资本金(标准格式)'!I20</f>
        <v>0</v>
      </c>
      <c r="J16" s="39">
        <v>0</v>
      </c>
      <c r="K16" s="39">
        <v>0</v>
      </c>
      <c r="L16" s="39">
        <v>0</v>
      </c>
      <c r="M16" s="39">
        <v>0</v>
      </c>
      <c r="N16" s="39">
        <v>0</v>
      </c>
      <c r="O16" s="39">
        <v>0</v>
      </c>
      <c r="P16" s="39">
        <v>0</v>
      </c>
      <c r="Q16" s="39">
        <v>0</v>
      </c>
      <c r="R16" s="39">
        <v>0</v>
      </c>
      <c r="S16" s="39">
        <v>0</v>
      </c>
      <c r="T16" s="39">
        <v>0</v>
      </c>
      <c r="U16" s="39">
        <v>0</v>
      </c>
      <c r="V16" s="39">
        <v>0</v>
      </c>
      <c r="W16" s="39">
        <v>0</v>
      </c>
      <c r="X16" s="39">
        <v>0</v>
      </c>
      <c r="Y16" s="39">
        <v>0</v>
      </c>
      <c r="Z16" s="39">
        <v>0</v>
      </c>
      <c r="AA16" s="39">
        <v>0</v>
      </c>
      <c r="AB16" s="39">
        <v>0</v>
      </c>
      <c r="AC16" s="39">
        <v>0</v>
      </c>
      <c r="AD16" s="39">
        <v>0</v>
      </c>
      <c r="AE16" s="39">
        <v>0</v>
      </c>
      <c r="AF16" s="39">
        <v>0</v>
      </c>
    </row>
    <row r="17" ht="21" customHeight="1" spans="2:32">
      <c r="B17" s="283">
        <v>3</v>
      </c>
      <c r="C17" s="284" t="s">
        <v>622</v>
      </c>
      <c r="D17" s="39">
        <f ca="1" t="shared" si="3"/>
        <v>4313.61685561129</v>
      </c>
      <c r="E17" s="337" t="s">
        <v>24</v>
      </c>
      <c r="F17" s="19">
        <f>'表5-利润表-资本金(标准格式)'!F21</f>
        <v>0</v>
      </c>
      <c r="G17" s="19">
        <f>'表5-利润表-资本金(标准格式)'!G21</f>
        <v>0</v>
      </c>
      <c r="H17" s="19">
        <f>'表5-利润表-资本金(标准格式)'!H21</f>
        <v>0</v>
      </c>
      <c r="I17" s="19">
        <f>'表5-利润表-资本金(标准格式)'!I21</f>
        <v>0</v>
      </c>
      <c r="J17" s="39">
        <f t="shared" ref="J17:AF17" si="4">SUM(J18:J19)</f>
        <v>1.70189225218719</v>
      </c>
      <c r="K17" s="39">
        <f t="shared" si="4"/>
        <v>14.6091635807219</v>
      </c>
      <c r="L17" s="39">
        <f t="shared" si="4"/>
        <v>19.2780715292</v>
      </c>
      <c r="M17" s="39">
        <f t="shared" si="4"/>
        <v>54.3291106732</v>
      </c>
      <c r="N17" s="39">
        <f t="shared" si="4"/>
        <v>54.3291106732</v>
      </c>
      <c r="O17" s="39">
        <f t="shared" si="4"/>
        <v>54.3291106732</v>
      </c>
      <c r="P17" s="39">
        <f t="shared" si="4"/>
        <v>54.3291106732</v>
      </c>
      <c r="Q17" s="39">
        <f t="shared" si="4"/>
        <v>54.3291106732</v>
      </c>
      <c r="R17" s="39">
        <f t="shared" si="4"/>
        <v>54.3291106732</v>
      </c>
      <c r="S17" s="39">
        <f t="shared" si="4"/>
        <v>54.3291106732</v>
      </c>
      <c r="T17" s="39">
        <f t="shared" si="4"/>
        <v>54.3291106732</v>
      </c>
      <c r="U17" s="39">
        <f t="shared" si="4"/>
        <v>54.3291106732</v>
      </c>
      <c r="V17" s="39">
        <f t="shared" si="4"/>
        <v>54.3291106732</v>
      </c>
      <c r="W17" s="39">
        <f t="shared" si="4"/>
        <v>54.3291106732</v>
      </c>
      <c r="X17" s="39">
        <f t="shared" si="4"/>
        <v>54.3291106732</v>
      </c>
      <c r="Y17" s="39">
        <f t="shared" si="4"/>
        <v>54.3291106732</v>
      </c>
      <c r="Z17" s="39">
        <f t="shared" si="4"/>
        <v>54.3291106732</v>
      </c>
      <c r="AA17" s="39">
        <f t="shared" si="4"/>
        <v>54.3291106732</v>
      </c>
      <c r="AB17" s="39">
        <f t="shared" si="4"/>
        <v>54.3291106732</v>
      </c>
      <c r="AC17" s="39">
        <f t="shared" si="4"/>
        <v>54.3291106732</v>
      </c>
      <c r="AD17" s="39">
        <f t="shared" si="4"/>
        <v>54.3291106732</v>
      </c>
      <c r="AE17" s="39">
        <f t="shared" si="4"/>
        <v>54.3291106732</v>
      </c>
      <c r="AF17" s="39">
        <f ca="1" t="shared" si="4"/>
        <v>3245.77462545838</v>
      </c>
    </row>
    <row r="18" ht="21" customHeight="1" spans="2:32">
      <c r="B18" s="285">
        <v>3.1</v>
      </c>
      <c r="C18" s="342" t="s">
        <v>623</v>
      </c>
      <c r="D18" s="34">
        <f t="shared" si="3"/>
        <v>1081.42450782121</v>
      </c>
      <c r="E18" s="337" t="s">
        <v>24</v>
      </c>
      <c r="F18" s="34"/>
      <c r="G18" s="34"/>
      <c r="H18" s="34"/>
      <c r="I18" s="34"/>
      <c r="J18" s="44">
        <f>参数输入表!$I$351*参数输入表!$I$357/(1+参数输入表!$I$380)*J5*(12-MONTH(参数输入表!I8))/12</f>
        <v>1.70189225218719</v>
      </c>
      <c r="K18" s="34">
        <f>参数输入表!$I$351*参数输入表!$I$358/(1+参数输入表!$I$380)*K5</f>
        <v>14.6091635807219</v>
      </c>
      <c r="L18" s="34">
        <f>参数输入表!$I$351*参数输入表!$I$359/(1+参数输入表!$I$380)*L5</f>
        <v>19.2780715292</v>
      </c>
      <c r="M18" s="34">
        <f>参数输入表!$I$351*参数输入表!$I$360/(1+参数输入表!$I$380)*M5</f>
        <v>54.3291106732</v>
      </c>
      <c r="N18" s="34">
        <f>参数输入表!$I$351*参数输入表!$I$361/(1+参数输入表!$I$380)*N5</f>
        <v>54.3291106732</v>
      </c>
      <c r="O18" s="34">
        <f>参数输入表!$I$351*参数输入表!$I$362/(1+参数输入表!$I$380)*O5</f>
        <v>54.3291106732</v>
      </c>
      <c r="P18" s="34">
        <f>参数输入表!$I$351*参数输入表!$I$363/(1+参数输入表!$I$380)*P5</f>
        <v>54.3291106732</v>
      </c>
      <c r="Q18" s="34">
        <f>参数输入表!$I$351*参数输入表!$I$364/(1+参数输入表!$I$380)*Q5</f>
        <v>54.3291106732</v>
      </c>
      <c r="R18" s="34">
        <f>参数输入表!$I$351*参数输入表!$I$365/(1+参数输入表!$I$380)*R5</f>
        <v>54.3291106732</v>
      </c>
      <c r="S18" s="34">
        <f>参数输入表!$I$351*参数输入表!$I$366/(1+参数输入表!$I$380)*S5</f>
        <v>54.3291106732</v>
      </c>
      <c r="T18" s="34">
        <f>参数输入表!$I$351*参数输入表!$I$367/(1+参数输入表!$I$380)*T5</f>
        <v>54.3291106732</v>
      </c>
      <c r="U18" s="34">
        <f>参数输入表!$I$351*参数输入表!$I$368/(1+参数输入表!$I$380)*U5</f>
        <v>54.3291106732</v>
      </c>
      <c r="V18" s="34">
        <f>参数输入表!$I$351*参数输入表!$I$369/(1+参数输入表!$I$380)*V5</f>
        <v>54.3291106732</v>
      </c>
      <c r="W18" s="34">
        <f>参数输入表!$I$351*参数输入表!$I$370/(1+参数输入表!$I$380)*W5</f>
        <v>54.3291106732</v>
      </c>
      <c r="X18" s="34">
        <f>参数输入表!$I$351*参数输入表!$I$371/(1+参数输入表!$I$380)*X5</f>
        <v>54.3291106732</v>
      </c>
      <c r="Y18" s="34">
        <f>参数输入表!$I$351*参数输入表!$I$372/(1+参数输入表!$I$380)*Y5</f>
        <v>54.3291106732</v>
      </c>
      <c r="Z18" s="34">
        <f>参数输入表!$I$351*参数输入表!$I$373/(1+参数输入表!$I$380)*Z5</f>
        <v>54.3291106732</v>
      </c>
      <c r="AA18" s="34">
        <f>参数输入表!$I$351*参数输入表!$I$374/(1+参数输入表!$I$380)*AA5</f>
        <v>54.3291106732</v>
      </c>
      <c r="AB18" s="34">
        <f>参数输入表!$I$351*参数输入表!$I$375/(1+参数输入表!$I$380)*AB5</f>
        <v>54.3291106732</v>
      </c>
      <c r="AC18" s="34">
        <f>参数输入表!$I$351*参数输入表!$I$376/(1+参数输入表!$I$380)*AC5</f>
        <v>54.3291106732</v>
      </c>
      <c r="AD18" s="34">
        <f>参数输入表!$I$351*参数输入表!$I$377/(1+参数输入表!$I$380)*AD5</f>
        <v>54.3291106732</v>
      </c>
      <c r="AE18" s="34">
        <f>参数输入表!$I$351*参数输入表!$I$378/(1+参数输入表!$I$380)*AE5</f>
        <v>54.3291106732</v>
      </c>
      <c r="AF18" s="44">
        <f>参数输入表!$I$351*参数输入表!$I$379/(1+参数输入表!$I$380)*AF5*MONTH(参数输入表!I6)/12</f>
        <v>13.5822776683</v>
      </c>
    </row>
    <row r="19" ht="21" customHeight="1" spans="2:32">
      <c r="B19" s="285">
        <v>3.2</v>
      </c>
      <c r="C19" s="342" t="s">
        <v>293</v>
      </c>
      <c r="D19" s="34">
        <f ca="1" t="shared" si="3"/>
        <v>3232.19234779008</v>
      </c>
      <c r="E19" s="337" t="s">
        <v>24</v>
      </c>
      <c r="F19" s="34"/>
      <c r="G19" s="34"/>
      <c r="H19" s="34"/>
      <c r="I19" s="34"/>
      <c r="J19" s="44"/>
      <c r="K19" s="44"/>
      <c r="L19" s="44"/>
      <c r="M19" s="44"/>
      <c r="N19" s="44"/>
      <c r="O19" s="44"/>
      <c r="P19" s="44"/>
      <c r="Q19" s="44"/>
      <c r="R19" s="44"/>
      <c r="S19" s="44"/>
      <c r="T19" s="44"/>
      <c r="U19" s="44"/>
      <c r="V19" s="44"/>
      <c r="W19" s="44"/>
      <c r="X19" s="44"/>
      <c r="Y19" s="44"/>
      <c r="Z19" s="44"/>
      <c r="AA19" s="44"/>
      <c r="AB19" s="44"/>
      <c r="AC19" s="44"/>
      <c r="AD19" s="44"/>
      <c r="AE19" s="44"/>
      <c r="AF19" s="44">
        <f ca="1">参数输入表!$I$431*参数输入表!$I$432/(1+参数输入表!$I$433)</f>
        <v>3232.19234779008</v>
      </c>
    </row>
    <row r="20" ht="21" customHeight="1" spans="2:32">
      <c r="B20" s="283">
        <v>4</v>
      </c>
      <c r="C20" s="284" t="s">
        <v>624</v>
      </c>
      <c r="D20" s="39">
        <f t="shared" si="3"/>
        <v>0</v>
      </c>
      <c r="E20" s="337" t="s">
        <v>24</v>
      </c>
      <c r="F20" s="19">
        <f>'表5-利润表-资本金(标准格式)'!F22</f>
        <v>0</v>
      </c>
      <c r="G20" s="19">
        <f>'表5-利润表-资本金(标准格式)'!G22</f>
        <v>0</v>
      </c>
      <c r="H20" s="19">
        <f>'表5-利润表-资本金(标准格式)'!H22</f>
        <v>0</v>
      </c>
      <c r="I20" s="19">
        <f>'表5-利润表-资本金(标准格式)'!I22</f>
        <v>0</v>
      </c>
      <c r="J20" s="39">
        <v>0</v>
      </c>
      <c r="K20" s="39">
        <v>0</v>
      </c>
      <c r="L20" s="39">
        <v>0</v>
      </c>
      <c r="M20" s="39">
        <v>0</v>
      </c>
      <c r="N20" s="39">
        <v>0</v>
      </c>
      <c r="O20" s="39">
        <v>0</v>
      </c>
      <c r="P20" s="39">
        <v>0</v>
      </c>
      <c r="Q20" s="39">
        <v>0</v>
      </c>
      <c r="R20" s="39">
        <v>0</v>
      </c>
      <c r="S20" s="39">
        <v>0</v>
      </c>
      <c r="T20" s="39">
        <v>0</v>
      </c>
      <c r="U20" s="39">
        <v>0</v>
      </c>
      <c r="V20" s="39">
        <v>0</v>
      </c>
      <c r="W20" s="39">
        <v>0</v>
      </c>
      <c r="X20" s="39">
        <v>0</v>
      </c>
      <c r="Y20" s="39">
        <v>0</v>
      </c>
      <c r="Z20" s="39">
        <v>0</v>
      </c>
      <c r="AA20" s="39">
        <v>0</v>
      </c>
      <c r="AB20" s="39">
        <v>0</v>
      </c>
      <c r="AC20" s="39">
        <v>0</v>
      </c>
      <c r="AD20" s="39">
        <v>0</v>
      </c>
      <c r="AE20" s="39">
        <v>0</v>
      </c>
      <c r="AF20" s="39">
        <v>0</v>
      </c>
    </row>
    <row r="21" ht="21" customHeight="1" spans="2:32">
      <c r="B21" s="252">
        <v>5</v>
      </c>
      <c r="C21" s="251" t="s">
        <v>625</v>
      </c>
      <c r="D21" s="39">
        <f ca="1" t="shared" si="3"/>
        <v>54920.4681896846</v>
      </c>
      <c r="E21" s="337" t="s">
        <v>24</v>
      </c>
      <c r="F21" s="19">
        <f>'表5-利润表-资本金(标准格式)'!F23</f>
        <v>0</v>
      </c>
      <c r="G21" s="19">
        <f>'表5-利润表-资本金(标准格式)'!G23</f>
        <v>0</v>
      </c>
      <c r="H21" s="19">
        <f>'表5-利润表-资本金(标准格式)'!H23</f>
        <v>0</v>
      </c>
      <c r="I21" s="19">
        <f>'表5-利润表-资本金(标准格式)'!I23</f>
        <v>0</v>
      </c>
      <c r="J21" s="264">
        <f ca="1">SUM(J22:J24)</f>
        <v>672.209197611594</v>
      </c>
      <c r="K21" s="264">
        <f ca="1" t="shared" ref="K21:AF21" si="5">SUM(K22:K24)</f>
        <v>3851.25550423158</v>
      </c>
      <c r="L21" s="264">
        <f ca="1" t="shared" si="5"/>
        <v>5665.79106764422</v>
      </c>
      <c r="M21" s="264">
        <f ca="1" t="shared" si="5"/>
        <v>5349.70340175365</v>
      </c>
      <c r="N21" s="264">
        <f ca="1" t="shared" si="5"/>
        <v>5024.16271622978</v>
      </c>
      <c r="O21" s="264">
        <f ca="1" t="shared" si="5"/>
        <v>4707.01253122839</v>
      </c>
      <c r="P21" s="264">
        <f ca="1" t="shared" si="5"/>
        <v>4379.57888827194</v>
      </c>
      <c r="Q21" s="264">
        <f ca="1" t="shared" si="5"/>
        <v>4041.41959866836</v>
      </c>
      <c r="R21" s="264">
        <f ca="1" t="shared" si="5"/>
        <v>3692.07345961183</v>
      </c>
      <c r="S21" s="264">
        <f ca="1" t="shared" si="5"/>
        <v>3331.05943657587</v>
      </c>
      <c r="T21" s="264">
        <f ca="1" t="shared" si="5"/>
        <v>2957.87581054936</v>
      </c>
      <c r="U21" s="264">
        <f ca="1" t="shared" si="5"/>
        <v>2571.99928860371</v>
      </c>
      <c r="V21" s="264">
        <f ca="1" t="shared" si="5"/>
        <v>2250.8840762144</v>
      </c>
      <c r="W21" s="264">
        <f ca="1" t="shared" si="5"/>
        <v>1915.96090969235</v>
      </c>
      <c r="X21" s="264">
        <f ca="1" t="shared" si="5"/>
        <v>1566.63604700984</v>
      </c>
      <c r="Y21" s="264">
        <f ca="1" t="shared" si="5"/>
        <v>1202.290215232</v>
      </c>
      <c r="Z21" s="264">
        <f ca="1" t="shared" si="5"/>
        <v>822.2775126877</v>
      </c>
      <c r="AA21" s="264">
        <f ca="1" t="shared" si="5"/>
        <v>425.924263933999</v>
      </c>
      <c r="AB21" s="264">
        <f ca="1" t="shared" si="5"/>
        <v>425.924263933999</v>
      </c>
      <c r="AC21" s="264">
        <f ca="1" t="shared" si="5"/>
        <v>20.4399999999993</v>
      </c>
      <c r="AD21" s="264">
        <f ca="1" t="shared" si="5"/>
        <v>20.4399999999993</v>
      </c>
      <c r="AE21" s="264">
        <f ca="1" t="shared" si="5"/>
        <v>20.4399999999993</v>
      </c>
      <c r="AF21" s="264">
        <f ca="1" t="shared" si="5"/>
        <v>5.10999999999981</v>
      </c>
    </row>
    <row r="22" ht="21" customHeight="1" spans="2:32">
      <c r="B22" s="285">
        <v>5.1</v>
      </c>
      <c r="C22" s="342" t="s">
        <v>626</v>
      </c>
      <c r="D22" s="34">
        <f ca="1" t="shared" si="3"/>
        <v>46904.7243069056</v>
      </c>
      <c r="E22" s="337" t="s">
        <v>24</v>
      </c>
      <c r="F22" s="34"/>
      <c r="G22" s="34"/>
      <c r="H22" s="34"/>
      <c r="I22" s="34"/>
      <c r="J22" s="44">
        <f ca="1">'表1-资金筹措及还本付息表'!J44+'表1-资金筹措及还本付息表'!J74</f>
        <v>460.342065644594</v>
      </c>
      <c r="K22" s="44">
        <f ca="1">'表1-资金筹措及还本付息表'!K44+'表1-资金筹措及还本付息表'!K74</f>
        <v>3409.27124029758</v>
      </c>
      <c r="L22" s="44">
        <f ca="1">'表1-资金筹措及还本付息表'!L44+'表1-资金筹措及还本付息表'!L74</f>
        <v>5203.36680371022</v>
      </c>
      <c r="M22" s="44">
        <f ca="1">'表1-资金筹措及还本付息表'!M44+'表1-资金筹措及还本付息表'!M74</f>
        <v>4905.52913781965</v>
      </c>
      <c r="N22" s="44">
        <f ca="1">'表1-资金筹措及还本付息表'!N44+'表1-资金筹措及还本付息表'!N74</f>
        <v>4598.23845229578</v>
      </c>
      <c r="O22" s="44">
        <f ca="1">'表1-资金筹措及还本付息表'!O44+'表1-资金筹措及还本付息表'!O74</f>
        <v>4281.08826729439</v>
      </c>
      <c r="P22" s="44">
        <f ca="1">'表1-资金筹措及还本付息表'!P44+'表1-资金筹措及还本付息表'!P74</f>
        <v>3953.65462433794</v>
      </c>
      <c r="Q22" s="44">
        <f ca="1">'表1-资金筹措及还本付息表'!Q44+'表1-资金筹措及还本付息表'!Q74</f>
        <v>3615.49533473436</v>
      </c>
      <c r="R22" s="44">
        <f ca="1">'表1-资金筹措及还本付息表'!R44+'表1-资金筹措及还本付息表'!R74</f>
        <v>3266.14919567783</v>
      </c>
      <c r="S22" s="44">
        <f ca="1">'表1-资金筹措及还本付息表'!S44+'表1-资金筹措及还本付息表'!S74</f>
        <v>2905.13517264187</v>
      </c>
      <c r="T22" s="44">
        <f ca="1">'表1-资金筹措及还本付息表'!T44+'表1-资金筹措及还本付息表'!T74</f>
        <v>2531.95154661536</v>
      </c>
      <c r="U22" s="44">
        <f ca="1">'表1-资金筹措及还本付息表'!U44+'表1-资金筹措及还本付息表'!U74</f>
        <v>2146.07502466971</v>
      </c>
      <c r="V22" s="44">
        <f ca="1">'表1-资金筹措及还本付息表'!V44+'表1-资金筹措及还本付息表'!V74</f>
        <v>1824.9598122804</v>
      </c>
      <c r="W22" s="44">
        <f ca="1">'表1-资金筹措及还本付息表'!W44+'表1-资金筹措及还本付息表'!W74</f>
        <v>1490.03664575834</v>
      </c>
      <c r="X22" s="44">
        <f ca="1">'表1-资金筹措及还本付息表'!X44+'表1-资金筹措及还本付息表'!X74</f>
        <v>1140.71178307584</v>
      </c>
      <c r="Y22" s="44">
        <f ca="1">'表1-资金筹措及还本付息表'!Y44+'表1-资金筹措及还本付息表'!Y74</f>
        <v>776.365951297995</v>
      </c>
      <c r="Z22" s="44">
        <f ca="1">'表1-资金筹措及还本付息表'!Z44+'表1-资金筹措及还本付息表'!Z74</f>
        <v>396.3532487537</v>
      </c>
      <c r="AA22" s="44">
        <f ca="1">'表1-资金筹措及还本付息表'!AA44+'表1-资金筹措及还本付息表'!AA74</f>
        <v>-1.09503162093461e-12</v>
      </c>
      <c r="AB22" s="44">
        <f ca="1">'表1-资金筹措及还本付息表'!AB44+'表1-资金筹措及还本付息表'!AB74</f>
        <v>-6.52638846077025e-13</v>
      </c>
      <c r="AC22" s="44">
        <f ca="1">'表1-资金筹措及还本付息表'!AC44+'表1-资金筹措及还本付息表'!AC74</f>
        <v>-6.80702316458337e-13</v>
      </c>
      <c r="AD22" s="44">
        <f ca="1">'表1-资金筹措及还本付息表'!AD44+'表1-资金筹措及还本付息表'!AD74</f>
        <v>-7.09972516066045e-13</v>
      </c>
      <c r="AE22" s="44">
        <f ca="1">'表1-资金筹措及还本付息表'!AE44+'表1-资金筹措及还本付息表'!AE74</f>
        <v>-7.40501334256885e-13</v>
      </c>
      <c r="AF22" s="44">
        <f ca="1">'表1-资金筹措及还本付息表'!AF44+'表1-资金筹措及还本付息表'!AF74</f>
        <v>-1.93085722907483e-13</v>
      </c>
    </row>
    <row r="23" ht="21" customHeight="1" spans="2:32">
      <c r="B23" s="285">
        <v>5.2</v>
      </c>
      <c r="C23" s="342" t="s">
        <v>627</v>
      </c>
      <c r="D23" s="34">
        <f t="shared" si="3"/>
        <v>7601.833882779</v>
      </c>
      <c r="E23" s="337" t="s">
        <v>24</v>
      </c>
      <c r="F23" s="34"/>
      <c r="G23" s="34"/>
      <c r="H23" s="34"/>
      <c r="I23" s="34"/>
      <c r="J23" s="34">
        <f>'表1-资金筹措及还本付息表'!J84</f>
        <v>211.867131967</v>
      </c>
      <c r="K23" s="34">
        <f>'表1-资金筹措及还本付息表'!K84</f>
        <v>441.984263934</v>
      </c>
      <c r="L23" s="34">
        <f>'表1-资金筹措及还本付息表'!L84</f>
        <v>441.984263934</v>
      </c>
      <c r="M23" s="34">
        <f>'表1-资金筹措及还本付息表'!M84</f>
        <v>423.734263934</v>
      </c>
      <c r="N23" s="34">
        <f>'表1-资金筹措及还本付息表'!N84</f>
        <v>405.484263934</v>
      </c>
      <c r="O23" s="34">
        <f>'表1-资金筹措及还本付息表'!O84</f>
        <v>405.484263934</v>
      </c>
      <c r="P23" s="34">
        <f>'表1-资金筹措及还本付息表'!P84</f>
        <v>405.484263934</v>
      </c>
      <c r="Q23" s="34">
        <f>'表1-资金筹措及还本付息表'!Q84</f>
        <v>405.484263934</v>
      </c>
      <c r="R23" s="34">
        <f>'表1-资金筹措及还本付息表'!R84</f>
        <v>405.484263934</v>
      </c>
      <c r="S23" s="34">
        <f>'表1-资金筹措及还本付息表'!S84</f>
        <v>405.484263934</v>
      </c>
      <c r="T23" s="34">
        <f>'表1-资金筹措及还本付息表'!T84</f>
        <v>405.484263934</v>
      </c>
      <c r="U23" s="34">
        <f>'表1-资金筹措及还本付息表'!U84</f>
        <v>405.484263934</v>
      </c>
      <c r="V23" s="34">
        <f>'表1-资金筹措及还本付息表'!V84</f>
        <v>405.484263934</v>
      </c>
      <c r="W23" s="34">
        <f>'表1-资金筹措及还本付息表'!W84</f>
        <v>405.484263934</v>
      </c>
      <c r="X23" s="34">
        <f>'表1-资金筹措及还本付息表'!X84</f>
        <v>405.484263934</v>
      </c>
      <c r="Y23" s="34">
        <f>'表1-资金筹措及还本付息表'!Y84</f>
        <v>405.484263934</v>
      </c>
      <c r="Z23" s="34">
        <f>'表1-资金筹措及还本付息表'!Z84</f>
        <v>405.484263934</v>
      </c>
      <c r="AA23" s="34">
        <f>'表1-资金筹措及还本付息表'!AA84</f>
        <v>405.484263934</v>
      </c>
      <c r="AB23" s="34">
        <f>'表1-资金筹措及还本付息表'!AB84</f>
        <v>405.484263934</v>
      </c>
      <c r="AC23" s="34">
        <f>'表1-资金筹措及还本付息表'!AC84</f>
        <v>0</v>
      </c>
      <c r="AD23" s="34">
        <f>'表1-资金筹措及还本付息表'!AD84</f>
        <v>0</v>
      </c>
      <c r="AE23" s="34">
        <f>'表1-资金筹措及还本付息表'!AE84</f>
        <v>0</v>
      </c>
      <c r="AF23" s="34">
        <f>'表1-资金筹措及还本付息表'!AF84</f>
        <v>0</v>
      </c>
    </row>
    <row r="24" ht="21" customHeight="1" spans="2:32">
      <c r="B24" s="344">
        <v>5.3</v>
      </c>
      <c r="C24" s="345" t="s">
        <v>628</v>
      </c>
      <c r="D24" s="42">
        <f t="shared" si="3"/>
        <v>413.91</v>
      </c>
      <c r="E24" s="346" t="s">
        <v>24</v>
      </c>
      <c r="F24" s="347"/>
      <c r="G24" s="347"/>
      <c r="H24" s="347"/>
      <c r="I24" s="347"/>
      <c r="J24" s="367">
        <f>'表1-资金筹措及还本付息表'!J64</f>
        <v>0</v>
      </c>
      <c r="K24" s="367">
        <f>'表1-资金筹措及还本付息表'!K64</f>
        <v>0</v>
      </c>
      <c r="L24" s="367">
        <f>'表1-资金筹措及还本付息表'!L64</f>
        <v>20.44</v>
      </c>
      <c r="M24" s="367">
        <f>'表1-资金筹措及还本付息表'!M64</f>
        <v>20.44</v>
      </c>
      <c r="N24" s="367">
        <f>'表1-资金筹措及还本付息表'!N64</f>
        <v>20.44</v>
      </c>
      <c r="O24" s="367">
        <f>'表1-资金筹措及还本付息表'!O64</f>
        <v>20.44</v>
      </c>
      <c r="P24" s="367">
        <f>'表1-资金筹措及还本付息表'!P64</f>
        <v>20.44</v>
      </c>
      <c r="Q24" s="367">
        <f>'表1-资金筹措及还本付息表'!Q64</f>
        <v>20.44</v>
      </c>
      <c r="R24" s="367">
        <f>'表1-资金筹措及还本付息表'!R64</f>
        <v>20.44</v>
      </c>
      <c r="S24" s="367">
        <f>'表1-资金筹措及还本付息表'!S64</f>
        <v>20.44</v>
      </c>
      <c r="T24" s="367">
        <f>'表1-资金筹措及还本付息表'!T64</f>
        <v>20.44</v>
      </c>
      <c r="U24" s="367">
        <f>'表1-资金筹措及还本付息表'!U64</f>
        <v>20.44</v>
      </c>
      <c r="V24" s="367">
        <f>'表1-资金筹措及还本付息表'!V64</f>
        <v>20.44</v>
      </c>
      <c r="W24" s="367">
        <f>'表1-资金筹措及还本付息表'!W64</f>
        <v>20.44</v>
      </c>
      <c r="X24" s="367">
        <f>'表1-资金筹措及还本付息表'!X64</f>
        <v>20.44</v>
      </c>
      <c r="Y24" s="367">
        <f>'表1-资金筹措及还本付息表'!Y64</f>
        <v>20.44</v>
      </c>
      <c r="Z24" s="367">
        <f>'表1-资金筹措及还本付息表'!Z64</f>
        <v>20.44</v>
      </c>
      <c r="AA24" s="367">
        <f>'表1-资金筹措及还本付息表'!AA64</f>
        <v>20.44</v>
      </c>
      <c r="AB24" s="367">
        <f>'表1-资金筹措及还本付息表'!AB64</f>
        <v>20.44</v>
      </c>
      <c r="AC24" s="367">
        <f>'表1-资金筹措及还本付息表'!AC64</f>
        <v>20.44</v>
      </c>
      <c r="AD24" s="367">
        <f>'表1-资金筹措及还本付息表'!AD64</f>
        <v>20.44</v>
      </c>
      <c r="AE24" s="367">
        <f>'表1-资金筹措及还本付息表'!AE64</f>
        <v>20.44</v>
      </c>
      <c r="AF24" s="367">
        <f>'表1-资金筹措及还本付息表'!AF64</f>
        <v>5.11</v>
      </c>
    </row>
    <row r="25" ht="21" customHeight="1" spans="2:32">
      <c r="B25" s="254" t="s">
        <v>629</v>
      </c>
      <c r="C25" s="307" t="s">
        <v>630</v>
      </c>
      <c r="D25" s="265">
        <f t="shared" si="3"/>
        <v>0</v>
      </c>
      <c r="E25" s="348" t="s">
        <v>24</v>
      </c>
      <c r="F25" s="257">
        <f>'表5-利润表-资本金(标准格式)'!F41</f>
        <v>0</v>
      </c>
      <c r="G25" s="257">
        <f>'表5-利润表-资本金(标准格式)'!G41</f>
        <v>0</v>
      </c>
      <c r="H25" s="257">
        <f>'表5-利润表-资本金(标准格式)'!H41</f>
        <v>0</v>
      </c>
      <c r="I25" s="257">
        <f>'表5-利润表-资本金(标准格式)'!I41</f>
        <v>0</v>
      </c>
      <c r="J25" s="265">
        <f>参数输入表!$I$533/(1+参数输入表!$I$556)</f>
        <v>0</v>
      </c>
      <c r="K25" s="265">
        <f>参数输入表!$I$534/(1+参数输入表!$I$556)</f>
        <v>0</v>
      </c>
      <c r="L25" s="265">
        <f>参数输入表!$I$535/(1+参数输入表!$I$556)</f>
        <v>0</v>
      </c>
      <c r="M25" s="265">
        <f>参数输入表!$I$536/(1+参数输入表!$I$556)</f>
        <v>0</v>
      </c>
      <c r="N25" s="265">
        <f>参数输入表!$I$537/(1+参数输入表!$I$556)</f>
        <v>0</v>
      </c>
      <c r="O25" s="265">
        <f>参数输入表!$I$538/(1+参数输入表!$I$556)</f>
        <v>0</v>
      </c>
      <c r="P25" s="265">
        <f>参数输入表!$I$539/(1+参数输入表!$I$556)</f>
        <v>0</v>
      </c>
      <c r="Q25" s="265">
        <f>参数输入表!$I$540/(1+参数输入表!$I$556)</f>
        <v>0</v>
      </c>
      <c r="R25" s="265">
        <f>参数输入表!$I$541/(1+参数输入表!$I$556)</f>
        <v>0</v>
      </c>
      <c r="S25" s="265">
        <f>参数输入表!$I$542/(1+参数输入表!$I$556)</f>
        <v>0</v>
      </c>
      <c r="T25" s="265">
        <f>参数输入表!$I$543/(1+参数输入表!$I$556)</f>
        <v>0</v>
      </c>
      <c r="U25" s="265">
        <f>参数输入表!$I$544/(1+参数输入表!$I$556)</f>
        <v>0</v>
      </c>
      <c r="V25" s="265">
        <f>参数输入表!$I$545/(1+参数输入表!$I$556)</f>
        <v>0</v>
      </c>
      <c r="W25" s="265">
        <f>参数输入表!$I$546/(1+参数输入表!$I$556)</f>
        <v>0</v>
      </c>
      <c r="X25" s="265">
        <f>参数输入表!$I$547/(1+参数输入表!$I$556)</f>
        <v>0</v>
      </c>
      <c r="Y25" s="265">
        <f>参数输入表!$I$548/(1+参数输入表!$I$556)</f>
        <v>0</v>
      </c>
      <c r="Z25" s="265">
        <f>参数输入表!$I$549/(1+参数输入表!$I$556)</f>
        <v>0</v>
      </c>
      <c r="AA25" s="265">
        <f>参数输入表!$I$550/(1+参数输入表!$I$556)</f>
        <v>0</v>
      </c>
      <c r="AB25" s="265">
        <f>参数输入表!$I$551/(1+参数输入表!$I$556)</f>
        <v>0</v>
      </c>
      <c r="AC25" s="265">
        <f>参数输入表!$I$552/(1+参数输入表!$I$556)</f>
        <v>0</v>
      </c>
      <c r="AD25" s="265">
        <f>参数输入表!$I$553/(1+参数输入表!$I$556)</f>
        <v>0</v>
      </c>
      <c r="AE25" s="265">
        <f>参数输入表!$I$554/(1+参数输入表!$I$556)</f>
        <v>0</v>
      </c>
      <c r="AF25" s="265">
        <f>参数输入表!$I$555/(1+参数输入表!$I$556)</f>
        <v>0</v>
      </c>
    </row>
    <row r="26" ht="21" customHeight="1" spans="2:32">
      <c r="B26" s="349"/>
      <c r="C26" s="350"/>
      <c r="D26" s="351"/>
      <c r="E26" s="352"/>
      <c r="F26" s="352"/>
      <c r="G26" s="352"/>
      <c r="H26" s="352"/>
      <c r="I26" s="352"/>
      <c r="J26" s="352"/>
      <c r="K26" s="352"/>
      <c r="L26" s="352"/>
      <c r="M26" s="352"/>
      <c r="N26" s="351"/>
      <c r="O26" s="351"/>
      <c r="P26" s="351"/>
      <c r="Q26" s="351"/>
      <c r="R26" s="351"/>
      <c r="S26" s="351"/>
      <c r="T26" s="351"/>
      <c r="U26" s="351"/>
      <c r="V26" s="351"/>
      <c r="W26" s="351"/>
      <c r="X26" s="351"/>
      <c r="Y26" s="351"/>
      <c r="Z26" s="351"/>
      <c r="AA26" s="351"/>
      <c r="AB26" s="351"/>
      <c r="AC26" s="351"/>
      <c r="AD26" s="351"/>
      <c r="AE26" s="351"/>
      <c r="AF26" s="351"/>
    </row>
    <row r="27" ht="21" customHeight="1" spans="2:32">
      <c r="B27" s="233" t="s">
        <v>631</v>
      </c>
      <c r="C27" s="350"/>
      <c r="D27" s="351"/>
      <c r="E27" s="352"/>
      <c r="F27" s="352"/>
      <c r="G27" s="352"/>
      <c r="H27" s="352"/>
      <c r="I27" s="352"/>
      <c r="J27" s="352"/>
      <c r="K27" s="352"/>
      <c r="L27" s="352"/>
      <c r="M27" s="352"/>
      <c r="N27" s="351"/>
      <c r="O27" s="351"/>
      <c r="P27" s="351"/>
      <c r="Q27" s="351"/>
      <c r="R27" s="351"/>
      <c r="S27" s="351"/>
      <c r="T27" s="351"/>
      <c r="U27" s="351"/>
      <c r="V27" s="351"/>
      <c r="W27" s="351"/>
      <c r="X27" s="351"/>
      <c r="Y27" s="351"/>
      <c r="Z27" s="351"/>
      <c r="AA27" s="351"/>
      <c r="AB27" s="351"/>
      <c r="AC27" s="351"/>
      <c r="AD27" s="351"/>
      <c r="AE27" s="351"/>
      <c r="AF27" s="351"/>
    </row>
    <row r="28" ht="21" customHeight="1" spans="2:32">
      <c r="B28" s="234" t="s">
        <v>15</v>
      </c>
      <c r="C28" s="9" t="s">
        <v>463</v>
      </c>
      <c r="D28" s="9" t="s">
        <v>17</v>
      </c>
      <c r="E28" s="9" t="s">
        <v>18</v>
      </c>
      <c r="F28" s="10" t="s">
        <v>464</v>
      </c>
      <c r="G28" s="10" t="s">
        <v>465</v>
      </c>
      <c r="H28" s="10" t="s">
        <v>466</v>
      </c>
      <c r="I28" s="37">
        <v>45107</v>
      </c>
      <c r="J28" s="37">
        <v>45261</v>
      </c>
      <c r="K28" s="10" t="s">
        <v>20</v>
      </c>
      <c r="L28" s="10" t="s">
        <v>467</v>
      </c>
      <c r="M28" s="10" t="s">
        <v>468</v>
      </c>
      <c r="N28" s="10" t="s">
        <v>469</v>
      </c>
      <c r="O28" s="10" t="s">
        <v>470</v>
      </c>
      <c r="P28" s="10" t="s">
        <v>471</v>
      </c>
      <c r="Q28" s="10" t="s">
        <v>472</v>
      </c>
      <c r="R28" s="10" t="s">
        <v>473</v>
      </c>
      <c r="S28" s="10" t="s">
        <v>474</v>
      </c>
      <c r="T28" s="10" t="s">
        <v>475</v>
      </c>
      <c r="U28" s="10" t="s">
        <v>476</v>
      </c>
      <c r="V28" s="10" t="s">
        <v>477</v>
      </c>
      <c r="W28" s="10" t="s">
        <v>478</v>
      </c>
      <c r="X28" s="10" t="s">
        <v>479</v>
      </c>
      <c r="Y28" s="10" t="s">
        <v>480</v>
      </c>
      <c r="Z28" s="10" t="s">
        <v>481</v>
      </c>
      <c r="AA28" s="10" t="s">
        <v>482</v>
      </c>
      <c r="AB28" s="10" t="s">
        <v>483</v>
      </c>
      <c r="AC28" s="10" t="s">
        <v>484</v>
      </c>
      <c r="AD28" s="10" t="s">
        <v>485</v>
      </c>
      <c r="AE28" s="10" t="s">
        <v>486</v>
      </c>
      <c r="AF28" s="37">
        <v>53051</v>
      </c>
    </row>
    <row r="29" ht="21" customHeight="1" spans="2:32">
      <c r="B29" s="235"/>
      <c r="C29" s="13"/>
      <c r="D29" s="13"/>
      <c r="E29" s="13"/>
      <c r="F29" s="14">
        <v>1</v>
      </c>
      <c r="G29" s="14">
        <v>2</v>
      </c>
      <c r="H29" s="14">
        <v>3</v>
      </c>
      <c r="I29" s="14">
        <v>4</v>
      </c>
      <c r="J29" s="38">
        <v>5</v>
      </c>
      <c r="K29" s="38">
        <v>6</v>
      </c>
      <c r="L29" s="38">
        <v>7</v>
      </c>
      <c r="M29" s="38">
        <v>8</v>
      </c>
      <c r="N29" s="38">
        <v>9</v>
      </c>
      <c r="O29" s="38">
        <v>10</v>
      </c>
      <c r="P29" s="38">
        <v>11</v>
      </c>
      <c r="Q29" s="38">
        <v>12</v>
      </c>
      <c r="R29" s="38">
        <v>13</v>
      </c>
      <c r="S29" s="38">
        <v>14</v>
      </c>
      <c r="T29" s="38">
        <v>15</v>
      </c>
      <c r="U29" s="38">
        <v>16</v>
      </c>
      <c r="V29" s="38">
        <v>17</v>
      </c>
      <c r="W29" s="38">
        <v>18</v>
      </c>
      <c r="X29" s="38">
        <v>19</v>
      </c>
      <c r="Y29" s="38">
        <v>20</v>
      </c>
      <c r="Z29" s="38">
        <v>21</v>
      </c>
      <c r="AA29" s="38">
        <v>22</v>
      </c>
      <c r="AB29" s="38">
        <v>23</v>
      </c>
      <c r="AC29" s="38">
        <v>24</v>
      </c>
      <c r="AD29" s="38">
        <v>25</v>
      </c>
      <c r="AE29" s="38">
        <v>26</v>
      </c>
      <c r="AF29" s="38">
        <v>27</v>
      </c>
    </row>
    <row r="30" ht="21" customHeight="1" spans="2:32">
      <c r="B30" s="280"/>
      <c r="C30" s="281" t="s">
        <v>398</v>
      </c>
      <c r="D30" s="281"/>
      <c r="E30" s="281"/>
      <c r="F30" s="282">
        <f>参数输入表!$I$39</f>
        <v>0</v>
      </c>
      <c r="G30" s="282">
        <f>参数输入表!$I$40</f>
        <v>0.03125</v>
      </c>
      <c r="H30" s="282">
        <f>参数输入表!$I$41</f>
        <v>0.03125</v>
      </c>
      <c r="I30" s="282">
        <f>参数输入表!$I$42</f>
        <v>0.03125</v>
      </c>
      <c r="J30" s="282">
        <f>参数输入表!$I$43</f>
        <v>0.1765625</v>
      </c>
      <c r="K30" s="282">
        <f>参数输入表!$I$44</f>
        <v>0.7578125</v>
      </c>
      <c r="L30" s="282">
        <f>参数输入表!$I$45</f>
        <v>1</v>
      </c>
      <c r="M30" s="282">
        <f>参数输入表!$I$46</f>
        <v>1</v>
      </c>
      <c r="N30" s="282">
        <f>参数输入表!$I$47</f>
        <v>1</v>
      </c>
      <c r="O30" s="282">
        <f>参数输入表!$I$48</f>
        <v>1</v>
      </c>
      <c r="P30" s="282">
        <f>参数输入表!$I$49</f>
        <v>1</v>
      </c>
      <c r="Q30" s="282">
        <f>参数输入表!$I$50</f>
        <v>1</v>
      </c>
      <c r="R30" s="282">
        <f>参数输入表!$I$51</f>
        <v>1</v>
      </c>
      <c r="S30" s="282">
        <f>参数输入表!$I$52</f>
        <v>1</v>
      </c>
      <c r="T30" s="282">
        <f>参数输入表!$I$53</f>
        <v>1</v>
      </c>
      <c r="U30" s="282">
        <f>参数输入表!$I$54</f>
        <v>1</v>
      </c>
      <c r="V30" s="282">
        <f>参数输入表!$I$55</f>
        <v>1</v>
      </c>
      <c r="W30" s="282">
        <f>参数输入表!$I$56</f>
        <v>1</v>
      </c>
      <c r="X30" s="282">
        <f>参数输入表!$I$57</f>
        <v>1</v>
      </c>
      <c r="Y30" s="282">
        <f>参数输入表!$I$58</f>
        <v>1</v>
      </c>
      <c r="Z30" s="282">
        <f>参数输入表!$I$59</f>
        <v>1</v>
      </c>
      <c r="AA30" s="282">
        <f>参数输入表!$I$60</f>
        <v>1</v>
      </c>
      <c r="AB30" s="282">
        <f>参数输入表!$I$61</f>
        <v>1</v>
      </c>
      <c r="AC30" s="282">
        <f>参数输入表!$I$62</f>
        <v>1</v>
      </c>
      <c r="AD30" s="282">
        <f>参数输入表!$I$63</f>
        <v>1</v>
      </c>
      <c r="AE30" s="282">
        <f>参数输入表!$I$64</f>
        <v>1</v>
      </c>
      <c r="AF30" s="282">
        <f>参数输入表!$I$65</f>
        <v>1</v>
      </c>
    </row>
    <row r="31" ht="21" customHeight="1" spans="2:32">
      <c r="B31" s="283" t="s">
        <v>606</v>
      </c>
      <c r="C31" s="284" t="s">
        <v>632</v>
      </c>
      <c r="D31" s="39">
        <f ca="1">SUM(F31:AF31)</f>
        <v>225075.304797636</v>
      </c>
      <c r="E31" s="337" t="s">
        <v>24</v>
      </c>
      <c r="F31" s="39">
        <f>F32+F41+F42+F45</f>
        <v>0</v>
      </c>
      <c r="G31" s="39">
        <f t="shared" ref="G31:N31" si="6">G32+G41+G42+G45</f>
        <v>0</v>
      </c>
      <c r="H31" s="39">
        <f t="shared" si="6"/>
        <v>0</v>
      </c>
      <c r="I31" s="39">
        <f t="shared" si="6"/>
        <v>2000</v>
      </c>
      <c r="J31" s="39">
        <f t="shared" si="6"/>
        <v>2378.47682621559</v>
      </c>
      <c r="K31" s="39">
        <f t="shared" si="6"/>
        <v>10100.5625794468</v>
      </c>
      <c r="L31" s="39">
        <f t="shared" si="6"/>
        <v>11313.9379120519</v>
      </c>
      <c r="M31" s="39">
        <f t="shared" si="6"/>
        <v>11687.1291269365</v>
      </c>
      <c r="N31" s="39">
        <f t="shared" si="6"/>
        <v>11715.9291269365</v>
      </c>
      <c r="O31" s="39">
        <f t="shared" ref="O31:AF31" si="7">O32+O41+O42+O45</f>
        <v>11744.7291269365</v>
      </c>
      <c r="P31" s="39">
        <f t="shared" si="7"/>
        <v>11773.5291269365</v>
      </c>
      <c r="Q31" s="39">
        <f t="shared" si="7"/>
        <v>11802.3291269365</v>
      </c>
      <c r="R31" s="39">
        <f t="shared" si="7"/>
        <v>12014.6614790946</v>
      </c>
      <c r="S31" s="39">
        <f t="shared" si="7"/>
        <v>12043.4614790946</v>
      </c>
      <c r="T31" s="39">
        <f t="shared" si="7"/>
        <v>12071.5173782946</v>
      </c>
      <c r="U31" s="39">
        <f t="shared" si="7"/>
        <v>12099.5732774946</v>
      </c>
      <c r="V31" s="39">
        <f t="shared" si="7"/>
        <v>12128.3732774946</v>
      </c>
      <c r="W31" s="39">
        <f t="shared" si="7"/>
        <v>12340.7056296528</v>
      </c>
      <c r="X31" s="39">
        <f t="shared" si="7"/>
        <v>11320.6519334742</v>
      </c>
      <c r="Y31" s="39">
        <f t="shared" si="7"/>
        <v>10300.5982372957</v>
      </c>
      <c r="Z31" s="39">
        <f t="shared" si="7"/>
        <v>10329.3982372957</v>
      </c>
      <c r="AA31" s="39">
        <f t="shared" si="7"/>
        <v>10358.1982372957</v>
      </c>
      <c r="AB31" s="39">
        <f t="shared" si="7"/>
        <v>9530.72095246903</v>
      </c>
      <c r="AC31" s="39">
        <f t="shared" si="7"/>
        <v>4360.47276754489</v>
      </c>
      <c r="AD31" s="39">
        <f t="shared" si="7"/>
        <v>3696.06634288833</v>
      </c>
      <c r="AE31" s="39">
        <f t="shared" si="7"/>
        <v>3724.86634288833</v>
      </c>
      <c r="AF31" s="39">
        <f ca="1" t="shared" si="7"/>
        <v>4239.41627296171</v>
      </c>
    </row>
    <row r="32" ht="26.4" customHeight="1" spans="2:32">
      <c r="B32" s="283">
        <v>1</v>
      </c>
      <c r="C32" s="284" t="s">
        <v>608</v>
      </c>
      <c r="D32" s="39">
        <f>SUM(F32:AF32)</f>
        <v>220761.687942025</v>
      </c>
      <c r="E32" s="337" t="s">
        <v>24</v>
      </c>
      <c r="F32" s="19">
        <f>F7</f>
        <v>0</v>
      </c>
      <c r="G32" s="19">
        <f>G7</f>
        <v>0</v>
      </c>
      <c r="H32" s="19">
        <f>H7</f>
        <v>0</v>
      </c>
      <c r="I32" s="19">
        <f>I7</f>
        <v>2000</v>
      </c>
      <c r="J32" s="39">
        <f t="shared" ref="J32:AF32" si="8">SUM(J33:J40)</f>
        <v>2376.7749339634</v>
      </c>
      <c r="K32" s="39">
        <f t="shared" si="8"/>
        <v>10085.9534158661</v>
      </c>
      <c r="L32" s="39">
        <f t="shared" si="8"/>
        <v>11294.6598405227</v>
      </c>
      <c r="M32" s="39">
        <f t="shared" si="8"/>
        <v>11632.8000162633</v>
      </c>
      <c r="N32" s="39">
        <f t="shared" si="8"/>
        <v>11661.6000162633</v>
      </c>
      <c r="O32" s="39">
        <f t="shared" si="8"/>
        <v>11690.4000162633</v>
      </c>
      <c r="P32" s="39">
        <f t="shared" si="8"/>
        <v>11719.2000162633</v>
      </c>
      <c r="Q32" s="39">
        <f t="shared" si="8"/>
        <v>11748.0000162633</v>
      </c>
      <c r="R32" s="39">
        <f t="shared" si="8"/>
        <v>11960.3323684214</v>
      </c>
      <c r="S32" s="39">
        <f t="shared" si="8"/>
        <v>11989.1323684214</v>
      </c>
      <c r="T32" s="39">
        <f t="shared" si="8"/>
        <v>12017.1882676214</v>
      </c>
      <c r="U32" s="39">
        <f t="shared" si="8"/>
        <v>12045.2441668214</v>
      </c>
      <c r="V32" s="39">
        <f t="shared" si="8"/>
        <v>12074.0441668214</v>
      </c>
      <c r="W32" s="39">
        <f t="shared" si="8"/>
        <v>12286.3765189796</v>
      </c>
      <c r="X32" s="39">
        <f t="shared" si="8"/>
        <v>11266.322822801</v>
      </c>
      <c r="Y32" s="39">
        <f t="shared" si="8"/>
        <v>10246.2691266225</v>
      </c>
      <c r="Z32" s="39">
        <f t="shared" si="8"/>
        <v>10275.0691266225</v>
      </c>
      <c r="AA32" s="39">
        <f t="shared" si="8"/>
        <v>10303.8691266225</v>
      </c>
      <c r="AB32" s="39">
        <f t="shared" si="8"/>
        <v>9476.39184179583</v>
      </c>
      <c r="AC32" s="39">
        <f t="shared" si="8"/>
        <v>4306.14365687169</v>
      </c>
      <c r="AD32" s="39">
        <f t="shared" si="8"/>
        <v>3641.73723221513</v>
      </c>
      <c r="AE32" s="39">
        <f t="shared" si="8"/>
        <v>3670.53723221513</v>
      </c>
      <c r="AF32" s="39">
        <f t="shared" si="8"/>
        <v>993.641647503324</v>
      </c>
    </row>
    <row r="33" ht="19.95" customHeight="1" spans="2:32">
      <c r="B33" s="338">
        <v>1.1</v>
      </c>
      <c r="C33" s="339" t="s">
        <v>609</v>
      </c>
      <c r="D33" s="34">
        <f>SUM(F33:AF33)</f>
        <v>1206.75</v>
      </c>
      <c r="E33" s="337" t="s">
        <v>24</v>
      </c>
      <c r="F33" s="34"/>
      <c r="G33" s="34"/>
      <c r="H33" s="34"/>
      <c r="I33" s="34"/>
      <c r="J33" s="44">
        <f>J8</f>
        <v>28.25</v>
      </c>
      <c r="K33" s="44">
        <f t="shared" ref="K33:AF33" si="9">K8</f>
        <v>242.5</v>
      </c>
      <c r="L33" s="44">
        <f t="shared" si="9"/>
        <v>320</v>
      </c>
      <c r="M33" s="44">
        <f t="shared" si="9"/>
        <v>32</v>
      </c>
      <c r="N33" s="44">
        <f t="shared" si="9"/>
        <v>32</v>
      </c>
      <c r="O33" s="44">
        <f t="shared" si="9"/>
        <v>32</v>
      </c>
      <c r="P33" s="44">
        <f t="shared" si="9"/>
        <v>32</v>
      </c>
      <c r="Q33" s="44">
        <f t="shared" si="9"/>
        <v>32</v>
      </c>
      <c r="R33" s="44">
        <f t="shared" si="9"/>
        <v>32</v>
      </c>
      <c r="S33" s="44">
        <f t="shared" si="9"/>
        <v>32</v>
      </c>
      <c r="T33" s="44">
        <f t="shared" si="9"/>
        <v>32</v>
      </c>
      <c r="U33" s="44">
        <f t="shared" si="9"/>
        <v>32</v>
      </c>
      <c r="V33" s="44">
        <f t="shared" si="9"/>
        <v>32</v>
      </c>
      <c r="W33" s="44">
        <f t="shared" si="9"/>
        <v>32</v>
      </c>
      <c r="X33" s="44">
        <f t="shared" si="9"/>
        <v>32</v>
      </c>
      <c r="Y33" s="44">
        <f t="shared" si="9"/>
        <v>32</v>
      </c>
      <c r="Z33" s="44">
        <f t="shared" si="9"/>
        <v>32</v>
      </c>
      <c r="AA33" s="44">
        <f t="shared" si="9"/>
        <v>32</v>
      </c>
      <c r="AB33" s="44">
        <f t="shared" si="9"/>
        <v>32</v>
      </c>
      <c r="AC33" s="44">
        <f t="shared" si="9"/>
        <v>32</v>
      </c>
      <c r="AD33" s="44">
        <f t="shared" si="9"/>
        <v>32</v>
      </c>
      <c r="AE33" s="44">
        <f t="shared" si="9"/>
        <v>32</v>
      </c>
      <c r="AF33" s="44">
        <f t="shared" si="9"/>
        <v>8</v>
      </c>
    </row>
    <row r="34" ht="21" customHeight="1" spans="2:32">
      <c r="B34" s="340" t="s">
        <v>610</v>
      </c>
      <c r="C34" s="341" t="s">
        <v>611</v>
      </c>
      <c r="D34" s="34">
        <f t="shared" ref="D34:D40" si="10">SUM(F34:AF34)</f>
        <v>13768.2661095243</v>
      </c>
      <c r="E34" s="337" t="s">
        <v>24</v>
      </c>
      <c r="F34" s="34"/>
      <c r="G34" s="34"/>
      <c r="H34" s="34"/>
      <c r="I34" s="34"/>
      <c r="J34" s="44">
        <f t="shared" ref="J34:J40" si="11">J9</f>
        <v>0</v>
      </c>
      <c r="K34" s="44">
        <f t="shared" ref="K34:K40" si="12">K9</f>
        <v>0</v>
      </c>
      <c r="L34" s="44">
        <f t="shared" ref="L34:L40" si="13">L9</f>
        <v>0</v>
      </c>
      <c r="M34" s="44">
        <f t="shared" ref="M34:M40" si="14">M9</f>
        <v>483.097056474538</v>
      </c>
      <c r="N34" s="44">
        <f t="shared" ref="N34:N40" si="15">N9</f>
        <v>483.097056474538</v>
      </c>
      <c r="O34" s="44">
        <f t="shared" ref="O34:O40" si="16">O9</f>
        <v>483.097056474538</v>
      </c>
      <c r="P34" s="44">
        <f t="shared" ref="P34:P40" si="17">P9</f>
        <v>483.097056474538</v>
      </c>
      <c r="Q34" s="44">
        <f t="shared" ref="Q34:Q40" si="18">Q9</f>
        <v>483.097056474538</v>
      </c>
      <c r="R34" s="44">
        <f t="shared" ref="R34:R40" si="19">R9</f>
        <v>644.129408632718</v>
      </c>
      <c r="S34" s="44">
        <f t="shared" ref="S34:S40" si="20">S9</f>
        <v>644.129408632718</v>
      </c>
      <c r="T34" s="44">
        <f t="shared" ref="T34:T40" si="21">T9</f>
        <v>644.129408632718</v>
      </c>
      <c r="U34" s="44">
        <f t="shared" ref="U34:U40" si="22">U9</f>
        <v>644.129408632718</v>
      </c>
      <c r="V34" s="44">
        <f t="shared" ref="V34:V40" si="23">V9</f>
        <v>644.129408632718</v>
      </c>
      <c r="W34" s="44">
        <f t="shared" ref="W34:W40" si="24">W9</f>
        <v>805.161760790897</v>
      </c>
      <c r="X34" s="44">
        <f t="shared" ref="X34:X40" si="25">X9</f>
        <v>805.161760790897</v>
      </c>
      <c r="Y34" s="44">
        <f t="shared" ref="Y34:Y40" si="26">Y9</f>
        <v>805.161760790897</v>
      </c>
      <c r="Z34" s="44">
        <f t="shared" ref="Z34:Z40" si="27">Z9</f>
        <v>805.161760790897</v>
      </c>
      <c r="AA34" s="44">
        <f t="shared" ref="AA34:AA40" si="28">AA9</f>
        <v>805.161760790897</v>
      </c>
      <c r="AB34" s="44">
        <f t="shared" ref="AB34:AB40" si="29">AB9</f>
        <v>966.194112949077</v>
      </c>
      <c r="AC34" s="44">
        <f t="shared" ref="AC34:AC40" si="30">AC9</f>
        <v>966.194112949077</v>
      </c>
      <c r="AD34" s="44">
        <f t="shared" ref="AD34:AD40" si="31">AD9</f>
        <v>966.194112949077</v>
      </c>
      <c r="AE34" s="44">
        <f t="shared" ref="AE34:AE40" si="32">AE9</f>
        <v>966.194112949077</v>
      </c>
      <c r="AF34" s="44">
        <f t="shared" ref="AF34:AF40" si="33">AF9</f>
        <v>241.548528237269</v>
      </c>
    </row>
    <row r="35" ht="21" customHeight="1" spans="2:32">
      <c r="B35" s="340" t="s">
        <v>612</v>
      </c>
      <c r="C35" s="342" t="s">
        <v>613</v>
      </c>
      <c r="D35" s="34">
        <f t="shared" si="10"/>
        <v>19563.1425</v>
      </c>
      <c r="E35" s="337" t="s">
        <v>24</v>
      </c>
      <c r="F35" s="34"/>
      <c r="G35" s="34"/>
      <c r="H35" s="34"/>
      <c r="I35" s="34"/>
      <c r="J35" s="44">
        <f t="shared" si="11"/>
        <v>53.3925</v>
      </c>
      <c r="K35" s="44">
        <f t="shared" si="12"/>
        <v>480.15</v>
      </c>
      <c r="L35" s="44">
        <f t="shared" si="13"/>
        <v>662.4</v>
      </c>
      <c r="M35" s="44">
        <f t="shared" si="14"/>
        <v>691.2</v>
      </c>
      <c r="N35" s="44">
        <f t="shared" si="15"/>
        <v>720</v>
      </c>
      <c r="O35" s="44">
        <f t="shared" si="16"/>
        <v>748.8</v>
      </c>
      <c r="P35" s="44">
        <f t="shared" si="17"/>
        <v>777.6</v>
      </c>
      <c r="Q35" s="44">
        <f t="shared" si="18"/>
        <v>806.4</v>
      </c>
      <c r="R35" s="44">
        <f t="shared" si="19"/>
        <v>835.2</v>
      </c>
      <c r="S35" s="44">
        <f t="shared" si="20"/>
        <v>864</v>
      </c>
      <c r="T35" s="44">
        <f t="shared" si="21"/>
        <v>892.8</v>
      </c>
      <c r="U35" s="44">
        <f t="shared" si="22"/>
        <v>921.6</v>
      </c>
      <c r="V35" s="44">
        <f t="shared" si="23"/>
        <v>950.4</v>
      </c>
      <c r="W35" s="44">
        <f t="shared" si="24"/>
        <v>979.2</v>
      </c>
      <c r="X35" s="44">
        <f t="shared" si="25"/>
        <v>1008</v>
      </c>
      <c r="Y35" s="44">
        <f t="shared" si="26"/>
        <v>1036.8</v>
      </c>
      <c r="Z35" s="44">
        <f t="shared" si="27"/>
        <v>1065.6</v>
      </c>
      <c r="AA35" s="44">
        <f t="shared" si="28"/>
        <v>1094.4</v>
      </c>
      <c r="AB35" s="44">
        <f t="shared" si="29"/>
        <v>1123.2</v>
      </c>
      <c r="AC35" s="44">
        <f t="shared" si="30"/>
        <v>1152</v>
      </c>
      <c r="AD35" s="44">
        <f t="shared" si="31"/>
        <v>1180.8</v>
      </c>
      <c r="AE35" s="44">
        <f t="shared" si="32"/>
        <v>1209.6</v>
      </c>
      <c r="AF35" s="44">
        <f t="shared" si="33"/>
        <v>309.6</v>
      </c>
    </row>
    <row r="36" ht="21" customHeight="1" spans="2:32">
      <c r="B36" s="340" t="s">
        <v>614</v>
      </c>
      <c r="C36" s="342" t="s">
        <v>615</v>
      </c>
      <c r="D36" s="34">
        <f t="shared" si="10"/>
        <v>1834.8623853211</v>
      </c>
      <c r="E36" s="337" t="s">
        <v>24</v>
      </c>
      <c r="F36" s="34"/>
      <c r="G36" s="34"/>
      <c r="H36" s="34"/>
      <c r="I36" s="34"/>
      <c r="J36" s="44">
        <f t="shared" si="11"/>
        <v>0</v>
      </c>
      <c r="K36" s="44">
        <f t="shared" si="12"/>
        <v>0</v>
      </c>
      <c r="L36" s="44">
        <f t="shared" si="13"/>
        <v>0</v>
      </c>
      <c r="M36" s="44">
        <f t="shared" si="14"/>
        <v>91.743119266055</v>
      </c>
      <c r="N36" s="44">
        <f t="shared" si="15"/>
        <v>91.743119266055</v>
      </c>
      <c r="O36" s="44">
        <f t="shared" si="16"/>
        <v>91.743119266055</v>
      </c>
      <c r="P36" s="44">
        <f t="shared" si="17"/>
        <v>91.743119266055</v>
      </c>
      <c r="Q36" s="44">
        <f t="shared" si="18"/>
        <v>91.743119266055</v>
      </c>
      <c r="R36" s="44">
        <f t="shared" si="19"/>
        <v>91.743119266055</v>
      </c>
      <c r="S36" s="44">
        <f t="shared" si="20"/>
        <v>91.743119266055</v>
      </c>
      <c r="T36" s="44">
        <f t="shared" si="21"/>
        <v>91.743119266055</v>
      </c>
      <c r="U36" s="44">
        <f t="shared" si="22"/>
        <v>91.743119266055</v>
      </c>
      <c r="V36" s="44">
        <f t="shared" si="23"/>
        <v>91.743119266055</v>
      </c>
      <c r="W36" s="44">
        <f t="shared" si="24"/>
        <v>91.743119266055</v>
      </c>
      <c r="X36" s="44">
        <f t="shared" si="25"/>
        <v>91.743119266055</v>
      </c>
      <c r="Y36" s="44">
        <f t="shared" si="26"/>
        <v>91.743119266055</v>
      </c>
      <c r="Z36" s="44">
        <f t="shared" si="27"/>
        <v>91.743119266055</v>
      </c>
      <c r="AA36" s="44">
        <f t="shared" si="28"/>
        <v>91.743119266055</v>
      </c>
      <c r="AB36" s="44">
        <f t="shared" si="29"/>
        <v>91.743119266055</v>
      </c>
      <c r="AC36" s="44">
        <f t="shared" si="30"/>
        <v>91.743119266055</v>
      </c>
      <c r="AD36" s="44">
        <f t="shared" si="31"/>
        <v>91.743119266055</v>
      </c>
      <c r="AE36" s="44">
        <f t="shared" si="32"/>
        <v>91.743119266055</v>
      </c>
      <c r="AF36" s="44">
        <f t="shared" si="33"/>
        <v>91.743119266055</v>
      </c>
    </row>
    <row r="37" ht="21" customHeight="1" spans="2:32">
      <c r="B37" s="340" t="s">
        <v>616</v>
      </c>
      <c r="C37" s="342" t="s">
        <v>633</v>
      </c>
      <c r="D37" s="34">
        <f t="shared" si="10"/>
        <v>154159.941947179</v>
      </c>
      <c r="E37" s="337" t="s">
        <v>24</v>
      </c>
      <c r="F37" s="34"/>
      <c r="G37" s="34"/>
      <c r="H37" s="34"/>
      <c r="I37" s="34"/>
      <c r="J37" s="42">
        <f>'表2-折旧摊销表'!J201+'表2-折旧摊销表'!J203</f>
        <v>2089.4074339634</v>
      </c>
      <c r="K37" s="42">
        <f>'表2-折旧摊销表'!K201+'表2-折旧摊销表'!K203</f>
        <v>8338.05341586612</v>
      </c>
      <c r="L37" s="42">
        <f>'表2-折旧摊销表'!L201+'表2-折旧摊销表'!L203</f>
        <v>9031.25984052267</v>
      </c>
      <c r="M37" s="42">
        <f>'表2-折旧摊销表'!M201+'表2-折旧摊销表'!M203</f>
        <v>9031.25984052267</v>
      </c>
      <c r="N37" s="42">
        <f>'表2-折旧摊销表'!N201+'表2-折旧摊销表'!N203</f>
        <v>9031.25984052267</v>
      </c>
      <c r="O37" s="42">
        <f>'表2-折旧摊销表'!O201+'表2-折旧摊销表'!O203</f>
        <v>9031.25984052267</v>
      </c>
      <c r="P37" s="42">
        <f>'表2-折旧摊销表'!P201+'表2-折旧摊销表'!P203</f>
        <v>9031.25984052267</v>
      </c>
      <c r="Q37" s="42">
        <f>'表2-折旧摊销表'!Q201+'表2-折旧摊销表'!Q203</f>
        <v>9031.25984052267</v>
      </c>
      <c r="R37" s="42">
        <f>'表2-折旧摊销表'!R201+'表2-折旧摊销表'!R203</f>
        <v>9031.25984052267</v>
      </c>
      <c r="S37" s="42">
        <f>'表2-折旧摊销表'!S201+'表2-折旧摊销表'!S203</f>
        <v>9031.25984052267</v>
      </c>
      <c r="T37" s="42">
        <f>'表2-折旧摊销表'!T201+'表2-折旧摊销表'!T203</f>
        <v>9030.51573972267</v>
      </c>
      <c r="U37" s="42">
        <f>'表2-折旧摊销表'!U201+'表2-折旧摊销表'!U203</f>
        <v>9029.77163892267</v>
      </c>
      <c r="V37" s="42">
        <f>'表2-折旧摊销表'!V201+'表2-折旧摊销表'!V203</f>
        <v>9029.77163892267</v>
      </c>
      <c r="W37" s="42">
        <f>'表2-折旧摊销表'!W201+'表2-折旧摊销表'!W203</f>
        <v>9029.77163892267</v>
      </c>
      <c r="X37" s="42">
        <f>'表2-折旧摊销表'!X201+'表2-折旧摊销表'!X203</f>
        <v>7980.91794274409</v>
      </c>
      <c r="Y37" s="42">
        <f>'表2-折旧摊销表'!Y201+'表2-折旧摊销表'!Y203</f>
        <v>6932.06424656553</v>
      </c>
      <c r="Z37" s="42">
        <f>'表2-折旧摊销表'!Z201+'表2-折旧摊销表'!Z203</f>
        <v>6932.06424656553</v>
      </c>
      <c r="AA37" s="42">
        <f>'表2-折旧摊销表'!AA201+'表2-折旧摊销表'!AA203</f>
        <v>6932.06424656553</v>
      </c>
      <c r="AB37" s="42">
        <f>'表2-折旧摊销表'!AB201+'表2-折旧摊销表'!AB203</f>
        <v>5892.2546095807</v>
      </c>
      <c r="AC37" s="42">
        <f>'表2-折旧摊销表'!AC201+'表2-折旧摊销表'!AC203</f>
        <v>693.206424656553</v>
      </c>
      <c r="AD37" s="42">
        <f>'表2-折旧摊销表'!AD201+'表2-折旧摊销表'!AD203</f>
        <v>0</v>
      </c>
      <c r="AE37" s="42">
        <f>'表2-折旧摊销表'!AE201+'表2-折旧摊销表'!AE203</f>
        <v>0</v>
      </c>
      <c r="AF37" s="42">
        <f>'表2-折旧摊销表'!AF201+'表2-折旧摊销表'!AF203</f>
        <v>0</v>
      </c>
    </row>
    <row r="38" ht="21" customHeight="1" spans="2:32">
      <c r="B38" s="338" t="s">
        <v>618</v>
      </c>
      <c r="C38" s="25" t="s">
        <v>26</v>
      </c>
      <c r="D38" s="34">
        <f t="shared" si="10"/>
        <v>6750.75</v>
      </c>
      <c r="E38" s="337" t="s">
        <v>24</v>
      </c>
      <c r="F38" s="34"/>
      <c r="G38" s="34"/>
      <c r="H38" s="34"/>
      <c r="I38" s="34"/>
      <c r="J38" s="44">
        <f t="shared" si="11"/>
        <v>28.25</v>
      </c>
      <c r="K38" s="44">
        <f t="shared" si="12"/>
        <v>242.5</v>
      </c>
      <c r="L38" s="44">
        <f t="shared" si="13"/>
        <v>320</v>
      </c>
      <c r="M38" s="44">
        <f t="shared" si="14"/>
        <v>320</v>
      </c>
      <c r="N38" s="44">
        <f t="shared" si="15"/>
        <v>320</v>
      </c>
      <c r="O38" s="44">
        <f t="shared" si="16"/>
        <v>320</v>
      </c>
      <c r="P38" s="44">
        <f t="shared" si="17"/>
        <v>320</v>
      </c>
      <c r="Q38" s="44">
        <f t="shared" si="18"/>
        <v>320</v>
      </c>
      <c r="R38" s="44">
        <f t="shared" si="19"/>
        <v>320</v>
      </c>
      <c r="S38" s="44">
        <f t="shared" si="20"/>
        <v>320</v>
      </c>
      <c r="T38" s="44">
        <f t="shared" si="21"/>
        <v>320</v>
      </c>
      <c r="U38" s="44">
        <f t="shared" si="22"/>
        <v>320</v>
      </c>
      <c r="V38" s="44">
        <f t="shared" si="23"/>
        <v>320</v>
      </c>
      <c r="W38" s="44">
        <f t="shared" si="24"/>
        <v>320</v>
      </c>
      <c r="X38" s="44">
        <f t="shared" si="25"/>
        <v>320</v>
      </c>
      <c r="Y38" s="44">
        <f t="shared" si="26"/>
        <v>320</v>
      </c>
      <c r="Z38" s="44">
        <f t="shared" si="27"/>
        <v>320</v>
      </c>
      <c r="AA38" s="44">
        <f t="shared" si="28"/>
        <v>320</v>
      </c>
      <c r="AB38" s="44">
        <f t="shared" si="29"/>
        <v>320</v>
      </c>
      <c r="AC38" s="44">
        <f t="shared" si="30"/>
        <v>320</v>
      </c>
      <c r="AD38" s="44">
        <f t="shared" si="31"/>
        <v>320</v>
      </c>
      <c r="AE38" s="44">
        <f t="shared" si="32"/>
        <v>320</v>
      </c>
      <c r="AF38" s="44">
        <f t="shared" si="33"/>
        <v>80</v>
      </c>
    </row>
    <row r="39" ht="21" customHeight="1" spans="2:32">
      <c r="B39" s="353" t="s">
        <v>619</v>
      </c>
      <c r="C39" s="343" t="s">
        <v>284</v>
      </c>
      <c r="D39" s="34">
        <f t="shared" si="10"/>
        <v>15526.725</v>
      </c>
      <c r="E39" s="337" t="s">
        <v>24</v>
      </c>
      <c r="F39" s="34"/>
      <c r="G39" s="34"/>
      <c r="H39" s="34"/>
      <c r="I39" s="34"/>
      <c r="J39" s="44">
        <f t="shared" si="11"/>
        <v>64.975</v>
      </c>
      <c r="K39" s="44">
        <f t="shared" si="12"/>
        <v>557.75</v>
      </c>
      <c r="L39" s="44">
        <f t="shared" si="13"/>
        <v>736</v>
      </c>
      <c r="M39" s="44">
        <f t="shared" si="14"/>
        <v>736</v>
      </c>
      <c r="N39" s="44">
        <f t="shared" si="15"/>
        <v>736</v>
      </c>
      <c r="O39" s="44">
        <f t="shared" si="16"/>
        <v>736</v>
      </c>
      <c r="P39" s="44">
        <f t="shared" si="17"/>
        <v>736</v>
      </c>
      <c r="Q39" s="44">
        <f t="shared" si="18"/>
        <v>736</v>
      </c>
      <c r="R39" s="44">
        <f t="shared" si="19"/>
        <v>736</v>
      </c>
      <c r="S39" s="44">
        <f t="shared" si="20"/>
        <v>736</v>
      </c>
      <c r="T39" s="44">
        <f t="shared" si="21"/>
        <v>736</v>
      </c>
      <c r="U39" s="44">
        <f t="shared" si="22"/>
        <v>736</v>
      </c>
      <c r="V39" s="44">
        <f t="shared" si="23"/>
        <v>736</v>
      </c>
      <c r="W39" s="44">
        <f t="shared" si="24"/>
        <v>736</v>
      </c>
      <c r="X39" s="44">
        <f t="shared" si="25"/>
        <v>736</v>
      </c>
      <c r="Y39" s="44">
        <f t="shared" si="26"/>
        <v>736</v>
      </c>
      <c r="Z39" s="44">
        <f t="shared" si="27"/>
        <v>736</v>
      </c>
      <c r="AA39" s="44">
        <f t="shared" si="28"/>
        <v>736</v>
      </c>
      <c r="AB39" s="44">
        <f t="shared" si="29"/>
        <v>736</v>
      </c>
      <c r="AC39" s="44">
        <f t="shared" si="30"/>
        <v>736</v>
      </c>
      <c r="AD39" s="44">
        <f t="shared" si="31"/>
        <v>736</v>
      </c>
      <c r="AE39" s="44">
        <f t="shared" si="32"/>
        <v>736</v>
      </c>
      <c r="AF39" s="44">
        <f t="shared" si="33"/>
        <v>184</v>
      </c>
    </row>
    <row r="40" ht="21" customHeight="1" spans="2:32">
      <c r="B40" s="353" t="s">
        <v>620</v>
      </c>
      <c r="C40" s="343" t="s">
        <v>288</v>
      </c>
      <c r="D40" s="34">
        <f t="shared" si="10"/>
        <v>5951.25</v>
      </c>
      <c r="E40" s="337" t="s">
        <v>24</v>
      </c>
      <c r="F40" s="34"/>
      <c r="G40" s="34"/>
      <c r="H40" s="34"/>
      <c r="I40" s="34"/>
      <c r="J40" s="44">
        <f t="shared" si="11"/>
        <v>112.5</v>
      </c>
      <c r="K40" s="44">
        <f t="shared" si="12"/>
        <v>225</v>
      </c>
      <c r="L40" s="44">
        <f t="shared" si="13"/>
        <v>225</v>
      </c>
      <c r="M40" s="44">
        <f t="shared" si="14"/>
        <v>247.5</v>
      </c>
      <c r="N40" s="44">
        <f t="shared" si="15"/>
        <v>247.5</v>
      </c>
      <c r="O40" s="44">
        <f t="shared" si="16"/>
        <v>247.5</v>
      </c>
      <c r="P40" s="44">
        <f t="shared" si="17"/>
        <v>247.5</v>
      </c>
      <c r="Q40" s="44">
        <f t="shared" si="18"/>
        <v>247.5</v>
      </c>
      <c r="R40" s="44">
        <f t="shared" si="19"/>
        <v>270</v>
      </c>
      <c r="S40" s="44">
        <f t="shared" si="20"/>
        <v>270</v>
      </c>
      <c r="T40" s="44">
        <f t="shared" si="21"/>
        <v>270</v>
      </c>
      <c r="U40" s="44">
        <f t="shared" si="22"/>
        <v>270</v>
      </c>
      <c r="V40" s="44">
        <f t="shared" si="23"/>
        <v>270</v>
      </c>
      <c r="W40" s="44">
        <f t="shared" si="24"/>
        <v>292.5</v>
      </c>
      <c r="X40" s="44">
        <f t="shared" si="25"/>
        <v>292.5</v>
      </c>
      <c r="Y40" s="44">
        <f t="shared" si="26"/>
        <v>292.5</v>
      </c>
      <c r="Z40" s="44">
        <f t="shared" si="27"/>
        <v>292.5</v>
      </c>
      <c r="AA40" s="44">
        <f t="shared" si="28"/>
        <v>292.5</v>
      </c>
      <c r="AB40" s="44">
        <f t="shared" si="29"/>
        <v>315</v>
      </c>
      <c r="AC40" s="44">
        <f t="shared" si="30"/>
        <v>315</v>
      </c>
      <c r="AD40" s="44">
        <f t="shared" si="31"/>
        <v>315</v>
      </c>
      <c r="AE40" s="44">
        <f t="shared" si="32"/>
        <v>315</v>
      </c>
      <c r="AF40" s="44">
        <f t="shared" si="33"/>
        <v>78.75</v>
      </c>
    </row>
    <row r="41" ht="21" customHeight="1" spans="2:32">
      <c r="B41" s="283">
        <v>2</v>
      </c>
      <c r="C41" s="284" t="s">
        <v>621</v>
      </c>
      <c r="D41" s="39">
        <f t="shared" ref="D41:D46" si="34">SUM(F41:AF41)</f>
        <v>0</v>
      </c>
      <c r="E41" s="337" t="s">
        <v>24</v>
      </c>
      <c r="F41" s="19">
        <f t="shared" ref="F41:I42" si="35">F16</f>
        <v>0</v>
      </c>
      <c r="G41" s="19">
        <f t="shared" si="35"/>
        <v>0</v>
      </c>
      <c r="H41" s="19">
        <f t="shared" si="35"/>
        <v>0</v>
      </c>
      <c r="I41" s="19">
        <f t="shared" si="35"/>
        <v>0</v>
      </c>
      <c r="J41" s="39">
        <v>0</v>
      </c>
      <c r="K41" s="39">
        <v>0</v>
      </c>
      <c r="L41" s="39">
        <v>0</v>
      </c>
      <c r="M41" s="39">
        <v>0</v>
      </c>
      <c r="N41" s="39">
        <v>0</v>
      </c>
      <c r="O41" s="39">
        <v>0</v>
      </c>
      <c r="P41" s="39">
        <v>0</v>
      </c>
      <c r="Q41" s="39">
        <v>0</v>
      </c>
      <c r="R41" s="39">
        <v>0</v>
      </c>
      <c r="S41" s="39">
        <v>0</v>
      </c>
      <c r="T41" s="39">
        <v>0</v>
      </c>
      <c r="U41" s="39">
        <v>0</v>
      </c>
      <c r="V41" s="39">
        <v>0</v>
      </c>
      <c r="W41" s="39">
        <v>0</v>
      </c>
      <c r="X41" s="39">
        <v>0</v>
      </c>
      <c r="Y41" s="39">
        <v>0</v>
      </c>
      <c r="Z41" s="39">
        <v>0</v>
      </c>
      <c r="AA41" s="39">
        <v>0</v>
      </c>
      <c r="AB41" s="39">
        <v>0</v>
      </c>
      <c r="AC41" s="39">
        <v>0</v>
      </c>
      <c r="AD41" s="39">
        <v>0</v>
      </c>
      <c r="AE41" s="39">
        <v>0</v>
      </c>
      <c r="AF41" s="39">
        <v>0</v>
      </c>
    </row>
    <row r="42" ht="21" customHeight="1" spans="2:32">
      <c r="B42" s="283">
        <v>3</v>
      </c>
      <c r="C42" s="284" t="s">
        <v>622</v>
      </c>
      <c r="D42" s="39">
        <f ca="1" t="shared" si="34"/>
        <v>4313.61685561129</v>
      </c>
      <c r="E42" s="337" t="s">
        <v>24</v>
      </c>
      <c r="F42" s="19">
        <f t="shared" si="35"/>
        <v>0</v>
      </c>
      <c r="G42" s="19">
        <f t="shared" si="35"/>
        <v>0</v>
      </c>
      <c r="H42" s="19">
        <f t="shared" si="35"/>
        <v>0</v>
      </c>
      <c r="I42" s="19">
        <f t="shared" si="35"/>
        <v>0</v>
      </c>
      <c r="J42" s="39">
        <f t="shared" ref="J42:AF42" si="36">SUM(J43:J44)</f>
        <v>1.70189225218719</v>
      </c>
      <c r="K42" s="39">
        <f t="shared" si="36"/>
        <v>14.6091635807219</v>
      </c>
      <c r="L42" s="39">
        <f t="shared" si="36"/>
        <v>19.2780715292</v>
      </c>
      <c r="M42" s="39">
        <f t="shared" si="36"/>
        <v>54.3291106732</v>
      </c>
      <c r="N42" s="39">
        <f t="shared" si="36"/>
        <v>54.3291106732</v>
      </c>
      <c r="O42" s="39">
        <f t="shared" si="36"/>
        <v>54.3291106732</v>
      </c>
      <c r="P42" s="39">
        <f t="shared" si="36"/>
        <v>54.3291106732</v>
      </c>
      <c r="Q42" s="39">
        <f t="shared" si="36"/>
        <v>54.3291106732</v>
      </c>
      <c r="R42" s="39">
        <f t="shared" si="36"/>
        <v>54.3291106732</v>
      </c>
      <c r="S42" s="39">
        <f t="shared" si="36"/>
        <v>54.3291106732</v>
      </c>
      <c r="T42" s="39">
        <f t="shared" si="36"/>
        <v>54.3291106732</v>
      </c>
      <c r="U42" s="39">
        <f t="shared" si="36"/>
        <v>54.3291106732</v>
      </c>
      <c r="V42" s="39">
        <f t="shared" si="36"/>
        <v>54.3291106732</v>
      </c>
      <c r="W42" s="39">
        <f t="shared" si="36"/>
        <v>54.3291106732</v>
      </c>
      <c r="X42" s="39">
        <f t="shared" si="36"/>
        <v>54.3291106732</v>
      </c>
      <c r="Y42" s="39">
        <f t="shared" si="36"/>
        <v>54.3291106732</v>
      </c>
      <c r="Z42" s="39">
        <f t="shared" si="36"/>
        <v>54.3291106732</v>
      </c>
      <c r="AA42" s="39">
        <f t="shared" si="36"/>
        <v>54.3291106732</v>
      </c>
      <c r="AB42" s="39">
        <f t="shared" si="36"/>
        <v>54.3291106732</v>
      </c>
      <c r="AC42" s="39">
        <f t="shared" si="36"/>
        <v>54.3291106732</v>
      </c>
      <c r="AD42" s="39">
        <f t="shared" si="36"/>
        <v>54.3291106732</v>
      </c>
      <c r="AE42" s="39">
        <f t="shared" si="36"/>
        <v>54.3291106732</v>
      </c>
      <c r="AF42" s="39">
        <f ca="1" t="shared" si="36"/>
        <v>3245.77462545838</v>
      </c>
    </row>
    <row r="43" ht="21" customHeight="1" spans="2:32">
      <c r="B43" s="285">
        <v>3.1</v>
      </c>
      <c r="C43" s="342" t="s">
        <v>623</v>
      </c>
      <c r="D43" s="34">
        <f t="shared" si="34"/>
        <v>1081.42450782121</v>
      </c>
      <c r="E43" s="337" t="s">
        <v>24</v>
      </c>
      <c r="F43" s="34"/>
      <c r="G43" s="34"/>
      <c r="H43" s="34"/>
      <c r="I43" s="34"/>
      <c r="J43" s="44">
        <f>J18</f>
        <v>1.70189225218719</v>
      </c>
      <c r="K43" s="44">
        <f t="shared" ref="K43:AF43" si="37">K18</f>
        <v>14.6091635807219</v>
      </c>
      <c r="L43" s="44">
        <f t="shared" si="37"/>
        <v>19.2780715292</v>
      </c>
      <c r="M43" s="44">
        <f t="shared" si="37"/>
        <v>54.3291106732</v>
      </c>
      <c r="N43" s="44">
        <f t="shared" si="37"/>
        <v>54.3291106732</v>
      </c>
      <c r="O43" s="44">
        <f t="shared" si="37"/>
        <v>54.3291106732</v>
      </c>
      <c r="P43" s="44">
        <f t="shared" si="37"/>
        <v>54.3291106732</v>
      </c>
      <c r="Q43" s="44">
        <f t="shared" si="37"/>
        <v>54.3291106732</v>
      </c>
      <c r="R43" s="44">
        <f t="shared" si="37"/>
        <v>54.3291106732</v>
      </c>
      <c r="S43" s="44">
        <f t="shared" si="37"/>
        <v>54.3291106732</v>
      </c>
      <c r="T43" s="44">
        <f t="shared" si="37"/>
        <v>54.3291106732</v>
      </c>
      <c r="U43" s="44">
        <f t="shared" si="37"/>
        <v>54.3291106732</v>
      </c>
      <c r="V43" s="44">
        <f t="shared" si="37"/>
        <v>54.3291106732</v>
      </c>
      <c r="W43" s="44">
        <f t="shared" si="37"/>
        <v>54.3291106732</v>
      </c>
      <c r="X43" s="44">
        <f t="shared" si="37"/>
        <v>54.3291106732</v>
      </c>
      <c r="Y43" s="44">
        <f t="shared" si="37"/>
        <v>54.3291106732</v>
      </c>
      <c r="Z43" s="44">
        <f t="shared" si="37"/>
        <v>54.3291106732</v>
      </c>
      <c r="AA43" s="44">
        <f t="shared" si="37"/>
        <v>54.3291106732</v>
      </c>
      <c r="AB43" s="44">
        <f t="shared" si="37"/>
        <v>54.3291106732</v>
      </c>
      <c r="AC43" s="44">
        <f t="shared" si="37"/>
        <v>54.3291106732</v>
      </c>
      <c r="AD43" s="44">
        <f t="shared" si="37"/>
        <v>54.3291106732</v>
      </c>
      <c r="AE43" s="44">
        <f t="shared" si="37"/>
        <v>54.3291106732</v>
      </c>
      <c r="AF43" s="44">
        <f t="shared" si="37"/>
        <v>13.5822776683</v>
      </c>
    </row>
    <row r="44" customFormat="1" ht="21" customHeight="1" spans="2:32">
      <c r="B44" s="354">
        <v>3.2</v>
      </c>
      <c r="C44" s="343" t="s">
        <v>293</v>
      </c>
      <c r="D44" s="34">
        <f ca="1" t="shared" si="34"/>
        <v>3232.19234779008</v>
      </c>
      <c r="E44" s="337" t="s">
        <v>24</v>
      </c>
      <c r="F44" s="34"/>
      <c r="G44" s="34"/>
      <c r="H44" s="34"/>
      <c r="I44" s="34"/>
      <c r="J44" s="44"/>
      <c r="K44" s="44"/>
      <c r="L44" s="44"/>
      <c r="M44" s="44"/>
      <c r="N44" s="44"/>
      <c r="O44" s="44"/>
      <c r="P44" s="44"/>
      <c r="Q44" s="44"/>
      <c r="R44" s="44"/>
      <c r="S44" s="44"/>
      <c r="T44" s="44"/>
      <c r="U44" s="44"/>
      <c r="V44" s="44"/>
      <c r="W44" s="44"/>
      <c r="X44" s="44"/>
      <c r="Y44" s="44"/>
      <c r="Z44" s="44"/>
      <c r="AA44" s="44"/>
      <c r="AB44" s="44"/>
      <c r="AC44" s="44"/>
      <c r="AD44" s="44"/>
      <c r="AE44" s="44"/>
      <c r="AF44" s="44">
        <f ca="1">AF19</f>
        <v>3232.19234779008</v>
      </c>
    </row>
    <row r="45" ht="21" customHeight="1" spans="2:32">
      <c r="B45" s="283">
        <v>4</v>
      </c>
      <c r="C45" s="284" t="s">
        <v>624</v>
      </c>
      <c r="D45" s="39">
        <f t="shared" si="34"/>
        <v>0</v>
      </c>
      <c r="E45" s="337" t="s">
        <v>24</v>
      </c>
      <c r="F45" s="19">
        <f t="shared" ref="F45:I46" si="38">F20</f>
        <v>0</v>
      </c>
      <c r="G45" s="19">
        <f t="shared" si="38"/>
        <v>0</v>
      </c>
      <c r="H45" s="19">
        <f t="shared" si="38"/>
        <v>0</v>
      </c>
      <c r="I45" s="19">
        <f t="shared" si="38"/>
        <v>0</v>
      </c>
      <c r="J45" s="39">
        <v>0</v>
      </c>
      <c r="K45" s="39">
        <v>0</v>
      </c>
      <c r="L45" s="39">
        <v>0</v>
      </c>
      <c r="M45" s="39">
        <v>0</v>
      </c>
      <c r="N45" s="39">
        <v>0</v>
      </c>
      <c r="O45" s="39">
        <v>0</v>
      </c>
      <c r="P45" s="39">
        <v>0</v>
      </c>
      <c r="Q45" s="39">
        <v>0</v>
      </c>
      <c r="R45" s="39">
        <v>0</v>
      </c>
      <c r="S45" s="39">
        <v>0</v>
      </c>
      <c r="T45" s="39">
        <v>0</v>
      </c>
      <c r="U45" s="39">
        <v>0</v>
      </c>
      <c r="V45" s="39">
        <v>0</v>
      </c>
      <c r="W45" s="39">
        <v>0</v>
      </c>
      <c r="X45" s="39">
        <v>0</v>
      </c>
      <c r="Y45" s="39">
        <v>0</v>
      </c>
      <c r="Z45" s="39">
        <v>0</v>
      </c>
      <c r="AA45" s="39">
        <v>0</v>
      </c>
      <c r="AB45" s="39">
        <v>0</v>
      </c>
      <c r="AC45" s="39">
        <v>0</v>
      </c>
      <c r="AD45" s="39">
        <v>0</v>
      </c>
      <c r="AE45" s="39">
        <v>0</v>
      </c>
      <c r="AF45" s="39">
        <v>0</v>
      </c>
    </row>
    <row r="46" ht="17.25" spans="2:32">
      <c r="B46" s="254" t="s">
        <v>629</v>
      </c>
      <c r="C46" s="307" t="s">
        <v>630</v>
      </c>
      <c r="D46" s="265">
        <f t="shared" si="34"/>
        <v>0</v>
      </c>
      <c r="E46" s="348" t="s">
        <v>24</v>
      </c>
      <c r="F46" s="19">
        <f t="shared" si="38"/>
        <v>0</v>
      </c>
      <c r="G46" s="19">
        <f t="shared" si="38"/>
        <v>0</v>
      </c>
      <c r="H46" s="19">
        <f t="shared" si="38"/>
        <v>0</v>
      </c>
      <c r="I46" s="19">
        <f t="shared" si="38"/>
        <v>0</v>
      </c>
      <c r="J46" s="265">
        <f>参数输入表!$I$533/(1+参数输入表!$I$556)</f>
        <v>0</v>
      </c>
      <c r="K46" s="265">
        <f>参数输入表!$I$534/(1+参数输入表!$I$556)</f>
        <v>0</v>
      </c>
      <c r="L46" s="265">
        <f>参数输入表!$I$535/(1+参数输入表!$I$556)</f>
        <v>0</v>
      </c>
      <c r="M46" s="265">
        <f>参数输入表!$I$536/(1+参数输入表!$I$556)</f>
        <v>0</v>
      </c>
      <c r="N46" s="265">
        <f>参数输入表!$I$537/(1+参数输入表!$I$556)</f>
        <v>0</v>
      </c>
      <c r="O46" s="265">
        <f>参数输入表!$I$538/(1+参数输入表!$I$556)</f>
        <v>0</v>
      </c>
      <c r="P46" s="265">
        <f>参数输入表!$I$539/(1+参数输入表!$I$556)</f>
        <v>0</v>
      </c>
      <c r="Q46" s="265">
        <f>参数输入表!$I$540/(1+参数输入表!$I$556)</f>
        <v>0</v>
      </c>
      <c r="R46" s="265">
        <f>参数输入表!$I$541/(1+参数输入表!$I$556)</f>
        <v>0</v>
      </c>
      <c r="S46" s="265">
        <f>参数输入表!$I$542/(1+参数输入表!$I$556)</f>
        <v>0</v>
      </c>
      <c r="T46" s="265">
        <f>参数输入表!$I$543/(1+参数输入表!$I$556)</f>
        <v>0</v>
      </c>
      <c r="U46" s="265">
        <f>参数输入表!$I$544/(1+参数输入表!$I$556)</f>
        <v>0</v>
      </c>
      <c r="V46" s="265">
        <f>参数输入表!$I$545/(1+参数输入表!$I$556)</f>
        <v>0</v>
      </c>
      <c r="W46" s="265">
        <f>参数输入表!$I$546/(1+参数输入表!$I$556)</f>
        <v>0</v>
      </c>
      <c r="X46" s="265">
        <f>参数输入表!$I$547/(1+参数输入表!$I$556)</f>
        <v>0</v>
      </c>
      <c r="Y46" s="265">
        <f>参数输入表!$I$548/(1+参数输入表!$I$556)</f>
        <v>0</v>
      </c>
      <c r="Z46" s="265">
        <f>参数输入表!$I$549/(1+参数输入表!$I$556)</f>
        <v>0</v>
      </c>
      <c r="AA46" s="265">
        <f>参数输入表!$I$550/(1+参数输入表!$I$556)</f>
        <v>0</v>
      </c>
      <c r="AB46" s="265">
        <f>参数输入表!$I$551/(1+参数输入表!$I$556)</f>
        <v>0</v>
      </c>
      <c r="AC46" s="265">
        <f>参数输入表!$I$552/(1+参数输入表!$I$556)</f>
        <v>0</v>
      </c>
      <c r="AD46" s="265">
        <f>参数输入表!$I$553/(1+参数输入表!$I$556)</f>
        <v>0</v>
      </c>
      <c r="AE46" s="265">
        <f>参数输入表!$I$554/(1+参数输入表!$I$556)</f>
        <v>0</v>
      </c>
      <c r="AF46" s="265">
        <f>参数输入表!$I$555/(1+参数输入表!$I$556)</f>
        <v>0</v>
      </c>
    </row>
    <row r="47" spans="2:32">
      <c r="B47" s="349"/>
      <c r="C47" s="350"/>
      <c r="D47" s="351"/>
      <c r="E47" s="352"/>
      <c r="F47" s="352"/>
      <c r="G47" s="352"/>
      <c r="H47" s="352"/>
      <c r="I47" s="352"/>
      <c r="J47" s="352"/>
      <c r="K47" s="352"/>
      <c r="L47" s="352"/>
      <c r="M47" s="352"/>
      <c r="N47" s="351"/>
      <c r="O47" s="351"/>
      <c r="P47" s="351"/>
      <c r="Q47" s="351"/>
      <c r="R47" s="351"/>
      <c r="S47" s="351"/>
      <c r="T47" s="351"/>
      <c r="U47" s="351"/>
      <c r="V47" s="351"/>
      <c r="W47" s="351"/>
      <c r="X47" s="351"/>
      <c r="Y47" s="351"/>
      <c r="Z47" s="351"/>
      <c r="AA47" s="351"/>
      <c r="AB47" s="351"/>
      <c r="AC47" s="351"/>
      <c r="AD47" s="351"/>
      <c r="AE47" s="351"/>
      <c r="AF47" s="351"/>
    </row>
    <row r="48" spans="2:32">
      <c r="B48" s="349"/>
      <c r="C48" s="350"/>
      <c r="D48" s="351"/>
      <c r="E48" s="352"/>
      <c r="F48" s="352"/>
      <c r="G48" s="352"/>
      <c r="H48" s="352"/>
      <c r="I48" s="352"/>
      <c r="J48" s="352"/>
      <c r="K48" s="352"/>
      <c r="L48" s="352"/>
      <c r="M48" s="352"/>
      <c r="N48" s="351"/>
      <c r="O48" s="351"/>
      <c r="P48" s="351"/>
      <c r="Q48" s="351"/>
      <c r="R48" s="351"/>
      <c r="S48" s="351"/>
      <c r="T48" s="351"/>
      <c r="U48" s="351"/>
      <c r="V48" s="351"/>
      <c r="W48" s="351"/>
      <c r="X48" s="351"/>
      <c r="Y48" s="351"/>
      <c r="Z48" s="351"/>
      <c r="AA48" s="351"/>
      <c r="AB48" s="351"/>
      <c r="AC48" s="351"/>
      <c r="AD48" s="351"/>
      <c r="AE48" s="351"/>
      <c r="AF48" s="351"/>
    </row>
    <row r="49" ht="17.25" spans="2:32">
      <c r="B49" s="222" t="s">
        <v>634</v>
      </c>
      <c r="C49" s="350"/>
      <c r="D49" s="351"/>
      <c r="E49" s="352"/>
      <c r="F49" s="352"/>
      <c r="G49" s="352"/>
      <c r="H49" s="352"/>
      <c r="I49" s="352"/>
      <c r="J49" s="352"/>
      <c r="K49" s="352"/>
      <c r="L49" s="352"/>
      <c r="M49" s="352"/>
      <c r="N49" s="262"/>
      <c r="O49" s="262"/>
      <c r="P49" s="262"/>
      <c r="Q49" s="262"/>
      <c r="R49" s="262"/>
      <c r="S49" s="262"/>
      <c r="T49" s="262"/>
      <c r="U49" s="262"/>
      <c r="V49" s="262"/>
      <c r="W49" s="262"/>
      <c r="X49" s="262"/>
      <c r="Y49" s="262"/>
      <c r="Z49" s="262"/>
      <c r="AA49" s="262"/>
      <c r="AB49" s="262"/>
      <c r="AC49" s="262"/>
      <c r="AD49" s="262"/>
      <c r="AE49" s="262"/>
      <c r="AF49" s="262"/>
    </row>
    <row r="50" spans="2:32">
      <c r="B50" s="355" t="s">
        <v>15</v>
      </c>
      <c r="C50" s="356" t="s">
        <v>463</v>
      </c>
      <c r="D50" s="356" t="s">
        <v>17</v>
      </c>
      <c r="E50" s="356" t="s">
        <v>18</v>
      </c>
      <c r="F50" s="10" t="s">
        <v>464</v>
      </c>
      <c r="G50" s="10" t="s">
        <v>465</v>
      </c>
      <c r="H50" s="10" t="s">
        <v>466</v>
      </c>
      <c r="I50" s="37">
        <v>45107</v>
      </c>
      <c r="J50" s="37">
        <v>45261</v>
      </c>
      <c r="K50" s="10" t="s">
        <v>20</v>
      </c>
      <c r="L50" s="10" t="s">
        <v>467</v>
      </c>
      <c r="M50" s="10" t="s">
        <v>468</v>
      </c>
      <c r="N50" s="10" t="s">
        <v>469</v>
      </c>
      <c r="O50" s="10" t="s">
        <v>470</v>
      </c>
      <c r="P50" s="10" t="s">
        <v>471</v>
      </c>
      <c r="Q50" s="10" t="s">
        <v>472</v>
      </c>
      <c r="R50" s="10" t="s">
        <v>473</v>
      </c>
      <c r="S50" s="10" t="s">
        <v>474</v>
      </c>
      <c r="T50" s="10" t="s">
        <v>475</v>
      </c>
      <c r="U50" s="10" t="s">
        <v>476</v>
      </c>
      <c r="V50" s="10" t="s">
        <v>477</v>
      </c>
      <c r="W50" s="10" t="s">
        <v>478</v>
      </c>
      <c r="X50" s="10" t="s">
        <v>479</v>
      </c>
      <c r="Y50" s="10" t="s">
        <v>480</v>
      </c>
      <c r="Z50" s="10" t="s">
        <v>481</v>
      </c>
      <c r="AA50" s="10" t="s">
        <v>482</v>
      </c>
      <c r="AB50" s="10" t="s">
        <v>483</v>
      </c>
      <c r="AC50" s="10" t="s">
        <v>484</v>
      </c>
      <c r="AD50" s="10" t="s">
        <v>485</v>
      </c>
      <c r="AE50" s="10" t="s">
        <v>486</v>
      </c>
      <c r="AF50" s="37">
        <v>53051</v>
      </c>
    </row>
    <row r="51" spans="2:32">
      <c r="B51" s="280"/>
      <c r="C51" s="281"/>
      <c r="D51" s="281"/>
      <c r="E51" s="281"/>
      <c r="F51" s="14">
        <v>1</v>
      </c>
      <c r="G51" s="14">
        <v>2</v>
      </c>
      <c r="H51" s="14">
        <v>3</v>
      </c>
      <c r="I51" s="14">
        <v>4</v>
      </c>
      <c r="J51" s="38">
        <v>5</v>
      </c>
      <c r="K51" s="38">
        <v>6</v>
      </c>
      <c r="L51" s="38">
        <v>7</v>
      </c>
      <c r="M51" s="38">
        <v>8</v>
      </c>
      <c r="N51" s="38">
        <v>9</v>
      </c>
      <c r="O51" s="38">
        <v>10</v>
      </c>
      <c r="P51" s="38">
        <v>11</v>
      </c>
      <c r="Q51" s="38">
        <v>12</v>
      </c>
      <c r="R51" s="38">
        <v>13</v>
      </c>
      <c r="S51" s="38">
        <v>14</v>
      </c>
      <c r="T51" s="38">
        <v>15</v>
      </c>
      <c r="U51" s="38">
        <v>16</v>
      </c>
      <c r="V51" s="38">
        <v>17</v>
      </c>
      <c r="W51" s="38">
        <v>18</v>
      </c>
      <c r="X51" s="38">
        <v>19</v>
      </c>
      <c r="Y51" s="38">
        <v>20</v>
      </c>
      <c r="Z51" s="38">
        <v>21</v>
      </c>
      <c r="AA51" s="38">
        <v>22</v>
      </c>
      <c r="AB51" s="38">
        <v>23</v>
      </c>
      <c r="AC51" s="38">
        <v>24</v>
      </c>
      <c r="AD51" s="38">
        <v>25</v>
      </c>
      <c r="AE51" s="38">
        <v>26</v>
      </c>
      <c r="AF51" s="38">
        <v>27</v>
      </c>
    </row>
    <row r="52" spans="2:32">
      <c r="B52" s="280"/>
      <c r="C52" s="281" t="s">
        <v>398</v>
      </c>
      <c r="D52" s="281"/>
      <c r="E52" s="281"/>
      <c r="F52" s="282">
        <f>参数输入表!$I$39</f>
        <v>0</v>
      </c>
      <c r="G52" s="282">
        <f>参数输入表!$I$40</f>
        <v>0.03125</v>
      </c>
      <c r="H52" s="282">
        <f>参数输入表!$I$41</f>
        <v>0.03125</v>
      </c>
      <c r="I52" s="282">
        <f>参数输入表!$I$42</f>
        <v>0.03125</v>
      </c>
      <c r="J52" s="282">
        <f>参数输入表!$I$43</f>
        <v>0.1765625</v>
      </c>
      <c r="K52" s="282">
        <f>参数输入表!$I$44</f>
        <v>0.7578125</v>
      </c>
      <c r="L52" s="282">
        <f>参数输入表!$I$45</f>
        <v>1</v>
      </c>
      <c r="M52" s="282">
        <f>参数输入表!$I$46</f>
        <v>1</v>
      </c>
      <c r="N52" s="282">
        <f>参数输入表!$I$47</f>
        <v>1</v>
      </c>
      <c r="O52" s="282">
        <f>参数输入表!$I$48</f>
        <v>1</v>
      </c>
      <c r="P52" s="282">
        <f>参数输入表!$I$49</f>
        <v>1</v>
      </c>
      <c r="Q52" s="282">
        <f>参数输入表!$I$50</f>
        <v>1</v>
      </c>
      <c r="R52" s="282">
        <f>参数输入表!$I$51</f>
        <v>1</v>
      </c>
      <c r="S52" s="282">
        <f>参数输入表!$I$52</f>
        <v>1</v>
      </c>
      <c r="T52" s="282">
        <f>参数输入表!$I$53</f>
        <v>1</v>
      </c>
      <c r="U52" s="282">
        <f>参数输入表!$I$54</f>
        <v>1</v>
      </c>
      <c r="V52" s="282">
        <f>参数输入表!$I$55</f>
        <v>1</v>
      </c>
      <c r="W52" s="282">
        <f>参数输入表!$I$56</f>
        <v>1</v>
      </c>
      <c r="X52" s="282">
        <f>参数输入表!$I$57</f>
        <v>1</v>
      </c>
      <c r="Y52" s="282">
        <f>参数输入表!$I$58</f>
        <v>1</v>
      </c>
      <c r="Z52" s="282">
        <f>参数输入表!$I$59</f>
        <v>1</v>
      </c>
      <c r="AA52" s="282">
        <f>参数输入表!$I$60</f>
        <v>1</v>
      </c>
      <c r="AB52" s="282">
        <f>参数输入表!$I$61</f>
        <v>1</v>
      </c>
      <c r="AC52" s="282">
        <f>参数输入表!$I$62</f>
        <v>1</v>
      </c>
      <c r="AD52" s="282">
        <f>参数输入表!$I$63</f>
        <v>1</v>
      </c>
      <c r="AE52" s="282">
        <f>参数输入表!$I$64</f>
        <v>1</v>
      </c>
      <c r="AF52" s="282">
        <f>参数输入表!$I$65</f>
        <v>1</v>
      </c>
    </row>
    <row r="53" spans="2:32">
      <c r="B53" s="357" t="s">
        <v>606</v>
      </c>
      <c r="C53" s="358" t="s">
        <v>635</v>
      </c>
      <c r="D53" s="359">
        <f ca="1">SUM(F53:AF53)</f>
        <v>69080.5004651356</v>
      </c>
      <c r="E53" s="360" t="s">
        <v>24</v>
      </c>
      <c r="F53" s="19"/>
      <c r="G53" s="19"/>
      <c r="H53" s="19"/>
      <c r="I53" s="19"/>
      <c r="J53" s="359">
        <f t="shared" ref="J53:AF53" si="39">J54+J62+J63+J66</f>
        <v>289.069392252187</v>
      </c>
      <c r="K53" s="359">
        <f t="shared" si="39"/>
        <v>1762.50916358072</v>
      </c>
      <c r="L53" s="359">
        <f t="shared" si="39"/>
        <v>2282.6780715292</v>
      </c>
      <c r="M53" s="359">
        <f t="shared" si="39"/>
        <v>3064.12616714774</v>
      </c>
      <c r="N53" s="359">
        <f t="shared" si="39"/>
        <v>2592.92616714774</v>
      </c>
      <c r="O53" s="359">
        <f t="shared" si="39"/>
        <v>2621.72616714774</v>
      </c>
      <c r="P53" s="359">
        <f t="shared" si="39"/>
        <v>2650.52616714774</v>
      </c>
      <c r="Q53" s="359">
        <f t="shared" si="39"/>
        <v>2679.32616714774</v>
      </c>
      <c r="R53" s="359">
        <f t="shared" si="39"/>
        <v>3391.65851930592</v>
      </c>
      <c r="S53" s="359">
        <f t="shared" si="39"/>
        <v>2920.45851930592</v>
      </c>
      <c r="T53" s="359">
        <f t="shared" si="39"/>
        <v>2949.25851930592</v>
      </c>
      <c r="U53" s="359">
        <f t="shared" si="39"/>
        <v>2978.05851930592</v>
      </c>
      <c r="V53" s="359">
        <f t="shared" si="39"/>
        <v>3006.85851930592</v>
      </c>
      <c r="W53" s="359">
        <f t="shared" si="39"/>
        <v>3719.1908714641</v>
      </c>
      <c r="X53" s="359">
        <f t="shared" si="39"/>
        <v>3247.9908714641</v>
      </c>
      <c r="Y53" s="359">
        <f t="shared" si="39"/>
        <v>3276.7908714641</v>
      </c>
      <c r="Z53" s="359">
        <f t="shared" si="39"/>
        <v>3305.5908714641</v>
      </c>
      <c r="AA53" s="359">
        <f t="shared" si="39"/>
        <v>3334.3908714641</v>
      </c>
      <c r="AB53" s="359">
        <f t="shared" si="39"/>
        <v>4046.72322362228</v>
      </c>
      <c r="AC53" s="359">
        <f t="shared" si="39"/>
        <v>3575.52322362228</v>
      </c>
      <c r="AD53" s="359">
        <f t="shared" si="39"/>
        <v>3604.32322362228</v>
      </c>
      <c r="AE53" s="359">
        <f t="shared" si="39"/>
        <v>3633.12322362228</v>
      </c>
      <c r="AF53" s="359">
        <f ca="1" t="shared" si="39"/>
        <v>4147.67315369565</v>
      </c>
    </row>
    <row r="54" spans="2:32">
      <c r="B54" s="280">
        <v>1</v>
      </c>
      <c r="C54" s="361" t="s">
        <v>636</v>
      </c>
      <c r="D54" s="359">
        <f t="shared" ref="D54:D59" si="40">SUM(F54:AF54)</f>
        <v>64766.8836095244</v>
      </c>
      <c r="E54" s="360" t="s">
        <v>24</v>
      </c>
      <c r="F54" s="19"/>
      <c r="G54" s="19"/>
      <c r="H54" s="19"/>
      <c r="I54" s="19"/>
      <c r="J54" s="359">
        <f t="shared" ref="J54:AF54" si="41">SUM(J55:J61)</f>
        <v>287.3675</v>
      </c>
      <c r="K54" s="359">
        <f t="shared" si="41"/>
        <v>1747.9</v>
      </c>
      <c r="L54" s="359">
        <f t="shared" si="41"/>
        <v>2263.4</v>
      </c>
      <c r="M54" s="359">
        <f t="shared" si="41"/>
        <v>3009.79705647454</v>
      </c>
      <c r="N54" s="359">
        <f t="shared" si="41"/>
        <v>2538.59705647454</v>
      </c>
      <c r="O54" s="359">
        <f t="shared" si="41"/>
        <v>2567.39705647454</v>
      </c>
      <c r="P54" s="359">
        <f t="shared" si="41"/>
        <v>2596.19705647454</v>
      </c>
      <c r="Q54" s="359">
        <f t="shared" si="41"/>
        <v>2624.99705647454</v>
      </c>
      <c r="R54" s="359">
        <f t="shared" si="41"/>
        <v>3337.32940863272</v>
      </c>
      <c r="S54" s="359">
        <f t="shared" si="41"/>
        <v>2866.12940863272</v>
      </c>
      <c r="T54" s="359">
        <f t="shared" si="41"/>
        <v>2894.92940863272</v>
      </c>
      <c r="U54" s="359">
        <f t="shared" si="41"/>
        <v>2923.72940863272</v>
      </c>
      <c r="V54" s="359">
        <f t="shared" si="41"/>
        <v>2952.52940863272</v>
      </c>
      <c r="W54" s="359">
        <f t="shared" si="41"/>
        <v>3664.8617607909</v>
      </c>
      <c r="X54" s="359">
        <f t="shared" si="41"/>
        <v>3193.6617607909</v>
      </c>
      <c r="Y54" s="359">
        <f t="shared" si="41"/>
        <v>3222.4617607909</v>
      </c>
      <c r="Z54" s="359">
        <f t="shared" si="41"/>
        <v>3251.2617607909</v>
      </c>
      <c r="AA54" s="359">
        <f t="shared" si="41"/>
        <v>3280.0617607909</v>
      </c>
      <c r="AB54" s="359">
        <f t="shared" si="41"/>
        <v>3992.39411294908</v>
      </c>
      <c r="AC54" s="359">
        <f t="shared" si="41"/>
        <v>3521.19411294908</v>
      </c>
      <c r="AD54" s="359">
        <f t="shared" si="41"/>
        <v>3549.99411294908</v>
      </c>
      <c r="AE54" s="359">
        <f t="shared" si="41"/>
        <v>3578.79411294908</v>
      </c>
      <c r="AF54" s="359">
        <f t="shared" si="41"/>
        <v>901.898528237269</v>
      </c>
    </row>
    <row r="55" spans="2:32">
      <c r="B55" s="362">
        <v>1.1</v>
      </c>
      <c r="C55" s="363" t="s">
        <v>609</v>
      </c>
      <c r="D55" s="364">
        <f t="shared" si="40"/>
        <v>1206.75</v>
      </c>
      <c r="E55" s="360" t="s">
        <v>24</v>
      </c>
      <c r="F55" s="44"/>
      <c r="G55" s="44"/>
      <c r="H55" s="44"/>
      <c r="I55" s="44"/>
      <c r="J55" s="364">
        <f>参数输入表!$I$289*参数输入表!$I$295*J52*(12-MONTH(参数输入表!$I$8))/12</f>
        <v>28.25</v>
      </c>
      <c r="K55" s="364">
        <f>参数输入表!$I$289*参数输入表!$I$296*K52</f>
        <v>242.5</v>
      </c>
      <c r="L55" s="364">
        <f>参数输入表!$I$289*参数输入表!$I$297*L52</f>
        <v>320</v>
      </c>
      <c r="M55" s="364">
        <f>参数输入表!$I$289*参数输入表!$I$298*M52</f>
        <v>32</v>
      </c>
      <c r="N55" s="364">
        <f>参数输入表!$I$289*参数输入表!$I$299*N52</f>
        <v>32</v>
      </c>
      <c r="O55" s="364">
        <f>参数输入表!$I$289*参数输入表!$I$300*O52</f>
        <v>32</v>
      </c>
      <c r="P55" s="364">
        <f>参数输入表!$I$289*参数输入表!$I$301*P52</f>
        <v>32</v>
      </c>
      <c r="Q55" s="364">
        <f>参数输入表!$I$289*参数输入表!$I$302*Q52</f>
        <v>32</v>
      </c>
      <c r="R55" s="364">
        <f>参数输入表!$I$289*参数输入表!$I$303*R52</f>
        <v>32</v>
      </c>
      <c r="S55" s="364">
        <f>参数输入表!$I$289*参数输入表!$I$304*S52</f>
        <v>32</v>
      </c>
      <c r="T55" s="364">
        <f>参数输入表!$I$289*参数输入表!$I$305*T52</f>
        <v>32</v>
      </c>
      <c r="U55" s="364">
        <f>参数输入表!$I$289*参数输入表!$I$306*U52</f>
        <v>32</v>
      </c>
      <c r="V55" s="364">
        <f>参数输入表!$I$289*参数输入表!$I$307*V52</f>
        <v>32</v>
      </c>
      <c r="W55" s="364">
        <f>参数输入表!$I$289*参数输入表!$I$308*W52</f>
        <v>32</v>
      </c>
      <c r="X55" s="364">
        <f>参数输入表!$I$289*参数输入表!$I$309*X52</f>
        <v>32</v>
      </c>
      <c r="Y55" s="364">
        <f>参数输入表!$I$289*参数输入表!$I$310*Y52</f>
        <v>32</v>
      </c>
      <c r="Z55" s="364">
        <f>参数输入表!$I$289*参数输入表!$I$311*Z52</f>
        <v>32</v>
      </c>
      <c r="AA55" s="364">
        <f>参数输入表!$I$289*参数输入表!$I$312*AA52</f>
        <v>32</v>
      </c>
      <c r="AB55" s="364">
        <f>参数输入表!$I$289*参数输入表!$I$313*AB52</f>
        <v>32</v>
      </c>
      <c r="AC55" s="364">
        <f>参数输入表!$I$289*参数输入表!$I$314*AC52</f>
        <v>32</v>
      </c>
      <c r="AD55" s="364">
        <f>参数输入表!$I$289*参数输入表!$I$315*AD52</f>
        <v>32</v>
      </c>
      <c r="AE55" s="364">
        <f>参数输入表!$I$289*参数输入表!$I$316*AE52</f>
        <v>32</v>
      </c>
      <c r="AF55" s="364">
        <f>参数输入表!$I$289*参数输入表!$I$317*AF52*MONTH(参数输入表!I6)/12</f>
        <v>8</v>
      </c>
    </row>
    <row r="56" spans="2:32">
      <c r="B56" s="362">
        <v>1.2</v>
      </c>
      <c r="C56" s="363" t="s">
        <v>611</v>
      </c>
      <c r="D56" s="364">
        <f t="shared" si="40"/>
        <v>13768.2661095243</v>
      </c>
      <c r="E56" s="360" t="s">
        <v>24</v>
      </c>
      <c r="F56" s="44"/>
      <c r="G56" s="44"/>
      <c r="H56" s="44"/>
      <c r="I56" s="44"/>
      <c r="J56" s="364">
        <f>参数输入表!$I$320*参数输入表!$I$326*J52*(12-MONTH(参数输入表!$I$8))/12</f>
        <v>0</v>
      </c>
      <c r="K56" s="364">
        <f>参数输入表!$I$320*参数输入表!$I$327*K52</f>
        <v>0</v>
      </c>
      <c r="L56" s="364">
        <f>参数输入表!$I$320*参数输入表!$I$328*L52</f>
        <v>0</v>
      </c>
      <c r="M56" s="364">
        <f>参数输入表!$I$320*参数输入表!$I$329*M52</f>
        <v>483.097056474538</v>
      </c>
      <c r="N56" s="364">
        <f>参数输入表!$I$320*参数输入表!$I$330*N52</f>
        <v>483.097056474538</v>
      </c>
      <c r="O56" s="364">
        <f>参数输入表!$I$320*参数输入表!$I$331*O52</f>
        <v>483.097056474538</v>
      </c>
      <c r="P56" s="364">
        <f>参数输入表!$I$320*参数输入表!$I$332*P52</f>
        <v>483.097056474538</v>
      </c>
      <c r="Q56" s="364">
        <f>参数输入表!$I$320*参数输入表!$I$333*Q52</f>
        <v>483.097056474538</v>
      </c>
      <c r="R56" s="364">
        <f>参数输入表!$I$320*参数输入表!$I$334*R52</f>
        <v>644.129408632718</v>
      </c>
      <c r="S56" s="364">
        <f>参数输入表!$I$320*参数输入表!$I$335*S52</f>
        <v>644.129408632718</v>
      </c>
      <c r="T56" s="364">
        <f>参数输入表!$I$320*参数输入表!$I$336*T52</f>
        <v>644.129408632718</v>
      </c>
      <c r="U56" s="364">
        <f>参数输入表!$I$320*参数输入表!$I$337*U52</f>
        <v>644.129408632718</v>
      </c>
      <c r="V56" s="364">
        <f>参数输入表!$I$320*参数输入表!$I$338*V52</f>
        <v>644.129408632718</v>
      </c>
      <c r="W56" s="364">
        <f>参数输入表!$I$320*参数输入表!$I$339*W52</f>
        <v>805.161760790897</v>
      </c>
      <c r="X56" s="364">
        <f>参数输入表!$I$320*参数输入表!$I$340*X52</f>
        <v>805.161760790897</v>
      </c>
      <c r="Y56" s="364">
        <f>参数输入表!$I$320*参数输入表!$I$341*Y52</f>
        <v>805.161760790897</v>
      </c>
      <c r="Z56" s="364">
        <f>参数输入表!$I$320*参数输入表!$I$342*Z52</f>
        <v>805.161760790897</v>
      </c>
      <c r="AA56" s="364">
        <f>参数输入表!$I$320*参数输入表!$I$343*AA52</f>
        <v>805.161760790897</v>
      </c>
      <c r="AB56" s="364">
        <f>参数输入表!$I$320*参数输入表!$I$344*AB52</f>
        <v>966.194112949077</v>
      </c>
      <c r="AC56" s="364">
        <f>参数输入表!$I$320*参数输入表!$I$345*AC52</f>
        <v>966.194112949077</v>
      </c>
      <c r="AD56" s="364">
        <f>参数输入表!$I$320*参数输入表!$I$346*AD52</f>
        <v>966.194112949077</v>
      </c>
      <c r="AE56" s="364">
        <f>参数输入表!$I$320*参数输入表!$I$347*AE52</f>
        <v>966.194112949077</v>
      </c>
      <c r="AF56" s="364">
        <f>参数输入表!$I$320*参数输入表!$I$348*AF52*MONTH(参数输入表!I6)/12</f>
        <v>241.548528237269</v>
      </c>
    </row>
    <row r="57" spans="2:32">
      <c r="B57" s="362">
        <v>1.3</v>
      </c>
      <c r="C57" s="365" t="s">
        <v>613</v>
      </c>
      <c r="D57" s="364">
        <f t="shared" si="40"/>
        <v>19563.1425</v>
      </c>
      <c r="E57" s="360" t="s">
        <v>24</v>
      </c>
      <c r="F57" s="44"/>
      <c r="G57" s="44"/>
      <c r="H57" s="44"/>
      <c r="I57" s="44"/>
      <c r="J57" s="44">
        <f>(参数输入表!$I$383*参数输入表!$I$386+参数输入表!$I$384*参数输入表!$I$387)*(1+参数输入表!$I$388)*(1+参数输入表!$I$389*(J51-参数输入表!$I$7))*J52*(12-MONTH(参数输入表!$I$8))/12</f>
        <v>53.3925</v>
      </c>
      <c r="K57" s="44">
        <f>(参数输入表!$I$383*参数输入表!$I$386+参数输入表!$I$384*参数输入表!$I$387)*(1+参数输入表!$I$388)*(1+参数输入表!$I$389*(K51-参数输入表!$I$7))*K52</f>
        <v>480.15</v>
      </c>
      <c r="L57" s="44">
        <f>(参数输入表!$I$383*参数输入表!$I$386+参数输入表!$I$384*参数输入表!$I$387)*(1+参数输入表!$I$388)*(1+参数输入表!$I$389*(L51-参数输入表!$I$7))*L52</f>
        <v>662.4</v>
      </c>
      <c r="M57" s="44">
        <f>(参数输入表!$I$383*参数输入表!$I$386+参数输入表!$I$384*参数输入表!$I$387)*(1+参数输入表!$I$388)*(1+参数输入表!$I$389*(M51-参数输入表!$I$7))*M52</f>
        <v>691.2</v>
      </c>
      <c r="N57" s="44">
        <f>(参数输入表!$I$383*参数输入表!$I$386+参数输入表!$I$384*参数输入表!$I$387)*(1+参数输入表!$I$388)*(1+参数输入表!$I$389*(N51-参数输入表!$I$7))*N52</f>
        <v>720</v>
      </c>
      <c r="O57" s="44">
        <f>(参数输入表!$I$383*参数输入表!$I$386+参数输入表!$I$384*参数输入表!$I$387)*(1+参数输入表!$I$388)*(1+参数输入表!$I$389*(O51-参数输入表!$I$7))*O52</f>
        <v>748.8</v>
      </c>
      <c r="P57" s="44">
        <f>(参数输入表!$I$383*参数输入表!$I$386+参数输入表!$I$384*参数输入表!$I$387)*(1+参数输入表!$I$388)*(1+参数输入表!$I$389*(P51-参数输入表!$I$7))*P52</f>
        <v>777.6</v>
      </c>
      <c r="Q57" s="44">
        <f>(参数输入表!$I$383*参数输入表!$I$386+参数输入表!$I$384*参数输入表!$I$387)*(1+参数输入表!$I$388)*(1+参数输入表!$I$389*(Q51-参数输入表!$I$7))*Q52</f>
        <v>806.4</v>
      </c>
      <c r="R57" s="44">
        <f>(参数输入表!$I$383*参数输入表!$I$386+参数输入表!$I$384*参数输入表!$I$387)*(1+参数输入表!$I$388)*(1+参数输入表!$I$389*(R51-参数输入表!$I$7))*R52</f>
        <v>835.2</v>
      </c>
      <c r="S57" s="44">
        <f>(参数输入表!$I$383*参数输入表!$I$386+参数输入表!$I$384*参数输入表!$I$387)*(1+参数输入表!$I$388)*(1+参数输入表!$I$389*(S51-参数输入表!$I$7))*S52</f>
        <v>864</v>
      </c>
      <c r="T57" s="44">
        <f>(参数输入表!$I$383*参数输入表!$I$386+参数输入表!$I$384*参数输入表!$I$387)*(1+参数输入表!$I$388)*(1+参数输入表!$I$389*(T51-参数输入表!$I$7))*T52</f>
        <v>892.8</v>
      </c>
      <c r="U57" s="44">
        <f>(参数输入表!$I$383*参数输入表!$I$386+参数输入表!$I$384*参数输入表!$I$387)*(1+参数输入表!$I$388)*(1+参数输入表!$I$389*(U51-参数输入表!$I$7))*U52</f>
        <v>921.6</v>
      </c>
      <c r="V57" s="44">
        <f>(参数输入表!$I$383*参数输入表!$I$386+参数输入表!$I$384*参数输入表!$I$387)*(1+参数输入表!$I$388)*(1+参数输入表!$I$389*(V51-参数输入表!$I$7))*V52</f>
        <v>950.4</v>
      </c>
      <c r="W57" s="44">
        <f>(参数输入表!$I$383*参数输入表!$I$386+参数输入表!$I$384*参数输入表!$I$387)*(1+参数输入表!$I$388)*(1+参数输入表!$I$389*(W51-参数输入表!$I$7))*W52</f>
        <v>979.2</v>
      </c>
      <c r="X57" s="44">
        <f>(参数输入表!$I$383*参数输入表!$I$386+参数输入表!$I$384*参数输入表!$I$387)*(1+参数输入表!$I$388)*(1+参数输入表!$I$389*(X51-参数输入表!$I$7))*X52</f>
        <v>1008</v>
      </c>
      <c r="Y57" s="44">
        <f>(参数输入表!$I$383*参数输入表!$I$386+参数输入表!$I$384*参数输入表!$I$387)*(1+参数输入表!$I$388)*(1+参数输入表!$I$389*(Y51-参数输入表!$I$7))*Y52</f>
        <v>1036.8</v>
      </c>
      <c r="Z57" s="44">
        <f>(参数输入表!$I$383*参数输入表!$I$386+参数输入表!$I$384*参数输入表!$I$387)*(1+参数输入表!$I$388)*(1+参数输入表!$I$389*(Z51-参数输入表!$I$7))*Z52</f>
        <v>1065.6</v>
      </c>
      <c r="AA57" s="44">
        <f>(参数输入表!$I$383*参数输入表!$I$386+参数输入表!$I$384*参数输入表!$I$387)*(1+参数输入表!$I$388)*(1+参数输入表!$I$389*(AA51-参数输入表!$I$7))*AA52</f>
        <v>1094.4</v>
      </c>
      <c r="AB57" s="44">
        <f>(参数输入表!$I$383*参数输入表!$I$386+参数输入表!$I$384*参数输入表!$I$387)*(1+参数输入表!$I$388)*(1+参数输入表!$I$389*(AB51-参数输入表!$I$7))*AB52</f>
        <v>1123.2</v>
      </c>
      <c r="AC57" s="44">
        <f>(参数输入表!$I$383*参数输入表!$I$386+参数输入表!$I$384*参数输入表!$I$387)*(1+参数输入表!$I$388)*(1+参数输入表!$I$389*(AC51-参数输入表!$I$7))*AC52</f>
        <v>1152</v>
      </c>
      <c r="AD57" s="44">
        <f>(参数输入表!$I$383*参数输入表!$I$386+参数输入表!$I$384*参数输入表!$I$387)*(1+参数输入表!$I$388)*(1+参数输入表!$I$389*(AD51-参数输入表!$I$7))*AD52</f>
        <v>1180.8</v>
      </c>
      <c r="AE57" s="44">
        <f>(参数输入表!$I$383*参数输入表!$I$386+参数输入表!$I$384*参数输入表!$I$387)*(1+参数输入表!$I$388)*(1+参数输入表!$I$389*(AE51-参数输入表!$I$7))*AE52</f>
        <v>1209.6</v>
      </c>
      <c r="AF57" s="44">
        <f>(参数输入表!$I$383*参数输入表!$I$386+参数输入表!$I$384*参数输入表!$I$387)*(1+参数输入表!$I$388)*(1+参数输入表!$I$389*(AF51-参数输入表!$I$7))*AF52*MONTH(参数输入表!I6)/12</f>
        <v>309.6</v>
      </c>
    </row>
    <row r="58" spans="2:32">
      <c r="B58" s="362">
        <v>1.4</v>
      </c>
      <c r="C58" s="365" t="s">
        <v>637</v>
      </c>
      <c r="D58" s="364">
        <f t="shared" si="40"/>
        <v>2000</v>
      </c>
      <c r="E58" s="360" t="s">
        <v>24</v>
      </c>
      <c r="F58" s="44"/>
      <c r="G58" s="44"/>
      <c r="H58" s="44"/>
      <c r="I58" s="44"/>
      <c r="J58" s="364">
        <f>参数输入表!$I$463</f>
        <v>0</v>
      </c>
      <c r="K58" s="364">
        <f>参数输入表!$I$464</f>
        <v>0</v>
      </c>
      <c r="L58" s="364">
        <f>参数输入表!$I$465</f>
        <v>0</v>
      </c>
      <c r="M58" s="364">
        <f>参数输入表!$I$466</f>
        <v>500</v>
      </c>
      <c r="N58" s="364">
        <f>参数输入表!$I$467</f>
        <v>0</v>
      </c>
      <c r="O58" s="364">
        <f>参数输入表!$I$468</f>
        <v>0</v>
      </c>
      <c r="P58" s="364">
        <f>参数输入表!$I$469</f>
        <v>0</v>
      </c>
      <c r="Q58" s="364">
        <f>参数输入表!$I$470</f>
        <v>0</v>
      </c>
      <c r="R58" s="364">
        <f>参数输入表!$I$471</f>
        <v>500</v>
      </c>
      <c r="S58" s="364">
        <f>参数输入表!$I$472</f>
        <v>0</v>
      </c>
      <c r="T58" s="364">
        <f>参数输入表!$I$473</f>
        <v>0</v>
      </c>
      <c r="U58" s="364">
        <f>参数输入表!$I$474</f>
        <v>0</v>
      </c>
      <c r="V58" s="364">
        <f>参数输入表!$I$475</f>
        <v>0</v>
      </c>
      <c r="W58" s="364">
        <f>参数输入表!$I$476</f>
        <v>500</v>
      </c>
      <c r="X58" s="364">
        <f>参数输入表!$I$477</f>
        <v>0</v>
      </c>
      <c r="Y58" s="364">
        <f>参数输入表!$I$478</f>
        <v>0</v>
      </c>
      <c r="Z58" s="364">
        <f>参数输入表!$I$479</f>
        <v>0</v>
      </c>
      <c r="AA58" s="364">
        <f>参数输入表!$I$480</f>
        <v>0</v>
      </c>
      <c r="AB58" s="364">
        <f>参数输入表!$I$481</f>
        <v>500</v>
      </c>
      <c r="AC58" s="364">
        <f>参数输入表!$I$482</f>
        <v>0</v>
      </c>
      <c r="AD58" s="364">
        <f>参数输入表!$I$483</f>
        <v>0</v>
      </c>
      <c r="AE58" s="364">
        <f>参数输入表!$I$484</f>
        <v>0</v>
      </c>
      <c r="AF58" s="364">
        <f>参数输入表!$I$485</f>
        <v>0</v>
      </c>
    </row>
    <row r="59" spans="2:32">
      <c r="B59" s="362">
        <v>1.5</v>
      </c>
      <c r="C59" s="365" t="s">
        <v>26</v>
      </c>
      <c r="D59" s="364">
        <f t="shared" si="40"/>
        <v>6750.75</v>
      </c>
      <c r="E59" s="360" t="s">
        <v>24</v>
      </c>
      <c r="F59" s="44"/>
      <c r="G59" s="44"/>
      <c r="H59" s="44"/>
      <c r="I59" s="44"/>
      <c r="J59" s="364">
        <f>参数输入表!$I$392*参数输入表!$I$393*J52*(12-MONTH(参数输入表!$I$8))/12</f>
        <v>28.25</v>
      </c>
      <c r="K59" s="364">
        <f>参数输入表!$I$392*参数输入表!$I$393*K52</f>
        <v>242.5</v>
      </c>
      <c r="L59" s="364">
        <f>参数输入表!$I$392*参数输入表!$I$393*L52</f>
        <v>320</v>
      </c>
      <c r="M59" s="364">
        <f>参数输入表!$I$392*参数输入表!$I$393*M52</f>
        <v>320</v>
      </c>
      <c r="N59" s="364">
        <f>参数输入表!$I$392*参数输入表!$I$393*N52</f>
        <v>320</v>
      </c>
      <c r="O59" s="364">
        <f>参数输入表!$I$392*参数输入表!$I$393*O52</f>
        <v>320</v>
      </c>
      <c r="P59" s="364">
        <f>参数输入表!$I$392*参数输入表!$I$393*P52</f>
        <v>320</v>
      </c>
      <c r="Q59" s="364">
        <f>参数输入表!$I$392*参数输入表!$I$393*Q52</f>
        <v>320</v>
      </c>
      <c r="R59" s="364">
        <f>参数输入表!$I$392*参数输入表!$I$393*R52</f>
        <v>320</v>
      </c>
      <c r="S59" s="364">
        <f>参数输入表!$I$392*参数输入表!$I$393*S52</f>
        <v>320</v>
      </c>
      <c r="T59" s="364">
        <f>参数输入表!$I$392*参数输入表!$I$393*T52</f>
        <v>320</v>
      </c>
      <c r="U59" s="364">
        <f>参数输入表!$I$392*参数输入表!$I$393*U52</f>
        <v>320</v>
      </c>
      <c r="V59" s="364">
        <f>参数输入表!$I$392*参数输入表!$I$393*V52</f>
        <v>320</v>
      </c>
      <c r="W59" s="364">
        <f>参数输入表!$I$392*参数输入表!$I$393*W52</f>
        <v>320</v>
      </c>
      <c r="X59" s="364">
        <f>参数输入表!$I$392*参数输入表!$I$393*X52</f>
        <v>320</v>
      </c>
      <c r="Y59" s="364">
        <f>参数输入表!$I$392*参数输入表!$I$393*Y52</f>
        <v>320</v>
      </c>
      <c r="Z59" s="364">
        <f>参数输入表!$I$392*参数输入表!$I$393*Z52</f>
        <v>320</v>
      </c>
      <c r="AA59" s="364">
        <f>参数输入表!$I$392*参数输入表!$I$393*AA52</f>
        <v>320</v>
      </c>
      <c r="AB59" s="364">
        <f>参数输入表!$I$392*参数输入表!$I$393*AB52</f>
        <v>320</v>
      </c>
      <c r="AC59" s="364">
        <f>参数输入表!$I$392*参数输入表!$I$393*AC52</f>
        <v>320</v>
      </c>
      <c r="AD59" s="364">
        <f>参数输入表!$I$392*参数输入表!$I$393*AD52</f>
        <v>320</v>
      </c>
      <c r="AE59" s="364">
        <f>参数输入表!$I$392*参数输入表!$I$393*AE52</f>
        <v>320</v>
      </c>
      <c r="AF59" s="364">
        <f>参数输入表!$I$392*参数输入表!$I$393*AF52*MONTH(参数输入表!I6)/12</f>
        <v>80</v>
      </c>
    </row>
    <row r="60" spans="2:32">
      <c r="B60" s="362">
        <v>1.6</v>
      </c>
      <c r="C60" s="366" t="s">
        <v>284</v>
      </c>
      <c r="D60" s="364">
        <f t="shared" ref="D60:D67" si="42">SUM(F60:AF60)</f>
        <v>15526.725</v>
      </c>
      <c r="E60" s="360" t="s">
        <v>24</v>
      </c>
      <c r="F60" s="44"/>
      <c r="G60" s="44"/>
      <c r="H60" s="44"/>
      <c r="I60" s="44"/>
      <c r="J60" s="364">
        <f>参数输入表!$I$396*参数输入表!$I$397*1000/10000*J52*(12-MONTH(参数输入表!$I$8))/12</f>
        <v>64.975</v>
      </c>
      <c r="K60" s="364">
        <f>参数输入表!$I$396*参数输入表!$I$397*1000/10000*K52</f>
        <v>557.75</v>
      </c>
      <c r="L60" s="364">
        <f>参数输入表!$I$396*参数输入表!$I$397*1000/10000*L52</f>
        <v>736</v>
      </c>
      <c r="M60" s="364">
        <f>参数输入表!$I$396*参数输入表!$I$397*1000/10000*M52</f>
        <v>736</v>
      </c>
      <c r="N60" s="364">
        <f>参数输入表!$I$396*参数输入表!$I$397*1000/10000*N52</f>
        <v>736</v>
      </c>
      <c r="O60" s="364">
        <f>参数输入表!$I$396*参数输入表!$I$397*1000/10000*O52</f>
        <v>736</v>
      </c>
      <c r="P60" s="364">
        <f>参数输入表!$I$396*参数输入表!$I$397*1000/10000*P52</f>
        <v>736</v>
      </c>
      <c r="Q60" s="364">
        <f>参数输入表!$I$396*参数输入表!$I$397*1000/10000*Q52</f>
        <v>736</v>
      </c>
      <c r="R60" s="364">
        <f>参数输入表!$I$396*参数输入表!$I$397*1000/10000*R52</f>
        <v>736</v>
      </c>
      <c r="S60" s="364">
        <f>参数输入表!$I$396*参数输入表!$I$397*1000/10000*S52</f>
        <v>736</v>
      </c>
      <c r="T60" s="364">
        <f>参数输入表!$I$396*参数输入表!$I$397*1000/10000*T52</f>
        <v>736</v>
      </c>
      <c r="U60" s="364">
        <f>参数输入表!$I$396*参数输入表!$I$397*1000/10000*U52</f>
        <v>736</v>
      </c>
      <c r="V60" s="364">
        <f>参数输入表!$I$396*参数输入表!$I$397*1000/10000*V52</f>
        <v>736</v>
      </c>
      <c r="W60" s="364">
        <f>参数输入表!$I$396*参数输入表!$I$397*1000/10000*W52</f>
        <v>736</v>
      </c>
      <c r="X60" s="364">
        <f>参数输入表!$I$396*参数输入表!$I$397*1000/10000*X52</f>
        <v>736</v>
      </c>
      <c r="Y60" s="364">
        <f>参数输入表!$I$396*参数输入表!$I$397*1000/10000*Y52</f>
        <v>736</v>
      </c>
      <c r="Z60" s="364">
        <f>参数输入表!$I$396*参数输入表!$I$397*1000/10000*Z52</f>
        <v>736</v>
      </c>
      <c r="AA60" s="364">
        <f>参数输入表!$I$396*参数输入表!$I$397*1000/10000*AA52</f>
        <v>736</v>
      </c>
      <c r="AB60" s="364">
        <f>参数输入表!$I$396*参数输入表!$I$397*1000/10000*AB52</f>
        <v>736</v>
      </c>
      <c r="AC60" s="364">
        <f>参数输入表!$I$396*参数输入表!$I$397*1000/10000*AC52</f>
        <v>736</v>
      </c>
      <c r="AD60" s="364">
        <f>参数输入表!$I$396*参数输入表!$I$397*1000/10000*AD52</f>
        <v>736</v>
      </c>
      <c r="AE60" s="364">
        <f>参数输入表!$I$396*参数输入表!$I$397*1000/10000*AE52</f>
        <v>736</v>
      </c>
      <c r="AF60" s="364">
        <f>参数输入表!$I$396*参数输入表!$I$397*1000/10000*AF52*MONTH(参数输入表!I6)/12</f>
        <v>184</v>
      </c>
    </row>
    <row r="61" spans="2:32">
      <c r="B61" s="362">
        <v>1.7</v>
      </c>
      <c r="C61" s="366" t="s">
        <v>288</v>
      </c>
      <c r="D61" s="364">
        <f t="shared" si="42"/>
        <v>5951.25</v>
      </c>
      <c r="E61" s="360" t="s">
        <v>24</v>
      </c>
      <c r="F61" s="44"/>
      <c r="G61" s="44"/>
      <c r="H61" s="44"/>
      <c r="I61" s="44"/>
      <c r="J61" s="364">
        <f>参数输入表!$I$400*参数输入表!$I$406/10000*(12-MONTH(参数输入表!$I$8))/12</f>
        <v>112.5</v>
      </c>
      <c r="K61" s="364">
        <f>参数输入表!$I$400*参数输入表!$I$407/10000</f>
        <v>225</v>
      </c>
      <c r="L61" s="364">
        <f>参数输入表!$I$400*参数输入表!$I$408/10000</f>
        <v>225</v>
      </c>
      <c r="M61" s="364">
        <f>参数输入表!$I$400*参数输入表!$I$409/10000</f>
        <v>247.5</v>
      </c>
      <c r="N61" s="364">
        <f>参数输入表!$I$400*参数输入表!$I$410/10000</f>
        <v>247.5</v>
      </c>
      <c r="O61" s="364">
        <f>参数输入表!$I$400*参数输入表!$I$411/10000</f>
        <v>247.5</v>
      </c>
      <c r="P61" s="364">
        <f>参数输入表!$I$400*参数输入表!$I$412/10000</f>
        <v>247.5</v>
      </c>
      <c r="Q61" s="364">
        <f>参数输入表!$I$400*参数输入表!$I$413/10000</f>
        <v>247.5</v>
      </c>
      <c r="R61" s="364">
        <f>参数输入表!$I$400*参数输入表!$I$414/10000</f>
        <v>270</v>
      </c>
      <c r="S61" s="364">
        <f>参数输入表!$I$400*参数输入表!$I$415/10000</f>
        <v>270</v>
      </c>
      <c r="T61" s="364">
        <f>参数输入表!$I$400*参数输入表!$I$416/10000</f>
        <v>270</v>
      </c>
      <c r="U61" s="364">
        <f>参数输入表!$I$400*参数输入表!$I$417/10000</f>
        <v>270</v>
      </c>
      <c r="V61" s="364">
        <f>参数输入表!$I$400*参数输入表!$I$418/10000</f>
        <v>270</v>
      </c>
      <c r="W61" s="364">
        <f>参数输入表!$I$400*参数输入表!$I$419/10000</f>
        <v>292.5</v>
      </c>
      <c r="X61" s="364">
        <f>参数输入表!$I$400*参数输入表!$I$420/10000</f>
        <v>292.5</v>
      </c>
      <c r="Y61" s="364">
        <f>参数输入表!$I$400*参数输入表!$I$421/10000</f>
        <v>292.5</v>
      </c>
      <c r="Z61" s="364">
        <f>参数输入表!$I$400*参数输入表!$I$422/10000</f>
        <v>292.5</v>
      </c>
      <c r="AA61" s="364">
        <f>参数输入表!$I$400*参数输入表!$I$423/10000</f>
        <v>292.5</v>
      </c>
      <c r="AB61" s="364">
        <f>参数输入表!$I$400*参数输入表!$I$424/10000</f>
        <v>315</v>
      </c>
      <c r="AC61" s="364">
        <f>参数输入表!$I$400*参数输入表!$I$425/10000</f>
        <v>315</v>
      </c>
      <c r="AD61" s="364">
        <f>参数输入表!$I$400*参数输入表!$I$426/10000</f>
        <v>315</v>
      </c>
      <c r="AE61" s="364">
        <f>参数输入表!$I$400*参数输入表!$I$427/10000</f>
        <v>315</v>
      </c>
      <c r="AF61" s="364">
        <f>参数输入表!$I$400*参数输入表!$I$428/10000*MONTH(参数输入表!I6)/12</f>
        <v>78.75</v>
      </c>
    </row>
    <row r="62" spans="2:32">
      <c r="B62" s="280">
        <v>2</v>
      </c>
      <c r="C62" s="361" t="s">
        <v>638</v>
      </c>
      <c r="D62" s="359">
        <f t="shared" si="42"/>
        <v>0</v>
      </c>
      <c r="E62" s="360" t="s">
        <v>24</v>
      </c>
      <c r="F62" s="44"/>
      <c r="G62" s="44"/>
      <c r="H62" s="44"/>
      <c r="I62" s="44"/>
      <c r="J62" s="364">
        <v>0</v>
      </c>
      <c r="K62" s="364">
        <v>0</v>
      </c>
      <c r="L62" s="364">
        <v>0</v>
      </c>
      <c r="M62" s="364">
        <v>0</v>
      </c>
      <c r="N62" s="364">
        <v>0</v>
      </c>
      <c r="O62" s="364">
        <v>0</v>
      </c>
      <c r="P62" s="364">
        <v>0</v>
      </c>
      <c r="Q62" s="364">
        <v>0</v>
      </c>
      <c r="R62" s="364">
        <v>0</v>
      </c>
      <c r="S62" s="364">
        <v>0</v>
      </c>
      <c r="T62" s="364">
        <v>0</v>
      </c>
      <c r="U62" s="364">
        <v>0</v>
      </c>
      <c r="V62" s="364">
        <v>0</v>
      </c>
      <c r="W62" s="364">
        <v>0</v>
      </c>
      <c r="X62" s="364">
        <v>0</v>
      </c>
      <c r="Y62" s="364">
        <v>0</v>
      </c>
      <c r="Z62" s="364">
        <v>0</v>
      </c>
      <c r="AA62" s="364">
        <v>0</v>
      </c>
      <c r="AB62" s="364">
        <v>0</v>
      </c>
      <c r="AC62" s="364">
        <v>0</v>
      </c>
      <c r="AD62" s="364">
        <v>0</v>
      </c>
      <c r="AE62" s="364">
        <v>0</v>
      </c>
      <c r="AF62" s="364">
        <v>0</v>
      </c>
    </row>
    <row r="63" spans="2:32">
      <c r="B63" s="280">
        <v>3</v>
      </c>
      <c r="C63" s="361" t="s">
        <v>639</v>
      </c>
      <c r="D63" s="359">
        <f ca="1" t="shared" si="42"/>
        <v>4313.61685561129</v>
      </c>
      <c r="E63" s="360" t="s">
        <v>24</v>
      </c>
      <c r="F63" s="44"/>
      <c r="G63" s="44"/>
      <c r="H63" s="44"/>
      <c r="I63" s="44"/>
      <c r="J63" s="364">
        <f t="shared" ref="J63:AF63" si="43">SUM(J64:J65)</f>
        <v>1.70189225218719</v>
      </c>
      <c r="K63" s="364">
        <f t="shared" si="43"/>
        <v>14.6091635807219</v>
      </c>
      <c r="L63" s="364">
        <f t="shared" si="43"/>
        <v>19.2780715292</v>
      </c>
      <c r="M63" s="364">
        <f t="shared" si="43"/>
        <v>54.3291106732</v>
      </c>
      <c r="N63" s="364">
        <f t="shared" si="43"/>
        <v>54.3291106732</v>
      </c>
      <c r="O63" s="364">
        <f t="shared" si="43"/>
        <v>54.3291106732</v>
      </c>
      <c r="P63" s="364">
        <f t="shared" si="43"/>
        <v>54.3291106732</v>
      </c>
      <c r="Q63" s="364">
        <f t="shared" si="43"/>
        <v>54.3291106732</v>
      </c>
      <c r="R63" s="364">
        <f t="shared" si="43"/>
        <v>54.3291106732</v>
      </c>
      <c r="S63" s="364">
        <f t="shared" si="43"/>
        <v>54.3291106732</v>
      </c>
      <c r="T63" s="364">
        <f t="shared" si="43"/>
        <v>54.3291106732</v>
      </c>
      <c r="U63" s="364">
        <f t="shared" si="43"/>
        <v>54.3291106732</v>
      </c>
      <c r="V63" s="364">
        <f t="shared" si="43"/>
        <v>54.3291106732</v>
      </c>
      <c r="W63" s="364">
        <f t="shared" si="43"/>
        <v>54.3291106732</v>
      </c>
      <c r="X63" s="364">
        <f t="shared" si="43"/>
        <v>54.3291106732</v>
      </c>
      <c r="Y63" s="364">
        <f t="shared" si="43"/>
        <v>54.3291106732</v>
      </c>
      <c r="Z63" s="364">
        <f t="shared" si="43"/>
        <v>54.3291106732</v>
      </c>
      <c r="AA63" s="364">
        <f t="shared" si="43"/>
        <v>54.3291106732</v>
      </c>
      <c r="AB63" s="364">
        <f t="shared" si="43"/>
        <v>54.3291106732</v>
      </c>
      <c r="AC63" s="364">
        <f t="shared" si="43"/>
        <v>54.3291106732</v>
      </c>
      <c r="AD63" s="364">
        <f t="shared" si="43"/>
        <v>54.3291106732</v>
      </c>
      <c r="AE63" s="364">
        <f t="shared" si="43"/>
        <v>54.3291106732</v>
      </c>
      <c r="AF63" s="364">
        <f ca="1" t="shared" si="43"/>
        <v>3245.77462545838</v>
      </c>
    </row>
    <row r="64" spans="2:32">
      <c r="B64" s="362">
        <v>3.1</v>
      </c>
      <c r="C64" s="365" t="s">
        <v>623</v>
      </c>
      <c r="D64" s="364">
        <f t="shared" si="42"/>
        <v>1081.42450782121</v>
      </c>
      <c r="E64" s="360" t="s">
        <v>24</v>
      </c>
      <c r="F64" s="44"/>
      <c r="G64" s="44"/>
      <c r="H64" s="44"/>
      <c r="I64" s="44"/>
      <c r="J64" s="364">
        <f>参数输入表!$I$351*参数输入表!$I$357*J52*(12-MONTH(参数输入表!$I$8))/12</f>
        <v>1.70189225218719</v>
      </c>
      <c r="K64" s="364">
        <f>参数输入表!$I$351*参数输入表!$I$358*K52</f>
        <v>14.6091635807219</v>
      </c>
      <c r="L64" s="364">
        <f>参数输入表!$I$351*参数输入表!$I$359*L52</f>
        <v>19.2780715292</v>
      </c>
      <c r="M64" s="364">
        <f>参数输入表!$I$351*参数输入表!$I$360*M52</f>
        <v>54.3291106732</v>
      </c>
      <c r="N64" s="364">
        <f>参数输入表!$I$351*参数输入表!$I$361*N52</f>
        <v>54.3291106732</v>
      </c>
      <c r="O64" s="364">
        <f>参数输入表!$I$351*参数输入表!$I$362*O52</f>
        <v>54.3291106732</v>
      </c>
      <c r="P64" s="364">
        <f>参数输入表!$I$351*参数输入表!$I$363*P52</f>
        <v>54.3291106732</v>
      </c>
      <c r="Q64" s="364">
        <f>参数输入表!$I$351*参数输入表!$I$364*Q52</f>
        <v>54.3291106732</v>
      </c>
      <c r="R64" s="364">
        <f>参数输入表!$I$351*参数输入表!$I$365*R52</f>
        <v>54.3291106732</v>
      </c>
      <c r="S64" s="364">
        <f>参数输入表!$I$351*参数输入表!$I$366*S52</f>
        <v>54.3291106732</v>
      </c>
      <c r="T64" s="364">
        <f>参数输入表!$I$351*参数输入表!$I$367*T52</f>
        <v>54.3291106732</v>
      </c>
      <c r="U64" s="364">
        <f>参数输入表!$I$351*参数输入表!$I$368*U52</f>
        <v>54.3291106732</v>
      </c>
      <c r="V64" s="364">
        <f>参数输入表!$I$351*参数输入表!$I$369*V52</f>
        <v>54.3291106732</v>
      </c>
      <c r="W64" s="364">
        <f>参数输入表!$I$351*参数输入表!$I$370*W52</f>
        <v>54.3291106732</v>
      </c>
      <c r="X64" s="364">
        <f>参数输入表!$I$351*参数输入表!$I$371*X52</f>
        <v>54.3291106732</v>
      </c>
      <c r="Y64" s="364">
        <f>参数输入表!$I$351*参数输入表!$I$372*Y52</f>
        <v>54.3291106732</v>
      </c>
      <c r="Z64" s="364">
        <f>参数输入表!$I$351*参数输入表!$I$373*Z52</f>
        <v>54.3291106732</v>
      </c>
      <c r="AA64" s="364">
        <f>参数输入表!$I$351*参数输入表!$I$374*AA52</f>
        <v>54.3291106732</v>
      </c>
      <c r="AB64" s="364">
        <f>参数输入表!$I$351*参数输入表!$I$375*AB52</f>
        <v>54.3291106732</v>
      </c>
      <c r="AC64" s="364">
        <f>参数输入表!$I$351*参数输入表!$I$376*AC52</f>
        <v>54.3291106732</v>
      </c>
      <c r="AD64" s="364">
        <f>参数输入表!$I$351*参数输入表!$I$377*AD52</f>
        <v>54.3291106732</v>
      </c>
      <c r="AE64" s="364">
        <f>参数输入表!$I$351*参数输入表!$I$378*AE52</f>
        <v>54.3291106732</v>
      </c>
      <c r="AF64" s="364">
        <f>参数输入表!$I$351*参数输入表!$I$379*AF52*MONTH(参数输入表!I6)/12</f>
        <v>13.5822776683</v>
      </c>
    </row>
    <row r="65" spans="2:32">
      <c r="B65" s="368">
        <v>3.2</v>
      </c>
      <c r="C65" s="366" t="s">
        <v>293</v>
      </c>
      <c r="D65" s="364">
        <f ca="1" t="shared" si="42"/>
        <v>3232.19234779008</v>
      </c>
      <c r="E65" s="360" t="s">
        <v>24</v>
      </c>
      <c r="F65" s="44"/>
      <c r="G65" s="44"/>
      <c r="H65" s="44"/>
      <c r="I65" s="44"/>
      <c r="J65" s="44"/>
      <c r="K65" s="44"/>
      <c r="L65" s="44"/>
      <c r="M65" s="44"/>
      <c r="N65" s="44"/>
      <c r="O65" s="44"/>
      <c r="P65" s="44"/>
      <c r="Q65" s="44"/>
      <c r="R65" s="44"/>
      <c r="S65" s="44"/>
      <c r="T65" s="44"/>
      <c r="U65" s="44"/>
      <c r="V65" s="44"/>
      <c r="W65" s="44"/>
      <c r="X65" s="44"/>
      <c r="Y65" s="44"/>
      <c r="Z65" s="44"/>
      <c r="AA65" s="44"/>
      <c r="AB65" s="44"/>
      <c r="AC65" s="44"/>
      <c r="AD65" s="44"/>
      <c r="AE65" s="44"/>
      <c r="AF65" s="44">
        <f ca="1">参数输入表!$I$431*参数输入表!$I$432</f>
        <v>3232.19234779008</v>
      </c>
    </row>
    <row r="66" spans="2:32">
      <c r="B66" s="280">
        <v>4</v>
      </c>
      <c r="C66" s="361" t="s">
        <v>640</v>
      </c>
      <c r="D66" s="359">
        <f t="shared" si="42"/>
        <v>0</v>
      </c>
      <c r="E66" s="360" t="s">
        <v>24</v>
      </c>
      <c r="F66" s="19"/>
      <c r="G66" s="19"/>
      <c r="H66" s="19"/>
      <c r="I66" s="19"/>
      <c r="J66" s="359">
        <v>0</v>
      </c>
      <c r="K66" s="359">
        <v>0</v>
      </c>
      <c r="L66" s="359">
        <v>0</v>
      </c>
      <c r="M66" s="359">
        <v>0</v>
      </c>
      <c r="N66" s="359">
        <v>0</v>
      </c>
      <c r="O66" s="359">
        <v>0</v>
      </c>
      <c r="P66" s="359">
        <v>0</v>
      </c>
      <c r="Q66" s="359">
        <v>0</v>
      </c>
      <c r="R66" s="359">
        <v>0</v>
      </c>
      <c r="S66" s="359">
        <v>0</v>
      </c>
      <c r="T66" s="359">
        <v>0</v>
      </c>
      <c r="U66" s="359">
        <v>0</v>
      </c>
      <c r="V66" s="359">
        <v>0</v>
      </c>
      <c r="W66" s="359">
        <v>0</v>
      </c>
      <c r="X66" s="359">
        <v>0</v>
      </c>
      <c r="Y66" s="359">
        <v>0</v>
      </c>
      <c r="Z66" s="359">
        <v>0</v>
      </c>
      <c r="AA66" s="359">
        <v>0</v>
      </c>
      <c r="AB66" s="359">
        <v>0</v>
      </c>
      <c r="AC66" s="359">
        <v>0</v>
      </c>
      <c r="AD66" s="359">
        <v>0</v>
      </c>
      <c r="AE66" s="359">
        <v>0</v>
      </c>
      <c r="AF66" s="359">
        <v>0</v>
      </c>
    </row>
    <row r="67" ht="17.25" spans="2:32">
      <c r="B67" s="369" t="s">
        <v>629</v>
      </c>
      <c r="C67" s="370" t="s">
        <v>641</v>
      </c>
      <c r="D67" s="371">
        <f t="shared" si="42"/>
        <v>0</v>
      </c>
      <c r="E67" s="372" t="s">
        <v>24</v>
      </c>
      <c r="F67" s="257"/>
      <c r="G67" s="257"/>
      <c r="H67" s="257"/>
      <c r="I67" s="257"/>
      <c r="J67" s="371">
        <f>参数输入表!$I$533</f>
        <v>0</v>
      </c>
      <c r="K67" s="371">
        <f>参数输入表!$I$534</f>
        <v>0</v>
      </c>
      <c r="L67" s="371">
        <f>参数输入表!$I$535</f>
        <v>0</v>
      </c>
      <c r="M67" s="371">
        <f>参数输入表!$I$536</f>
        <v>0</v>
      </c>
      <c r="N67" s="371">
        <f>参数输入表!$I$537</f>
        <v>0</v>
      </c>
      <c r="O67" s="371">
        <f>参数输入表!$I$538</f>
        <v>0</v>
      </c>
      <c r="P67" s="371">
        <f>参数输入表!$I$539</f>
        <v>0</v>
      </c>
      <c r="Q67" s="371">
        <f>参数输入表!$I$540</f>
        <v>0</v>
      </c>
      <c r="R67" s="371">
        <f>参数输入表!$I$541</f>
        <v>0</v>
      </c>
      <c r="S67" s="371">
        <f>参数输入表!$I$542</f>
        <v>0</v>
      </c>
      <c r="T67" s="371">
        <f>参数输入表!$I$543</f>
        <v>0</v>
      </c>
      <c r="U67" s="371">
        <f>参数输入表!$I$544</f>
        <v>0</v>
      </c>
      <c r="V67" s="371">
        <f>参数输入表!$I$545</f>
        <v>0</v>
      </c>
      <c r="W67" s="371">
        <f>参数输入表!$I$546</f>
        <v>0</v>
      </c>
      <c r="X67" s="371">
        <f>参数输入表!$I$547</f>
        <v>0</v>
      </c>
      <c r="Y67" s="371">
        <f>参数输入表!$I$548</f>
        <v>0</v>
      </c>
      <c r="Z67" s="371">
        <f>参数输入表!$I$549</f>
        <v>0</v>
      </c>
      <c r="AA67" s="371">
        <f>参数输入表!$I$550</f>
        <v>0</v>
      </c>
      <c r="AB67" s="371">
        <f>参数输入表!$I$551</f>
        <v>0</v>
      </c>
      <c r="AC67" s="371">
        <f>参数输入表!$I$552</f>
        <v>0</v>
      </c>
      <c r="AD67" s="371">
        <f>参数输入表!$I$553</f>
        <v>0</v>
      </c>
      <c r="AE67" s="371">
        <f>参数输入表!$I$554</f>
        <v>0</v>
      </c>
      <c r="AF67" s="371">
        <f>参数输入表!$I$555</f>
        <v>0</v>
      </c>
    </row>
    <row r="69" spans="3:5">
      <c r="C69" s="2"/>
      <c r="D69" s="4"/>
      <c r="E69" s="4"/>
    </row>
    <row r="70" spans="3:5">
      <c r="C70" s="2"/>
      <c r="D70" s="4"/>
      <c r="E70" s="4"/>
    </row>
    <row r="71" ht="22.5" spans="3:3">
      <c r="C71" s="93" t="s">
        <v>642</v>
      </c>
    </row>
    <row r="72" ht="22.5" spans="3:3">
      <c r="C72" s="93" t="s">
        <v>643</v>
      </c>
    </row>
    <row r="73" ht="22.5" spans="3:3">
      <c r="C73" s="93" t="s">
        <v>644</v>
      </c>
    </row>
    <row r="74" ht="21.5" spans="3:3">
      <c r="C74" s="59" t="s">
        <v>645</v>
      </c>
    </row>
  </sheetData>
  <mergeCells count="12">
    <mergeCell ref="B3:B4"/>
    <mergeCell ref="B28:B29"/>
    <mergeCell ref="B50:B51"/>
    <mergeCell ref="C3:C4"/>
    <mergeCell ref="C28:C29"/>
    <mergeCell ref="C50:C51"/>
    <mergeCell ref="D3:D4"/>
    <mergeCell ref="D28:D29"/>
    <mergeCell ref="D50:D51"/>
    <mergeCell ref="E3:E4"/>
    <mergeCell ref="E28:E29"/>
    <mergeCell ref="E50:E51"/>
  </mergeCells>
  <pageMargins left="0.7" right="0.7" top="0.75" bottom="0.75" header="0.3" footer="0.3"/>
  <headerFooter/>
  <ignoredErrors>
    <ignoredError sqref="D33" formula="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B1:AF105"/>
  <sheetViews>
    <sheetView showGridLines="0" zoomScale="70" zoomScaleNormal="70" workbookViewId="0">
      <selection activeCell="J35" sqref="J35"/>
    </sheetView>
  </sheetViews>
  <sheetFormatPr defaultColWidth="8.78181818181818" defaultRowHeight="16.5"/>
  <cols>
    <col min="1" max="1" width="2.78181818181818" style="4" customWidth="1"/>
    <col min="2" max="2" width="8.78181818181818" style="4"/>
    <col min="3" max="3" width="31.1090909090909" style="4" customWidth="1"/>
    <col min="4" max="4" width="16.8909090909091" style="4" customWidth="1"/>
    <col min="5" max="5" width="9.78181818181818" style="4" customWidth="1"/>
    <col min="6" max="7" width="13.1090909090909" style="4" customWidth="1"/>
    <col min="8" max="8" width="14.6636363636364" style="4" customWidth="1"/>
    <col min="9" max="9" width="12" style="4" customWidth="1"/>
    <col min="10" max="12" width="13.5545454545455" style="4" customWidth="1"/>
    <col min="13" max="13" width="15.3363636363636" style="4" customWidth="1"/>
    <col min="14" max="32" width="13.7818181818182" style="4" customWidth="1"/>
    <col min="33" max="16384" width="8.78181818181818" style="4"/>
  </cols>
  <sheetData>
    <row r="1" ht="6.45" customHeight="1"/>
    <row r="2" ht="21.6" customHeight="1" spans="2:2">
      <c r="B2" s="6" t="s">
        <v>646</v>
      </c>
    </row>
    <row r="3" spans="2:32">
      <c r="B3" s="234" t="s">
        <v>15</v>
      </c>
      <c r="C3" s="9" t="s">
        <v>463</v>
      </c>
      <c r="D3" s="9" t="s">
        <v>17</v>
      </c>
      <c r="E3" s="9" t="s">
        <v>18</v>
      </c>
      <c r="F3" s="10" t="s">
        <v>464</v>
      </c>
      <c r="G3" s="10" t="s">
        <v>465</v>
      </c>
      <c r="H3" s="10" t="s">
        <v>466</v>
      </c>
      <c r="I3" s="37">
        <v>45107</v>
      </c>
      <c r="J3" s="302" t="s">
        <v>647</v>
      </c>
      <c r="K3" s="10" t="s">
        <v>20</v>
      </c>
      <c r="L3" s="10" t="s">
        <v>467</v>
      </c>
      <c r="M3" s="10" t="s">
        <v>468</v>
      </c>
      <c r="N3" s="10" t="s">
        <v>469</v>
      </c>
      <c r="O3" s="10" t="s">
        <v>470</v>
      </c>
      <c r="P3" s="10" t="s">
        <v>471</v>
      </c>
      <c r="Q3" s="10" t="s">
        <v>472</v>
      </c>
      <c r="R3" s="10" t="s">
        <v>473</v>
      </c>
      <c r="S3" s="10" t="s">
        <v>474</v>
      </c>
      <c r="T3" s="10" t="s">
        <v>475</v>
      </c>
      <c r="U3" s="10" t="s">
        <v>476</v>
      </c>
      <c r="V3" s="10" t="s">
        <v>477</v>
      </c>
      <c r="W3" s="10" t="s">
        <v>478</v>
      </c>
      <c r="X3" s="10" t="s">
        <v>479</v>
      </c>
      <c r="Y3" s="10" t="s">
        <v>480</v>
      </c>
      <c r="Z3" s="10" t="s">
        <v>481</v>
      </c>
      <c r="AA3" s="10" t="s">
        <v>482</v>
      </c>
      <c r="AB3" s="10" t="s">
        <v>483</v>
      </c>
      <c r="AC3" s="10" t="s">
        <v>484</v>
      </c>
      <c r="AD3" s="10" t="s">
        <v>485</v>
      </c>
      <c r="AE3" s="10" t="s">
        <v>486</v>
      </c>
      <c r="AF3" s="37">
        <v>53051</v>
      </c>
    </row>
    <row r="4" spans="2:32">
      <c r="B4" s="235"/>
      <c r="C4" s="13"/>
      <c r="D4" s="13"/>
      <c r="E4" s="13"/>
      <c r="F4" s="14">
        <v>1</v>
      </c>
      <c r="G4" s="14">
        <v>2</v>
      </c>
      <c r="H4" s="14">
        <v>3</v>
      </c>
      <c r="I4" s="14">
        <v>4</v>
      </c>
      <c r="J4" s="38">
        <v>5</v>
      </c>
      <c r="K4" s="38">
        <v>6</v>
      </c>
      <c r="L4" s="38">
        <v>7</v>
      </c>
      <c r="M4" s="38">
        <v>8</v>
      </c>
      <c r="N4" s="38">
        <v>9</v>
      </c>
      <c r="O4" s="38">
        <v>10</v>
      </c>
      <c r="P4" s="38">
        <v>11</v>
      </c>
      <c r="Q4" s="38">
        <v>12</v>
      </c>
      <c r="R4" s="38">
        <v>13</v>
      </c>
      <c r="S4" s="38">
        <v>14</v>
      </c>
      <c r="T4" s="38">
        <v>15</v>
      </c>
      <c r="U4" s="38">
        <v>16</v>
      </c>
      <c r="V4" s="38">
        <v>17</v>
      </c>
      <c r="W4" s="38">
        <v>18</v>
      </c>
      <c r="X4" s="38">
        <v>19</v>
      </c>
      <c r="Y4" s="38">
        <v>20</v>
      </c>
      <c r="Z4" s="38">
        <v>21</v>
      </c>
      <c r="AA4" s="38">
        <v>22</v>
      </c>
      <c r="AB4" s="38">
        <v>23</v>
      </c>
      <c r="AC4" s="38">
        <v>24</v>
      </c>
      <c r="AD4" s="38">
        <v>25</v>
      </c>
      <c r="AE4" s="38">
        <v>26</v>
      </c>
      <c r="AF4" s="38">
        <v>27</v>
      </c>
    </row>
    <row r="5" spans="2:32">
      <c r="B5" s="280"/>
      <c r="C5" s="281" t="s">
        <v>398</v>
      </c>
      <c r="D5" s="281"/>
      <c r="E5" s="281"/>
      <c r="F5" s="282">
        <f>参数输入表!$I$39</f>
        <v>0</v>
      </c>
      <c r="G5" s="282">
        <f>参数输入表!$I$40</f>
        <v>0.03125</v>
      </c>
      <c r="H5" s="282">
        <f>参数输入表!$I$41</f>
        <v>0.03125</v>
      </c>
      <c r="I5" s="282">
        <f>参数输入表!$I$42</f>
        <v>0.03125</v>
      </c>
      <c r="J5" s="282">
        <f>参数输入表!$I$43</f>
        <v>0.1765625</v>
      </c>
      <c r="K5" s="282">
        <f>参数输入表!$I$44</f>
        <v>0.7578125</v>
      </c>
      <c r="L5" s="282">
        <f>参数输入表!$I$45</f>
        <v>1</v>
      </c>
      <c r="M5" s="282">
        <f>参数输入表!$I$46</f>
        <v>1</v>
      </c>
      <c r="N5" s="282">
        <f>参数输入表!$I$47</f>
        <v>1</v>
      </c>
      <c r="O5" s="282">
        <f>参数输入表!$I$48</f>
        <v>1</v>
      </c>
      <c r="P5" s="282">
        <f>参数输入表!$I$49</f>
        <v>1</v>
      </c>
      <c r="Q5" s="282">
        <f>参数输入表!$I$50</f>
        <v>1</v>
      </c>
      <c r="R5" s="282">
        <f>参数输入表!$I$51</f>
        <v>1</v>
      </c>
      <c r="S5" s="282">
        <f>参数输入表!$I$52</f>
        <v>1</v>
      </c>
      <c r="T5" s="282">
        <f>参数输入表!$I$53</f>
        <v>1</v>
      </c>
      <c r="U5" s="282">
        <f>参数输入表!$I$54</f>
        <v>1</v>
      </c>
      <c r="V5" s="282">
        <f>参数输入表!$I$55</f>
        <v>1</v>
      </c>
      <c r="W5" s="282">
        <f>参数输入表!$I$56</f>
        <v>1</v>
      </c>
      <c r="X5" s="282">
        <f>参数输入表!$I$57</f>
        <v>1</v>
      </c>
      <c r="Y5" s="282">
        <f>参数输入表!$I$58</f>
        <v>1</v>
      </c>
      <c r="Z5" s="282">
        <f>参数输入表!$I$59</f>
        <v>1</v>
      </c>
      <c r="AA5" s="282">
        <f>参数输入表!$I$60</f>
        <v>1</v>
      </c>
      <c r="AB5" s="282">
        <f>参数输入表!$I$61</f>
        <v>1</v>
      </c>
      <c r="AC5" s="282">
        <f>参数输入表!$I$62</f>
        <v>1</v>
      </c>
      <c r="AD5" s="282">
        <f>参数输入表!$I$63</f>
        <v>1</v>
      </c>
      <c r="AE5" s="282">
        <f>参数输入表!$I$64</f>
        <v>1</v>
      </c>
      <c r="AF5" s="282">
        <f>参数输入表!$I$65</f>
        <v>1</v>
      </c>
    </row>
    <row r="6" spans="2:32">
      <c r="B6" s="283">
        <v>1</v>
      </c>
      <c r="C6" s="284" t="s">
        <v>648</v>
      </c>
      <c r="D6" s="28">
        <f t="shared" ref="D6:D11" si="0">SUM(F6:AF6)</f>
        <v>354199.740125664</v>
      </c>
      <c r="E6" s="18" t="s">
        <v>24</v>
      </c>
      <c r="F6" s="19">
        <f>'表5-利润表-资本金(标准格式)'!F6</f>
        <v>0</v>
      </c>
      <c r="G6" s="19">
        <f>'表5-利润表-资本金(标准格式)'!G6</f>
        <v>0</v>
      </c>
      <c r="H6" s="19">
        <f>'表5-利润表-资本金(标准格式)'!H6</f>
        <v>0</v>
      </c>
      <c r="I6" s="19">
        <f>'表5-利润表-资本金(标准格式)'!I6</f>
        <v>2000</v>
      </c>
      <c r="J6" s="19">
        <f>J7+J19+J15</f>
        <v>1656.15906039823</v>
      </c>
      <c r="K6" s="19">
        <f t="shared" ref="K6:AF6" si="1">K7+K19+K15</f>
        <v>14152.0508528761</v>
      </c>
      <c r="L6" s="19">
        <f t="shared" si="1"/>
        <v>18589.6865840708</v>
      </c>
      <c r="M6" s="19">
        <f t="shared" si="1"/>
        <v>18504.4980530973</v>
      </c>
      <c r="N6" s="19">
        <f t="shared" si="1"/>
        <v>18419.3121769912</v>
      </c>
      <c r="O6" s="19">
        <f t="shared" si="1"/>
        <v>18334.126300885</v>
      </c>
      <c r="P6" s="19">
        <f t="shared" si="1"/>
        <v>18248.9377699115</v>
      </c>
      <c r="Q6" s="19">
        <f t="shared" si="1"/>
        <v>18163.7518938053</v>
      </c>
      <c r="R6" s="19">
        <f t="shared" si="1"/>
        <v>18078.5633628319</v>
      </c>
      <c r="S6" s="19">
        <f t="shared" si="1"/>
        <v>17993.3774867257</v>
      </c>
      <c r="T6" s="19">
        <f t="shared" si="1"/>
        <v>17908.1916106195</v>
      </c>
      <c r="U6" s="19">
        <f t="shared" si="1"/>
        <v>17823.003079646</v>
      </c>
      <c r="V6" s="19">
        <f t="shared" si="1"/>
        <v>17737.8172035398</v>
      </c>
      <c r="W6" s="19">
        <f t="shared" si="1"/>
        <v>17652.6286725664</v>
      </c>
      <c r="X6" s="19">
        <f t="shared" si="1"/>
        <v>17567.4427964602</v>
      </c>
      <c r="Y6" s="19">
        <f t="shared" si="1"/>
        <v>17482.256920354</v>
      </c>
      <c r="Z6" s="19">
        <f t="shared" si="1"/>
        <v>14824.1150973451</v>
      </c>
      <c r="AA6" s="19">
        <f t="shared" si="1"/>
        <v>13295.2042831858</v>
      </c>
      <c r="AB6" s="19">
        <f t="shared" si="1"/>
        <v>13229.7807079646</v>
      </c>
      <c r="AC6" s="19">
        <f t="shared" si="1"/>
        <v>13164.3597876106</v>
      </c>
      <c r="AD6" s="19">
        <f t="shared" si="1"/>
        <v>13098.9388672566</v>
      </c>
      <c r="AE6" s="19">
        <f t="shared" si="1"/>
        <v>13033.5152920354</v>
      </c>
      <c r="AF6" s="19">
        <f t="shared" si="1"/>
        <v>3242.02226548672</v>
      </c>
    </row>
    <row r="7" spans="2:32">
      <c r="B7" s="285">
        <v>1.1</v>
      </c>
      <c r="C7" s="286" t="s">
        <v>649</v>
      </c>
      <c r="D7" s="63">
        <f t="shared" si="0"/>
        <v>270180.414461947</v>
      </c>
      <c r="E7" s="18" t="s">
        <v>24</v>
      </c>
      <c r="F7" s="34"/>
      <c r="G7" s="34"/>
      <c r="H7" s="34"/>
      <c r="I7" s="34"/>
      <c r="J7" s="34">
        <f>J8*(J12-J13-J14)/(1+参数输入表!$I$563)</f>
        <v>1191.206775</v>
      </c>
      <c r="K7" s="34">
        <f>K8*(K12-K13-K14)/(1+参数输入表!$I$563)</f>
        <v>10178.971085177</v>
      </c>
      <c r="L7" s="34">
        <f>L8*(L12-L13-L14)/(1+参数输入表!$I$563)</f>
        <v>13370.7729557522</v>
      </c>
      <c r="M7" s="34">
        <f>M8*(M12-M13-M14)/(1+参数输入表!$I$563)</f>
        <v>13309.5015929204</v>
      </c>
      <c r="N7" s="34">
        <f>N8*(N12-N13-N14)/(1+参数输入表!$I$563)</f>
        <v>13248.2302300885</v>
      </c>
      <c r="O7" s="34">
        <f>O8*(O12-O13-O14)/(1+参数输入表!$I$563)</f>
        <v>13186.9588672566</v>
      </c>
      <c r="P7" s="34">
        <f>P8*(P12-P13-P14)/(1+参数输入表!$I$563)</f>
        <v>13125.6875044248</v>
      </c>
      <c r="Q7" s="34">
        <f>Q8*(Q12-Q13-Q14)/(1+参数输入表!$I$563)</f>
        <v>13064.4161415929</v>
      </c>
      <c r="R7" s="34">
        <f>R8*(R12-R13-R14)/(1+参数输入表!$I$563)</f>
        <v>13003.1447787611</v>
      </c>
      <c r="S7" s="34">
        <f>S8*(S12-S13-S14)/(1+参数输入表!$I$563)</f>
        <v>12941.8734159292</v>
      </c>
      <c r="T7" s="34">
        <f>T8*(T12-T13-T14)/(1+参数输入表!$I$563)</f>
        <v>12880.6020530973</v>
      </c>
      <c r="U7" s="34">
        <f>U8*(U12-U13-U14)/(1+参数输入表!$I$563)</f>
        <v>12819.3306902655</v>
      </c>
      <c r="V7" s="34">
        <f>V8*(V12-V13-V14)/(1+参数输入表!$I$563)</f>
        <v>12758.0593274336</v>
      </c>
      <c r="W7" s="34">
        <f>W8*(W12-W13-W14)/(1+参数输入表!$I$563)</f>
        <v>12696.7879646018</v>
      </c>
      <c r="X7" s="34">
        <f>X8*(X12-X13-X14)/(1+参数输入表!$I$563)</f>
        <v>12635.5166017699</v>
      </c>
      <c r="Y7" s="34">
        <f>Y8*(Y12-Y13-Y14)/(1+参数输入表!$I$563)</f>
        <v>12574.2452389381</v>
      </c>
      <c r="Z7" s="34">
        <f>Z8*(Z12-Z13-Z14)/(1+参数输入表!$I$563)</f>
        <v>12512.9738761062</v>
      </c>
      <c r="AA7" s="34">
        <f>AA8*(AA12-AA13-AA14)/(1+参数输入表!$I$563)</f>
        <v>12451.7025132743</v>
      </c>
      <c r="AB7" s="34">
        <f>AB8*(AB12-AB13-AB14)/(1+参数输入表!$I$563)</f>
        <v>12390.4311504425</v>
      </c>
      <c r="AC7" s="34">
        <f>AC8*(AC12-AC13-AC14)/(1+参数输入表!$I$563)</f>
        <v>12329.1597876106</v>
      </c>
      <c r="AD7" s="34">
        <f>AD8*(AD12-AD13-AD14)/(1+参数输入表!$I$563)</f>
        <v>12267.8884247788</v>
      </c>
      <c r="AE7" s="34">
        <f>AE8*(AE12-AE13-AE14)/(1+参数输入表!$I$563)</f>
        <v>12206.6170619469</v>
      </c>
      <c r="AF7" s="34">
        <f>AF8*(AF12-AF13-AF14)/(1+参数输入表!$I$563)</f>
        <v>3036.33642477876</v>
      </c>
    </row>
    <row r="8" customFormat="1" spans="2:32">
      <c r="B8" s="20"/>
      <c r="C8" s="287" t="s">
        <v>376</v>
      </c>
      <c r="D8" s="34">
        <f t="shared" si="0"/>
        <v>984851.1882</v>
      </c>
      <c r="E8" s="18" t="s">
        <v>378</v>
      </c>
      <c r="F8" s="34"/>
      <c r="G8" s="34"/>
      <c r="H8" s="34"/>
      <c r="I8" s="34"/>
      <c r="J8" s="44">
        <f>参数输入表!$I$67*参数输入表!$I$68*(1-参数输入表!$I$74)*(1-参数输入表!$I$102)/10*J5*(12-MONTH(参数输入表!I8))/12</f>
        <v>4342.140825</v>
      </c>
      <c r="K8" s="34">
        <f>参数输入表!$I$67*参数输入表!$I$68*(1-参数输入表!$I$75)*(1-参数输入表!$I$103)/10*K5</f>
        <v>37103.991375</v>
      </c>
      <c r="L8" s="34">
        <f>参数输入表!$I$67*参数输入表!$I$68*(1-参数输入表!$I$76)*(1-参数输入表!$I$104)/10*L5</f>
        <v>48738.624</v>
      </c>
      <c r="M8" s="34">
        <f>参数输入表!$I$67*参数输入表!$I$68*(1-参数输入表!$I$77)*(1-参数输入表!$I$105)/10*M5</f>
        <v>48515.28</v>
      </c>
      <c r="N8" s="34">
        <f>参数输入表!$I$67*参数输入表!$I$68*(1-参数输入表!$I$78)*(1-参数输入表!$I$106)/10*N5</f>
        <v>48291.936</v>
      </c>
      <c r="O8" s="34">
        <f>参数输入表!$I$67*参数输入表!$I$68*(1-参数输入表!$I$79)*(1-参数输入表!$I$107)/10*O5</f>
        <v>48068.592</v>
      </c>
      <c r="P8" s="34">
        <f>参数输入表!$I$67*参数输入表!$I$68*(1-参数输入表!$I$80)*(1-参数输入表!$I$108)/10*P5</f>
        <v>47845.248</v>
      </c>
      <c r="Q8" s="34">
        <f>参数输入表!$I$67*参数输入表!$I$68*(1-参数输入表!$I$81)*(1-参数输入表!$I$109)/10*Q5</f>
        <v>47621.904</v>
      </c>
      <c r="R8" s="34">
        <f>参数输入表!$I$67*参数输入表!$I$68*(1-参数输入表!$I$82)*(1-参数输入表!$I$110)/10*R5</f>
        <v>47398.56</v>
      </c>
      <c r="S8" s="34">
        <f>参数输入表!$I$67*参数输入表!$I$68*(1-参数输入表!$I$83)*(1-参数输入表!$I$111)/10*S5</f>
        <v>47175.216</v>
      </c>
      <c r="T8" s="34">
        <f>参数输入表!$I$67*参数输入表!$I$68*(1-参数输入表!$I$84)*(1-参数输入表!$I$112)/10*T5</f>
        <v>46951.872</v>
      </c>
      <c r="U8" s="34">
        <f>参数输入表!$I$67*参数输入表!$I$68*(1-参数输入表!$I$85)*(1-参数输入表!$I$113)/10*U5</f>
        <v>46728.528</v>
      </c>
      <c r="V8" s="34">
        <f>参数输入表!$I$67*参数输入表!$I$68*(1-参数输入表!$I$86)*(1-参数输入表!$I$114)/10*V5</f>
        <v>46505.184</v>
      </c>
      <c r="W8" s="34">
        <f>参数输入表!$I$67*参数输入表!$I$68*(1-参数输入表!$I$87)*(1-参数输入表!$I$115)/10*W5</f>
        <v>46281.84</v>
      </c>
      <c r="X8" s="34">
        <f>参数输入表!$I$67*参数输入表!$I$68*(1-参数输入表!$I$88)*(1-参数输入表!$I$116)/10*X5</f>
        <v>46058.496</v>
      </c>
      <c r="Y8" s="34">
        <f>参数输入表!$I$67*参数输入表!$I$68*(1-参数输入表!$I$89)*(1-参数输入表!$I$117)/10*Y5</f>
        <v>45835.152</v>
      </c>
      <c r="Z8" s="34">
        <f>参数输入表!$I$67*参数输入表!$I$68*(1-参数输入表!$I$90)*(1-参数输入表!$I$118)/10*Z5</f>
        <v>45611.808</v>
      </c>
      <c r="AA8" s="34">
        <f>参数输入表!$I$67*参数输入表!$I$68*(1-参数输入表!$I$91)*(1-参数输入表!$I$119)/10*AA5</f>
        <v>45388.464</v>
      </c>
      <c r="AB8" s="34">
        <f>参数输入表!$I$67*参数输入表!$I$68*(1-参数输入表!$I$92)*(1-参数输入表!$I$120)/10*AB5</f>
        <v>45165.12</v>
      </c>
      <c r="AC8" s="34">
        <f>参数输入表!$I$67*参数输入表!$I$68*(1-参数输入表!$I$93)*(1-参数输入表!$I$121)/10*AC5</f>
        <v>44941.776</v>
      </c>
      <c r="AD8" s="34">
        <f>参数输入表!$I$67*参数输入表!$I$68*(1-参数输入表!$I$94)*(1-参数输入表!$I$122)/10*AD5</f>
        <v>44718.432</v>
      </c>
      <c r="AE8" s="34">
        <f>参数输入表!$I$67*参数输入表!$I$68*(1-参数输入表!$I$95)*(1-参数输入表!$I$123)/10*AE5</f>
        <v>44495.088</v>
      </c>
      <c r="AF8" s="44">
        <f>参数输入表!$I$67*参数输入表!$I$68*(1-参数输入表!$I$96)*(1-参数输入表!$I$124)/10*AF5*MONTH(参数输入表!I6)/12</f>
        <v>11067.936</v>
      </c>
    </row>
    <row r="9" customFormat="1" spans="2:32">
      <c r="B9" s="20"/>
      <c r="C9" s="288" t="s">
        <v>650</v>
      </c>
      <c r="D9" s="34">
        <f t="shared" si="0"/>
        <v>689395.83174</v>
      </c>
      <c r="E9" s="18" t="s">
        <v>378</v>
      </c>
      <c r="F9" s="34"/>
      <c r="G9" s="34"/>
      <c r="H9" s="34"/>
      <c r="I9" s="34"/>
      <c r="J9" s="34">
        <f>J8*参数输入表!$I$125</f>
        <v>3039.4985775</v>
      </c>
      <c r="K9" s="34">
        <f>K8*参数输入表!$I$125</f>
        <v>25972.7939625</v>
      </c>
      <c r="L9" s="34">
        <f>L8*参数输入表!$I$125</f>
        <v>34117.0368</v>
      </c>
      <c r="M9" s="34">
        <f>M8*参数输入表!$I$125</f>
        <v>33960.696</v>
      </c>
      <c r="N9" s="34">
        <f>N8*参数输入表!$I$125</f>
        <v>33804.3552</v>
      </c>
      <c r="O9" s="34">
        <f>O8*参数输入表!$I$125</f>
        <v>33648.0144</v>
      </c>
      <c r="P9" s="34">
        <f>P8*参数输入表!$I$125</f>
        <v>33491.6736</v>
      </c>
      <c r="Q9" s="34">
        <f>Q8*参数输入表!$I$125</f>
        <v>33335.3328</v>
      </c>
      <c r="R9" s="34">
        <f>R8*参数输入表!$I$125</f>
        <v>33178.992</v>
      </c>
      <c r="S9" s="34">
        <f>S8*参数输入表!$I$125</f>
        <v>33022.6512</v>
      </c>
      <c r="T9" s="34">
        <f>T8*参数输入表!$I$125</f>
        <v>32866.3104</v>
      </c>
      <c r="U9" s="34">
        <f>U8*参数输入表!$I$125</f>
        <v>32709.9696</v>
      </c>
      <c r="V9" s="34">
        <f>V8*参数输入表!$I$125</f>
        <v>32553.6288</v>
      </c>
      <c r="W9" s="34">
        <f>W8*参数输入表!$I$125</f>
        <v>32397.288</v>
      </c>
      <c r="X9" s="34">
        <f>X8*参数输入表!$I$125</f>
        <v>32240.9472</v>
      </c>
      <c r="Y9" s="34">
        <f>Y8*参数输入表!$I$125</f>
        <v>32084.6064</v>
      </c>
      <c r="Z9" s="34">
        <f>Z8*参数输入表!$I$125</f>
        <v>31928.2656</v>
      </c>
      <c r="AA9" s="34">
        <f>AA8*参数输入表!$I$125</f>
        <v>31771.9248</v>
      </c>
      <c r="AB9" s="34">
        <f>AB8*参数输入表!$I$125</f>
        <v>31615.584</v>
      </c>
      <c r="AC9" s="34">
        <f>AC8*参数输入表!$I$125</f>
        <v>31459.2432</v>
      </c>
      <c r="AD9" s="34">
        <f>AD8*参数输入表!$I$125</f>
        <v>31302.9024</v>
      </c>
      <c r="AE9" s="34">
        <f>AE8*参数输入表!$I$125</f>
        <v>31146.5616</v>
      </c>
      <c r="AF9" s="34">
        <f>AF8*参数输入表!$I$125</f>
        <v>7747.5552</v>
      </c>
    </row>
    <row r="10" customFormat="1" spans="2:32">
      <c r="B10" s="20"/>
      <c r="C10" s="288" t="s">
        <v>651</v>
      </c>
      <c r="D10" s="34">
        <f t="shared" si="0"/>
        <v>196970.23764</v>
      </c>
      <c r="E10" s="18" t="s">
        <v>378</v>
      </c>
      <c r="F10" s="34"/>
      <c r="G10" s="34"/>
      <c r="H10" s="34"/>
      <c r="I10" s="34"/>
      <c r="J10" s="34">
        <f>J8*参数输入表!$I$126</f>
        <v>868.428165</v>
      </c>
      <c r="K10" s="34">
        <f>K8*参数输入表!$I$126</f>
        <v>7420.798275</v>
      </c>
      <c r="L10" s="34">
        <f>L8*参数输入表!$I$126</f>
        <v>9747.7248</v>
      </c>
      <c r="M10" s="34">
        <f>M8*参数输入表!$I$126</f>
        <v>9703.056</v>
      </c>
      <c r="N10" s="34">
        <f>N8*参数输入表!$I$126</f>
        <v>9658.3872</v>
      </c>
      <c r="O10" s="34">
        <f>O8*参数输入表!$I$126</f>
        <v>9613.7184</v>
      </c>
      <c r="P10" s="34">
        <f>P8*参数输入表!$I$126</f>
        <v>9569.0496</v>
      </c>
      <c r="Q10" s="34">
        <f>Q8*参数输入表!$I$126</f>
        <v>9524.3808</v>
      </c>
      <c r="R10" s="34">
        <f>R8*参数输入表!$I$126</f>
        <v>9479.712</v>
      </c>
      <c r="S10" s="34">
        <f>S8*参数输入表!$I$126</f>
        <v>9435.0432</v>
      </c>
      <c r="T10" s="34">
        <f>T8*参数输入表!$I$126</f>
        <v>9390.3744</v>
      </c>
      <c r="U10" s="34">
        <f>U8*参数输入表!$I$126</f>
        <v>9345.7056</v>
      </c>
      <c r="V10" s="34">
        <f>V8*参数输入表!$I$126</f>
        <v>9301.0368</v>
      </c>
      <c r="W10" s="34">
        <f>W8*参数输入表!$I$126</f>
        <v>9256.368</v>
      </c>
      <c r="X10" s="34">
        <f>X8*参数输入表!$I$126</f>
        <v>9211.6992</v>
      </c>
      <c r="Y10" s="34">
        <f>Y8*参数输入表!$I$126</f>
        <v>9167.0304</v>
      </c>
      <c r="Z10" s="34">
        <f>Z8*参数输入表!$I$126</f>
        <v>9122.3616</v>
      </c>
      <c r="AA10" s="34">
        <f>AA8*参数输入表!$I$126</f>
        <v>9077.6928</v>
      </c>
      <c r="AB10" s="34">
        <f>AB8*参数输入表!$I$126</f>
        <v>9033.024</v>
      </c>
      <c r="AC10" s="34">
        <f>AC8*参数输入表!$I$126</f>
        <v>8988.3552</v>
      </c>
      <c r="AD10" s="34">
        <f>AD8*参数输入表!$I$126</f>
        <v>8943.6864</v>
      </c>
      <c r="AE10" s="34">
        <f>AE8*参数输入表!$I$126</f>
        <v>8899.0176</v>
      </c>
      <c r="AF10" s="34">
        <f>AF8*参数输入表!$I$126</f>
        <v>2213.5872</v>
      </c>
    </row>
    <row r="11" customFormat="1" spans="2:32">
      <c r="B11" s="20"/>
      <c r="C11" s="288" t="s">
        <v>652</v>
      </c>
      <c r="D11" s="34">
        <f t="shared" si="0"/>
        <v>98485.11882</v>
      </c>
      <c r="E11" s="18" t="s">
        <v>378</v>
      </c>
      <c r="F11" s="34"/>
      <c r="G11" s="34"/>
      <c r="H11" s="34"/>
      <c r="I11" s="34"/>
      <c r="J11" s="34">
        <f>J8*参数输入表!$I$127</f>
        <v>434.2140825</v>
      </c>
      <c r="K11" s="34">
        <f>K8*参数输入表!$I$127</f>
        <v>3710.3991375</v>
      </c>
      <c r="L11" s="34">
        <f>L8*参数输入表!$I$127</f>
        <v>4873.8624</v>
      </c>
      <c r="M11" s="34">
        <f>M8*参数输入表!$I$127</f>
        <v>4851.528</v>
      </c>
      <c r="N11" s="34">
        <f>N8*参数输入表!$I$127</f>
        <v>4829.1936</v>
      </c>
      <c r="O11" s="34">
        <f>O8*参数输入表!$I$127</f>
        <v>4806.8592</v>
      </c>
      <c r="P11" s="34">
        <f>P8*参数输入表!$I$127</f>
        <v>4784.5248</v>
      </c>
      <c r="Q11" s="34">
        <f>Q8*参数输入表!$I$127</f>
        <v>4762.1904</v>
      </c>
      <c r="R11" s="34">
        <f>R8*参数输入表!$I$127</f>
        <v>4739.856</v>
      </c>
      <c r="S11" s="34">
        <f>S8*参数输入表!$I$127</f>
        <v>4717.5216</v>
      </c>
      <c r="T11" s="34">
        <f>T8*参数输入表!$I$127</f>
        <v>4695.1872</v>
      </c>
      <c r="U11" s="34">
        <f>U8*参数输入表!$I$127</f>
        <v>4672.8528</v>
      </c>
      <c r="V11" s="34">
        <f>V8*参数输入表!$I$127</f>
        <v>4650.5184</v>
      </c>
      <c r="W11" s="34">
        <f>W8*参数输入表!$I$127</f>
        <v>4628.184</v>
      </c>
      <c r="X11" s="34">
        <f>X8*参数输入表!$I$127</f>
        <v>4605.8496</v>
      </c>
      <c r="Y11" s="34">
        <f>Y8*参数输入表!$I$127</f>
        <v>4583.5152</v>
      </c>
      <c r="Z11" s="34">
        <f>Z8*参数输入表!$I$127</f>
        <v>4561.1808</v>
      </c>
      <c r="AA11" s="34">
        <f>AA8*参数输入表!$I$127</f>
        <v>4538.8464</v>
      </c>
      <c r="AB11" s="34">
        <f>AB8*参数输入表!$I$127</f>
        <v>4516.512</v>
      </c>
      <c r="AC11" s="34">
        <f>AC8*参数输入表!$I$127</f>
        <v>4494.1776</v>
      </c>
      <c r="AD11" s="34">
        <f>AD8*参数输入表!$I$127</f>
        <v>4471.8432</v>
      </c>
      <c r="AE11" s="34">
        <f>AE8*参数输入表!$I$127</f>
        <v>4449.5088</v>
      </c>
      <c r="AF11" s="34">
        <f>AF8*参数输入表!$I$127</f>
        <v>1106.7936</v>
      </c>
    </row>
    <row r="12" customFormat="1" spans="2:32">
      <c r="B12" s="20"/>
      <c r="C12" s="287" t="s">
        <v>653</v>
      </c>
      <c r="D12" s="34"/>
      <c r="E12" s="18" t="s">
        <v>654</v>
      </c>
      <c r="F12" s="46"/>
      <c r="G12" s="46"/>
      <c r="H12" s="46"/>
      <c r="I12" s="46"/>
      <c r="J12" s="46">
        <f>参数输入表!$I$560</f>
        <v>0.316</v>
      </c>
      <c r="K12" s="46">
        <f>参数输入表!$I$560</f>
        <v>0.316</v>
      </c>
      <c r="L12" s="46">
        <f>参数输入表!$I$560</f>
        <v>0.316</v>
      </c>
      <c r="M12" s="46">
        <f>参数输入表!$I$560</f>
        <v>0.316</v>
      </c>
      <c r="N12" s="46">
        <f>参数输入表!$I$560</f>
        <v>0.316</v>
      </c>
      <c r="O12" s="46">
        <f>参数输入表!$I$560</f>
        <v>0.316</v>
      </c>
      <c r="P12" s="46">
        <f>参数输入表!$I$560</f>
        <v>0.316</v>
      </c>
      <c r="Q12" s="46">
        <f>参数输入表!$I$560</f>
        <v>0.316</v>
      </c>
      <c r="R12" s="46">
        <f>参数输入表!$I$560</f>
        <v>0.316</v>
      </c>
      <c r="S12" s="46">
        <f>参数输入表!$I$560</f>
        <v>0.316</v>
      </c>
      <c r="T12" s="46">
        <f>参数输入表!$I$560</f>
        <v>0.316</v>
      </c>
      <c r="U12" s="46">
        <f>参数输入表!$I$560</f>
        <v>0.316</v>
      </c>
      <c r="V12" s="46">
        <f>参数输入表!$I$560</f>
        <v>0.316</v>
      </c>
      <c r="W12" s="46">
        <f>参数输入表!$I$560</f>
        <v>0.316</v>
      </c>
      <c r="X12" s="46">
        <f>参数输入表!$I$560</f>
        <v>0.316</v>
      </c>
      <c r="Y12" s="46">
        <f>参数输入表!$I$560</f>
        <v>0.316</v>
      </c>
      <c r="Z12" s="46">
        <f>参数输入表!$I$560</f>
        <v>0.316</v>
      </c>
      <c r="AA12" s="46">
        <f>参数输入表!$I$560</f>
        <v>0.316</v>
      </c>
      <c r="AB12" s="46">
        <f>参数输入表!$I$560</f>
        <v>0.316</v>
      </c>
      <c r="AC12" s="46">
        <f>参数输入表!$I$560</f>
        <v>0.316</v>
      </c>
      <c r="AD12" s="46">
        <f>参数输入表!$I$560</f>
        <v>0.316</v>
      </c>
      <c r="AE12" s="46">
        <f>参数输入表!$I$560</f>
        <v>0.316</v>
      </c>
      <c r="AF12" s="46">
        <f>参数输入表!$I$560</f>
        <v>0.316</v>
      </c>
    </row>
    <row r="13" customFormat="1" spans="2:32">
      <c r="B13" s="20"/>
      <c r="C13" s="287" t="s">
        <v>655</v>
      </c>
      <c r="D13" s="34"/>
      <c r="E13" s="18" t="s">
        <v>654</v>
      </c>
      <c r="F13" s="289"/>
      <c r="G13" s="289"/>
      <c r="H13" s="289"/>
      <c r="I13" s="289"/>
      <c r="J13" s="289">
        <f>参数输入表!$I$561</f>
        <v>0.002</v>
      </c>
      <c r="K13" s="289">
        <f>参数输入表!$I$561</f>
        <v>0.002</v>
      </c>
      <c r="L13" s="289">
        <f>参数输入表!$I$561</f>
        <v>0.002</v>
      </c>
      <c r="M13" s="289">
        <f>参数输入表!$I$561</f>
        <v>0.002</v>
      </c>
      <c r="N13" s="289">
        <f>参数输入表!$I$561</f>
        <v>0.002</v>
      </c>
      <c r="O13" s="289">
        <f>参数输入表!$I$561</f>
        <v>0.002</v>
      </c>
      <c r="P13" s="289">
        <f>参数输入表!$I$561</f>
        <v>0.002</v>
      </c>
      <c r="Q13" s="289">
        <f>参数输入表!$I$561</f>
        <v>0.002</v>
      </c>
      <c r="R13" s="289">
        <f>参数输入表!$I$561</f>
        <v>0.002</v>
      </c>
      <c r="S13" s="289">
        <f>参数输入表!$I$561</f>
        <v>0.002</v>
      </c>
      <c r="T13" s="289">
        <f>参数输入表!$I$561</f>
        <v>0.002</v>
      </c>
      <c r="U13" s="289">
        <f>参数输入表!$I$561</f>
        <v>0.002</v>
      </c>
      <c r="V13" s="289">
        <f>参数输入表!$I$561</f>
        <v>0.002</v>
      </c>
      <c r="W13" s="289">
        <f>参数输入表!$I$561</f>
        <v>0.002</v>
      </c>
      <c r="X13" s="289">
        <f>参数输入表!$I$561</f>
        <v>0.002</v>
      </c>
      <c r="Y13" s="289">
        <f>参数输入表!$I$561</f>
        <v>0.002</v>
      </c>
      <c r="Z13" s="289">
        <f>参数输入表!$I$561</f>
        <v>0.002</v>
      </c>
      <c r="AA13" s="289">
        <f>参数输入表!$I$561</f>
        <v>0.002</v>
      </c>
      <c r="AB13" s="289">
        <f>参数输入表!$I$561</f>
        <v>0.002</v>
      </c>
      <c r="AC13" s="289">
        <f>参数输入表!$I$561</f>
        <v>0.002</v>
      </c>
      <c r="AD13" s="289">
        <f>参数输入表!$I$561</f>
        <v>0.002</v>
      </c>
      <c r="AE13" s="289">
        <f>参数输入表!$I$561</f>
        <v>0.002</v>
      </c>
      <c r="AF13" s="289">
        <f>参数输入表!$I$561</f>
        <v>0.002</v>
      </c>
    </row>
    <row r="14" customFormat="1" spans="2:32">
      <c r="B14" s="20"/>
      <c r="C14" s="287" t="s">
        <v>656</v>
      </c>
      <c r="D14" s="34"/>
      <c r="E14" s="18" t="s">
        <v>654</v>
      </c>
      <c r="F14" s="289"/>
      <c r="G14" s="289"/>
      <c r="H14" s="289"/>
      <c r="I14" s="289"/>
      <c r="J14" s="289">
        <f>参数输入表!$I$562</f>
        <v>0.004</v>
      </c>
      <c r="K14" s="289">
        <f>参数输入表!$I$562</f>
        <v>0.004</v>
      </c>
      <c r="L14" s="289">
        <f>参数输入表!$I$562</f>
        <v>0.004</v>
      </c>
      <c r="M14" s="289">
        <f>参数输入表!$I$562</f>
        <v>0.004</v>
      </c>
      <c r="N14" s="289">
        <f>参数输入表!$I$562</f>
        <v>0.004</v>
      </c>
      <c r="O14" s="289">
        <f>参数输入表!$I$562</f>
        <v>0.004</v>
      </c>
      <c r="P14" s="289">
        <f>参数输入表!$I$562</f>
        <v>0.004</v>
      </c>
      <c r="Q14" s="289">
        <f>参数输入表!$I$562</f>
        <v>0.004</v>
      </c>
      <c r="R14" s="289">
        <f>参数输入表!$I$562</f>
        <v>0.004</v>
      </c>
      <c r="S14" s="289">
        <f>参数输入表!$I$562</f>
        <v>0.004</v>
      </c>
      <c r="T14" s="289">
        <f>参数输入表!$I$562</f>
        <v>0.004</v>
      </c>
      <c r="U14" s="289">
        <f>参数输入表!$I$562</f>
        <v>0.004</v>
      </c>
      <c r="V14" s="289">
        <f>参数输入表!$I$562</f>
        <v>0.004</v>
      </c>
      <c r="W14" s="289">
        <f>参数输入表!$I$562</f>
        <v>0.004</v>
      </c>
      <c r="X14" s="289">
        <f>参数输入表!$I$562</f>
        <v>0.004</v>
      </c>
      <c r="Y14" s="289">
        <f>参数输入表!$I$562</f>
        <v>0.004</v>
      </c>
      <c r="Z14" s="289">
        <f>参数输入表!$I$562</f>
        <v>0.004</v>
      </c>
      <c r="AA14" s="289">
        <f>参数输入表!$I$562</f>
        <v>0.004</v>
      </c>
      <c r="AB14" s="289">
        <f>参数输入表!$I$562</f>
        <v>0.004</v>
      </c>
      <c r="AC14" s="289">
        <f>参数输入表!$I$562</f>
        <v>0.004</v>
      </c>
      <c r="AD14" s="289">
        <f>参数输入表!$I$562</f>
        <v>0.004</v>
      </c>
      <c r="AE14" s="289">
        <f>参数输入表!$I$562</f>
        <v>0.004</v>
      </c>
      <c r="AF14" s="289">
        <f>参数输入表!$I$562</f>
        <v>0.004</v>
      </c>
    </row>
    <row r="15" customFormat="1" spans="2:32">
      <c r="B15" s="267">
        <v>1.2</v>
      </c>
      <c r="C15" s="290" t="s">
        <v>386</v>
      </c>
      <c r="D15" s="34">
        <f>SUM(F15:AF15)</f>
        <v>63716.814159292</v>
      </c>
      <c r="E15" s="18" t="s">
        <v>24</v>
      </c>
      <c r="F15" s="289"/>
      <c r="G15" s="289"/>
      <c r="H15" s="289"/>
      <c r="I15" s="289"/>
      <c r="J15" s="44">
        <f>J16*J17*参数输入表!$I$30/10/(1+参数输入表!$I$568)</f>
        <v>384.26025</v>
      </c>
      <c r="K15" s="44">
        <f>K16*K17*参数输入表!$I$30/10/(1+参数输入表!$I$568)</f>
        <v>3283.53905973451</v>
      </c>
      <c r="L15" s="44">
        <f>L16*L17*参数输入表!$I$30/10/(1+参数输入表!$I$568)</f>
        <v>4313.15256637168</v>
      </c>
      <c r="M15" s="44">
        <f>M16*M17*参数输入表!$I$30/10/(1+参数输入表!$I$568)</f>
        <v>4293.38761061947</v>
      </c>
      <c r="N15" s="44">
        <f>N16*N17*参数输入表!$I$30/10/(1+参数输入表!$I$568)</f>
        <v>4273.62265486726</v>
      </c>
      <c r="O15" s="44">
        <f>O16*O17*参数输入表!$I$30/10/(1+参数输入表!$I$568)</f>
        <v>4253.85769911505</v>
      </c>
      <c r="P15" s="44">
        <f>P16*P17*参数输入表!$I$30/10/(1+参数输入表!$I$568)</f>
        <v>4234.09274336283</v>
      </c>
      <c r="Q15" s="44">
        <f>Q16*Q17*参数输入表!$I$30/10/(1+参数输入表!$I$568)</f>
        <v>4214.32778761062</v>
      </c>
      <c r="R15" s="44">
        <f>R16*R17*参数输入表!$I$30/10/(1+参数输入表!$I$568)</f>
        <v>4194.56283185841</v>
      </c>
      <c r="S15" s="44">
        <f>S16*S17*参数输入表!$I$30/10/(1+参数输入表!$I$568)</f>
        <v>4174.79787610619</v>
      </c>
      <c r="T15" s="44">
        <f>T16*T17*参数输入表!$I$30/10/(1+参数输入表!$I$568)</f>
        <v>4155.03292035398</v>
      </c>
      <c r="U15" s="44">
        <f>U16*U17*参数输入表!$I$30/10/(1+参数输入表!$I$568)</f>
        <v>4135.26796460177</v>
      </c>
      <c r="V15" s="44">
        <f>V16*V17*参数输入表!$I$30/10/(1+参数输入表!$I$568)</f>
        <v>4115.50300884956</v>
      </c>
      <c r="W15" s="44">
        <f>W16*W17*参数输入表!$I$30/10/(1+参数输入表!$I$568)</f>
        <v>4095.73805309735</v>
      </c>
      <c r="X15" s="44">
        <f>X16*X17*参数输入表!$I$30/10/(1+参数输入表!$I$568)</f>
        <v>4075.97309734513</v>
      </c>
      <c r="Y15" s="44">
        <f>Y16*Y17*参数输入表!$I$30/10/(1+参数输入表!$I$568)</f>
        <v>4056.20814159292</v>
      </c>
      <c r="Z15" s="44">
        <f>Z16*Z17*参数输入表!$I$30/10/(1+参数输入表!$I$568)</f>
        <v>1463.48989380531</v>
      </c>
      <c r="AA15" s="44">
        <f>AA16*AA17*参数输入表!$I$30/10/(1+参数输入表!$I$568)</f>
        <v>0</v>
      </c>
      <c r="AB15" s="44">
        <f>AB16*AB17*参数输入表!$I$30/10/(1+参数输入表!$I$568)</f>
        <v>0</v>
      </c>
      <c r="AC15" s="44">
        <f>AC16*AC17*参数输入表!$I$30/10/(1+参数输入表!$I$568)</f>
        <v>0</v>
      </c>
      <c r="AD15" s="44">
        <f>AD16*AD17*参数输入表!$I$30/10/(1+参数输入表!$I$568)</f>
        <v>0</v>
      </c>
      <c r="AE15" s="44">
        <f>AE16*AE17*参数输入表!$I$30/10/(1+参数输入表!$I$568)</f>
        <v>0</v>
      </c>
      <c r="AF15" s="44">
        <f>AF16*AF17*参数输入表!$I$30/10/(1+参数输入表!$I$568)</f>
        <v>0</v>
      </c>
    </row>
    <row r="16" customFormat="1" spans="2:32">
      <c r="B16" s="267"/>
      <c r="C16" s="290" t="s">
        <v>657</v>
      </c>
      <c r="D16" s="34"/>
      <c r="E16" s="18" t="s">
        <v>654</v>
      </c>
      <c r="F16" s="289"/>
      <c r="G16" s="289"/>
      <c r="H16" s="289"/>
      <c r="I16" s="289"/>
      <c r="J16" s="303">
        <f>参数输入表!$I$133</f>
        <v>0.1</v>
      </c>
      <c r="K16" s="303">
        <f>参数输入表!$I$133</f>
        <v>0.1</v>
      </c>
      <c r="L16" s="303">
        <f>参数输入表!$I$133</f>
        <v>0.1</v>
      </c>
      <c r="M16" s="303">
        <f>参数输入表!$I$133</f>
        <v>0.1</v>
      </c>
      <c r="N16" s="303">
        <f>参数输入表!$I$133</f>
        <v>0.1</v>
      </c>
      <c r="O16" s="303">
        <f>参数输入表!$I$133</f>
        <v>0.1</v>
      </c>
      <c r="P16" s="303">
        <f>参数输入表!$I$133</f>
        <v>0.1</v>
      </c>
      <c r="Q16" s="303">
        <f>参数输入表!$I$133</f>
        <v>0.1</v>
      </c>
      <c r="R16" s="303">
        <f>参数输入表!$I$133</f>
        <v>0.1</v>
      </c>
      <c r="S16" s="303">
        <f>参数输入表!$I$133</f>
        <v>0.1</v>
      </c>
      <c r="T16" s="303">
        <f>参数输入表!$I$133</f>
        <v>0.1</v>
      </c>
      <c r="U16" s="303">
        <f>参数输入表!$I$133</f>
        <v>0.1</v>
      </c>
      <c r="V16" s="303">
        <f>参数输入表!$I$133</f>
        <v>0.1</v>
      </c>
      <c r="W16" s="303">
        <f>参数输入表!$I$133</f>
        <v>0.1</v>
      </c>
      <c r="X16" s="303">
        <f>参数输入表!$I$133</f>
        <v>0.1</v>
      </c>
      <c r="Y16" s="303">
        <f>参数输入表!$I$133</f>
        <v>0.1</v>
      </c>
      <c r="Z16" s="303">
        <f>参数输入表!$I$133</f>
        <v>0.1</v>
      </c>
      <c r="AA16" s="303">
        <f>参数输入表!$I$133</f>
        <v>0.1</v>
      </c>
      <c r="AB16" s="303">
        <f>参数输入表!$I$133</f>
        <v>0.1</v>
      </c>
      <c r="AC16" s="303">
        <f>参数输入表!$I$133</f>
        <v>0.1</v>
      </c>
      <c r="AD16" s="303">
        <f>参数输入表!$I$133</f>
        <v>0.1</v>
      </c>
      <c r="AE16" s="303">
        <f>参数输入表!$I$133</f>
        <v>0.1</v>
      </c>
      <c r="AF16" s="303">
        <f>参数输入表!$I$133</f>
        <v>0.1</v>
      </c>
    </row>
    <row r="17" customFormat="1" spans="2:32">
      <c r="B17" s="20"/>
      <c r="C17" s="291" t="s">
        <v>658</v>
      </c>
      <c r="D17" s="34">
        <f>SUM(F17:AF17)</f>
        <v>22500</v>
      </c>
      <c r="E17" s="18" t="s">
        <v>96</v>
      </c>
      <c r="F17" s="289"/>
      <c r="G17" s="289"/>
      <c r="H17" s="289"/>
      <c r="I17" s="289"/>
      <c r="J17" s="304">
        <f>IF(AND((LEFT(J3,4)-YEAR(参数输入表!$I$29))&lt;0,(I18+J8/参数输入表!$I$30*10-参数输入表!$I$27)&lt;=0),J8/参数输入表!$I$30*10,IF(AND((LEFT(J3,4)-YEAR(参数输入表!$I$29))&lt;0,(I18+J8/参数输入表!$I$30*10-参数输入表!$I$27)&gt;0),参数输入表!$I$27-I18,IF((LEFT(J3,4)-YEAR(参数输入表!$I$29))&gt;0,0,MIN(J8/参数输入表!$I$30*10*MONTH(参数输入表!$I$29)/12,参数输入表!$I$27-I18))))</f>
        <v>135.69190078125</v>
      </c>
      <c r="K17" s="304">
        <f>IF(AND((LEFT(K3,4)-YEAR(参数输入表!$I$29))&lt;0,(J18+K8/参数输入表!$I$30*10-参数输入表!$I$27)&lt;=0),K8/参数输入表!$I$30*10,IF(AND((LEFT(K3,4)-YEAR(参数输入表!$I$29))&lt;0,(J18+K8/参数输入表!$I$30*10-参数输入表!$I$27)&gt;0),参数输入表!$I$27-J18,IF((LEFT(K3,4)-YEAR(参数输入表!$I$29))&gt;0,0,MIN(K8/参数输入表!$I$30*10*MONTH(参数输入表!$I$29)/12,参数输入表!$I$27-J18))))</f>
        <v>1159.49973046875</v>
      </c>
      <c r="L17" s="304">
        <f>IF(AND((LEFT(L3,4)-YEAR(参数输入表!$I$29))&lt;0,(K18+L8/参数输入表!$I$30*10-参数输入表!$I$27)&lt;=0),L8/参数输入表!$I$30*10,IF(AND((LEFT(L3,4)-YEAR(参数输入表!$I$29))&lt;0,(K18+L8/参数输入表!$I$30*10-参数输入表!$I$27)&gt;0),参数输入表!$I$27-K18,IF((LEFT(L3,4)-YEAR(参数输入表!$I$29))&gt;0,0,MIN(L8/参数输入表!$I$30*10*MONTH(参数输入表!$I$29)/12,参数输入表!$I$27-K18))))</f>
        <v>1523.082</v>
      </c>
      <c r="M17" s="304">
        <f>IF(AND((LEFT(M3,4)-YEAR(参数输入表!$I$29))&lt;0,(L18+M8/参数输入表!$I$30*10-参数输入表!$I$27)&lt;=0),M8/参数输入表!$I$30*10,IF(AND((LEFT(M3,4)-YEAR(参数输入表!$I$29))&lt;0,(L18+M8/参数输入表!$I$30*10-参数输入表!$I$27)&gt;0),参数输入表!$I$27-L18,IF((LEFT(M3,4)-YEAR(参数输入表!$I$29))&gt;0,0,MIN(M8/参数输入表!$I$30*10*MONTH(参数输入表!$I$29)/12,参数输入表!$I$27-L18))))</f>
        <v>1516.1025</v>
      </c>
      <c r="N17" s="304">
        <f>IF(AND((LEFT(N3,4)-YEAR(参数输入表!$I$29))&lt;0,(M18+N8/参数输入表!$I$30*10-参数输入表!$I$27)&lt;=0),N8/参数输入表!$I$30*10,IF(AND((LEFT(N3,4)-YEAR(参数输入表!$I$29))&lt;0,(M18+N8/参数输入表!$I$30*10-参数输入表!$I$27)&gt;0),参数输入表!$I$27-M18,IF((LEFT(N3,4)-YEAR(参数输入表!$I$29))&gt;0,0,MIN(N8/参数输入表!$I$30*10*MONTH(参数输入表!$I$29)/12,参数输入表!$I$27-M18))))</f>
        <v>1509.123</v>
      </c>
      <c r="O17" s="304">
        <f>IF(AND((LEFT(O3,4)-YEAR(参数输入表!$I$29))&lt;0,(N18+O8/参数输入表!$I$30*10-参数输入表!$I$27)&lt;=0),O8/参数输入表!$I$30*10,IF(AND((LEFT(O3,4)-YEAR(参数输入表!$I$29))&lt;0,(N18+O8/参数输入表!$I$30*10-参数输入表!$I$27)&gt;0),参数输入表!$I$27-N18,IF((LEFT(O3,4)-YEAR(参数输入表!$I$29))&gt;0,0,MIN(O8/参数输入表!$I$30*10*MONTH(参数输入表!$I$29)/12,参数输入表!$I$27-N18))))</f>
        <v>1502.1435</v>
      </c>
      <c r="P17" s="304">
        <f>IF(AND((LEFT(P3,4)-YEAR(参数输入表!$I$29))&lt;0,(O18+P8/参数输入表!$I$30*10-参数输入表!$I$27)&lt;=0),P8/参数输入表!$I$30*10,IF(AND((LEFT(P3,4)-YEAR(参数输入表!$I$29))&lt;0,(O18+P8/参数输入表!$I$30*10-参数输入表!$I$27)&gt;0),参数输入表!$I$27-O18,IF((LEFT(P3,4)-YEAR(参数输入表!$I$29))&gt;0,0,MIN(P8/参数输入表!$I$30*10*MONTH(参数输入表!$I$29)/12,参数输入表!$I$27-O18))))</f>
        <v>1495.164</v>
      </c>
      <c r="Q17" s="304">
        <f>IF(AND((LEFT(Q3,4)-YEAR(参数输入表!$I$29))&lt;0,(P18+Q8/参数输入表!$I$30*10-参数输入表!$I$27)&lt;=0),Q8/参数输入表!$I$30*10,IF(AND((LEFT(Q3,4)-YEAR(参数输入表!$I$29))&lt;0,(P18+Q8/参数输入表!$I$30*10-参数输入表!$I$27)&gt;0),参数输入表!$I$27-P18,IF((LEFT(Q3,4)-YEAR(参数输入表!$I$29))&gt;0,0,MIN(Q8/参数输入表!$I$30*10*MONTH(参数输入表!$I$29)/12,参数输入表!$I$27-P18))))</f>
        <v>1488.1845</v>
      </c>
      <c r="R17" s="304">
        <f>IF(AND((LEFT(R3,4)-YEAR(参数输入表!$I$29))&lt;0,(Q18+R8/参数输入表!$I$30*10-参数输入表!$I$27)&lt;=0),R8/参数输入表!$I$30*10,IF(AND((LEFT(R3,4)-YEAR(参数输入表!$I$29))&lt;0,(Q18+R8/参数输入表!$I$30*10-参数输入表!$I$27)&gt;0),参数输入表!$I$27-Q18,IF((LEFT(R3,4)-YEAR(参数输入表!$I$29))&gt;0,0,MIN(R8/参数输入表!$I$30*10*MONTH(参数输入表!$I$29)/12,参数输入表!$I$27-Q18))))</f>
        <v>1481.205</v>
      </c>
      <c r="S17" s="304">
        <f>IF(AND((LEFT(S3,4)-YEAR(参数输入表!$I$29))&lt;0,(R18+S8/参数输入表!$I$30*10-参数输入表!$I$27)&lt;=0),S8/参数输入表!$I$30*10,IF(AND((LEFT(S3,4)-YEAR(参数输入表!$I$29))&lt;0,(R18+S8/参数输入表!$I$30*10-参数输入表!$I$27)&gt;0),参数输入表!$I$27-R18,IF((LEFT(S3,4)-YEAR(参数输入表!$I$29))&gt;0,0,MIN(S8/参数输入表!$I$30*10*MONTH(参数输入表!$I$29)/12,参数输入表!$I$27-R18))))</f>
        <v>1474.2255</v>
      </c>
      <c r="T17" s="304">
        <f>IF(AND((LEFT(T3,4)-YEAR(参数输入表!$I$29))&lt;0,(S18+T8/参数输入表!$I$30*10-参数输入表!$I$27)&lt;=0),T8/参数输入表!$I$30*10,IF(AND((LEFT(T3,4)-YEAR(参数输入表!$I$29))&lt;0,(S18+T8/参数输入表!$I$30*10-参数输入表!$I$27)&gt;0),参数输入表!$I$27-S18,IF((LEFT(T3,4)-YEAR(参数输入表!$I$29))&gt;0,0,MIN(T8/参数输入表!$I$30*10*MONTH(参数输入表!$I$29)/12,参数输入表!$I$27-S18))))</f>
        <v>1467.246</v>
      </c>
      <c r="U17" s="304">
        <f>IF(AND((LEFT(U3,4)-YEAR(参数输入表!$I$29))&lt;0,(T18+U8/参数输入表!$I$30*10-参数输入表!$I$27)&lt;=0),U8/参数输入表!$I$30*10,IF(AND((LEFT(U3,4)-YEAR(参数输入表!$I$29))&lt;0,(T18+U8/参数输入表!$I$30*10-参数输入表!$I$27)&gt;0),参数输入表!$I$27-T18,IF((LEFT(U3,4)-YEAR(参数输入表!$I$29))&gt;0,0,MIN(U8/参数输入表!$I$30*10*MONTH(参数输入表!$I$29)/12,参数输入表!$I$27-T18))))</f>
        <v>1460.2665</v>
      </c>
      <c r="V17" s="304">
        <f>IF(AND((LEFT(V3,4)-YEAR(参数输入表!$I$29))&lt;0,(U18+V8/参数输入表!$I$30*10-参数输入表!$I$27)&lt;=0),V8/参数输入表!$I$30*10,IF(AND((LEFT(V3,4)-YEAR(参数输入表!$I$29))&lt;0,(U18+V8/参数输入表!$I$30*10-参数输入表!$I$27)&gt;0),参数输入表!$I$27-U18,IF((LEFT(V3,4)-YEAR(参数输入表!$I$29))&gt;0,0,MIN(V8/参数输入表!$I$30*10*MONTH(参数输入表!$I$29)/12,参数输入表!$I$27-U18))))</f>
        <v>1453.287</v>
      </c>
      <c r="W17" s="304">
        <f>IF(AND((LEFT(W3,4)-YEAR(参数输入表!$I$29))&lt;0,(V18+W8/参数输入表!$I$30*10-参数输入表!$I$27)&lt;=0),W8/参数输入表!$I$30*10,IF(AND((LEFT(W3,4)-YEAR(参数输入表!$I$29))&lt;0,(V18+W8/参数输入表!$I$30*10-参数输入表!$I$27)&gt;0),参数输入表!$I$27-V18,IF((LEFT(W3,4)-YEAR(参数输入表!$I$29))&gt;0,0,MIN(W8/参数输入表!$I$30*10*MONTH(参数输入表!$I$29)/12,参数输入表!$I$27-V18))))</f>
        <v>1446.3075</v>
      </c>
      <c r="X17" s="304">
        <f>IF(AND((LEFT(X3,4)-YEAR(参数输入表!$I$29))&lt;0,(W18+X8/参数输入表!$I$30*10-参数输入表!$I$27)&lt;=0),X8/参数输入表!$I$30*10,IF(AND((LEFT(X3,4)-YEAR(参数输入表!$I$29))&lt;0,(W18+X8/参数输入表!$I$30*10-参数输入表!$I$27)&gt;0),参数输入表!$I$27-W18,IF((LEFT(X3,4)-YEAR(参数输入表!$I$29))&gt;0,0,MIN(X8/参数输入表!$I$30*10*MONTH(参数输入表!$I$29)/12,参数输入表!$I$27-W18))))</f>
        <v>1439.328</v>
      </c>
      <c r="Y17" s="304">
        <f>IF(AND((LEFT(Y3,4)-YEAR(参数输入表!$I$29))&lt;0,(X18+Y8/参数输入表!$I$30*10-参数输入表!$I$27)&lt;=0),Y8/参数输入表!$I$30*10,IF(AND((LEFT(Y3,4)-YEAR(参数输入表!$I$29))&lt;0,(X18+Y8/参数输入表!$I$30*10-参数输入表!$I$27)&gt;0),参数输入表!$I$27-X18,IF((LEFT(Y3,4)-YEAR(参数输入表!$I$29))&gt;0,0,MIN(Y8/参数输入表!$I$30*10*MONTH(参数输入表!$I$29)/12,参数输入表!$I$27-X18))))</f>
        <v>1432.3485</v>
      </c>
      <c r="Z17" s="304">
        <f>IF(AND((LEFT(Z3,4)-YEAR(参数输入表!$I$29))&lt;0,(Y18+Z8/参数输入表!$I$30*10-参数输入表!$I$27)&lt;=0),Z8/参数输入表!$I$30*10,IF(AND((LEFT(Z3,4)-YEAR(参数输入表!$I$29))&lt;0,(Y18+Z8/参数输入表!$I$30*10-参数输入表!$I$27)&gt;0),参数输入表!$I$27-Y18,IF((LEFT(Z3,4)-YEAR(参数输入表!$I$29))&gt;0,0,MIN(Z8/参数输入表!$I$30*10*MONTH(参数输入表!$I$29)/12,参数输入表!$I$27-Y18))))</f>
        <v>516.794868749999</v>
      </c>
      <c r="AA17" s="304">
        <f>IF(AND((LEFT(AA3,4)-YEAR(参数输入表!$I$29))&lt;0,(Z18+AA8/参数输入表!$I$30*10-参数输入表!$I$27)&lt;=0),AA8/参数输入表!$I$30*10,IF(AND((LEFT(AA3,4)-YEAR(参数输入表!$I$29))&lt;0,(Z18+AA8/参数输入表!$I$30*10-参数输入表!$I$27)&gt;0),参数输入表!$I$27-Z18,IF((LEFT(AA3,4)-YEAR(参数输入表!$I$29))&gt;0,0,MIN(AA8/参数输入表!$I$30*10*MONTH(参数输入表!$I$29)/12,参数输入表!$I$27-Z18))))</f>
        <v>0</v>
      </c>
      <c r="AB17" s="304">
        <f>IF(AND((LEFT(AB3,4)-YEAR(参数输入表!$I$29))&lt;0,(AA18+AB8/参数输入表!$I$30*10-参数输入表!$I$27)&lt;=0),AB8/参数输入表!$I$30*10,IF(AND((LEFT(AB3,4)-YEAR(参数输入表!$I$29))&lt;0,(AA18+AB8/参数输入表!$I$30*10-参数输入表!$I$27)&gt;0),参数输入表!$I$27-AA18,IF((LEFT(AB3,4)-YEAR(参数输入表!$I$29))&gt;0,0,MIN(AB8/参数输入表!$I$30*10*MONTH(参数输入表!$I$29)/12,参数输入表!$I$27-AA18))))</f>
        <v>0</v>
      </c>
      <c r="AC17" s="304">
        <f>IF(AND((LEFT(AC3,4)-YEAR(参数输入表!$I$29))&lt;0,(AB18+AC8/参数输入表!$I$30*10-参数输入表!$I$27)&lt;=0),AC8/参数输入表!$I$30*10,IF(AND((LEFT(AC3,4)-YEAR(参数输入表!$I$29))&lt;0,(AB18+AC8/参数输入表!$I$30*10-参数输入表!$I$27)&gt;0),参数输入表!$I$27-AB18,IF((LEFT(AC3,4)-YEAR(参数输入表!$I$29))&gt;0,0,MIN(AC8/参数输入表!$I$30*10*MONTH(参数输入表!$I$29)/12,参数输入表!$I$27-AB18))))</f>
        <v>0</v>
      </c>
      <c r="AD17" s="304">
        <f>IF(AND((LEFT(AD3,4)-YEAR(参数输入表!$I$29))&lt;0,(AC18+AD8/参数输入表!$I$30*10-参数输入表!$I$27)&lt;=0),AD8/参数输入表!$I$30*10,IF(AND((LEFT(AD3,4)-YEAR(参数输入表!$I$29))&lt;0,(AC18+AD8/参数输入表!$I$30*10-参数输入表!$I$27)&gt;0),参数输入表!$I$27-AC18,IF((LEFT(AD3,4)-YEAR(参数输入表!$I$29))&gt;0,0,MIN(AD8/参数输入表!$I$30*10*MONTH(参数输入表!$I$29)/12,参数输入表!$I$27-AC18))))</f>
        <v>0</v>
      </c>
      <c r="AE17" s="304">
        <f>IF(AND((LEFT(AE3,4)-YEAR(参数输入表!$I$29))&lt;0,(AD18+AE8/参数输入表!$I$30*10-参数输入表!$I$27)&lt;=0),AE8/参数输入表!$I$30*10,IF(AND((LEFT(AE3,4)-YEAR(参数输入表!$I$29))&lt;0,(AD18+AE8/参数输入表!$I$30*10-参数输入表!$I$27)&gt;0),参数输入表!$I$27-AD18,IF((LEFT(AE3,4)-YEAR(参数输入表!$I$29))&gt;0,0,MIN(AE8/参数输入表!$I$30*10*MONTH(参数输入表!$I$29)/12,参数输入表!$I$27-AD18))))</f>
        <v>0</v>
      </c>
      <c r="AF17" s="304">
        <f>IF(AND((LEFT(AF3,4)-YEAR(参数输入表!$I$29))&lt;0,(AE18+AF8/参数输入表!$I$30*10-参数输入表!$I$27)&lt;=0),AF8/参数输入表!$I$30*10,IF(AND((LEFT(AF3,4)-YEAR(参数输入表!$I$29))&lt;0,(AE18+AF8/参数输入表!$I$30*10-参数输入表!$I$27)&gt;0),参数输入表!$I$27-AE18,IF((LEFT(AF3,4)-YEAR(参数输入表!$I$29))&gt;0,0,MIN(AF8/参数输入表!$I$30*10*MONTH(参数输入表!$I$29)/12,参数输入表!$I$27-AE18))))</f>
        <v>0</v>
      </c>
    </row>
    <row r="18" customFormat="1" spans="2:32">
      <c r="B18" s="20"/>
      <c r="C18" s="291" t="s">
        <v>659</v>
      </c>
      <c r="D18" s="34"/>
      <c r="E18" s="18" t="s">
        <v>96</v>
      </c>
      <c r="F18" s="289"/>
      <c r="G18" s="289"/>
      <c r="H18" s="289"/>
      <c r="I18" s="44">
        <f>参数输入表!$I$28</f>
        <v>3500</v>
      </c>
      <c r="J18" s="44">
        <f>I18+J17</f>
        <v>3635.69190078125</v>
      </c>
      <c r="K18" s="44">
        <f t="shared" ref="K18:AF18" si="2">J18+K17</f>
        <v>4795.19163125</v>
      </c>
      <c r="L18" s="44">
        <f t="shared" si="2"/>
        <v>6318.27363125</v>
      </c>
      <c r="M18" s="44">
        <f t="shared" si="2"/>
        <v>7834.37613125</v>
      </c>
      <c r="N18" s="44">
        <f t="shared" si="2"/>
        <v>9343.49913125</v>
      </c>
      <c r="O18" s="44">
        <f t="shared" si="2"/>
        <v>10845.64263125</v>
      </c>
      <c r="P18" s="44">
        <f t="shared" si="2"/>
        <v>12340.80663125</v>
      </c>
      <c r="Q18" s="44">
        <f t="shared" si="2"/>
        <v>13828.99113125</v>
      </c>
      <c r="R18" s="44">
        <f t="shared" si="2"/>
        <v>15310.19613125</v>
      </c>
      <c r="S18" s="44">
        <f t="shared" si="2"/>
        <v>16784.42163125</v>
      </c>
      <c r="T18" s="44">
        <f t="shared" si="2"/>
        <v>18251.66763125</v>
      </c>
      <c r="U18" s="44">
        <f t="shared" si="2"/>
        <v>19711.93413125</v>
      </c>
      <c r="V18" s="44">
        <f t="shared" si="2"/>
        <v>21165.22113125</v>
      </c>
      <c r="W18" s="44">
        <f t="shared" si="2"/>
        <v>22611.52863125</v>
      </c>
      <c r="X18" s="44">
        <f t="shared" si="2"/>
        <v>24050.85663125</v>
      </c>
      <c r="Y18" s="44">
        <f t="shared" si="2"/>
        <v>25483.20513125</v>
      </c>
      <c r="Z18" s="44">
        <f t="shared" si="2"/>
        <v>26000</v>
      </c>
      <c r="AA18" s="44">
        <f t="shared" si="2"/>
        <v>26000</v>
      </c>
      <c r="AB18" s="44">
        <f t="shared" si="2"/>
        <v>26000</v>
      </c>
      <c r="AC18" s="44">
        <f t="shared" si="2"/>
        <v>26000</v>
      </c>
      <c r="AD18" s="44">
        <f t="shared" si="2"/>
        <v>26000</v>
      </c>
      <c r="AE18" s="44">
        <f t="shared" si="2"/>
        <v>26000</v>
      </c>
      <c r="AF18" s="44">
        <f t="shared" si="2"/>
        <v>26000</v>
      </c>
    </row>
    <row r="19" spans="2:32">
      <c r="B19" s="267">
        <v>1.3</v>
      </c>
      <c r="C19" s="286" t="s">
        <v>390</v>
      </c>
      <c r="D19" s="63">
        <f>SUM(F19:AF19)</f>
        <v>18302.5115044248</v>
      </c>
      <c r="E19" s="18" t="s">
        <v>24</v>
      </c>
      <c r="F19" s="34"/>
      <c r="G19" s="34"/>
      <c r="H19" s="34"/>
      <c r="I19" s="34"/>
      <c r="J19" s="34">
        <f>J21*J22/10000/(1+参数输入表!$I$574)</f>
        <v>80.6920353982301</v>
      </c>
      <c r="K19" s="34">
        <f>K21*K22/10000/(1+参数输入表!$I$574)</f>
        <v>689.540707964602</v>
      </c>
      <c r="L19" s="34">
        <f>L21*L22/10000/(1+参数输入表!$I$574)</f>
        <v>905.761061946903</v>
      </c>
      <c r="M19" s="34">
        <f>M21*M22/10000/(1+参数输入表!$I$574)</f>
        <v>901.608849557522</v>
      </c>
      <c r="N19" s="34">
        <f>N21*N22/10000/(1+参数输入表!$I$574)</f>
        <v>897.459292035398</v>
      </c>
      <c r="O19" s="34">
        <f>O21*O22/10000/(1+参数输入表!$I$574)</f>
        <v>893.309734513275</v>
      </c>
      <c r="P19" s="34">
        <f>P21*P22/10000/(1+参数输入表!$I$574)</f>
        <v>889.157522123894</v>
      </c>
      <c r="Q19" s="34">
        <f>Q21*Q22/10000/(1+参数输入表!$I$574)</f>
        <v>885.00796460177</v>
      </c>
      <c r="R19" s="34">
        <f>R21*R22/10000/(1+参数输入表!$I$574)</f>
        <v>880.855752212389</v>
      </c>
      <c r="S19" s="34">
        <f>S21*S22/10000/(1+参数输入表!$I$574)</f>
        <v>876.706194690266</v>
      </c>
      <c r="T19" s="34">
        <f>T21*T22/10000/(1+参数输入表!$I$574)</f>
        <v>872.556637168142</v>
      </c>
      <c r="U19" s="34">
        <f>U21*U22/10000/(1+参数输入表!$I$574)</f>
        <v>868.404424778761</v>
      </c>
      <c r="V19" s="34">
        <f>V21*V22/10000/(1+参数输入表!$I$574)</f>
        <v>864.254867256637</v>
      </c>
      <c r="W19" s="34">
        <f>W21*W22/10000/(1+参数输入表!$I$574)</f>
        <v>860.102654867257</v>
      </c>
      <c r="X19" s="34">
        <f>X21*X22/10000/(1+参数输入表!$I$574)</f>
        <v>855.953097345133</v>
      </c>
      <c r="Y19" s="34">
        <f>Y21*Y22/10000/(1+参数输入表!$I$574)</f>
        <v>851.803539823009</v>
      </c>
      <c r="Z19" s="34">
        <f>Z21*Z22/10000/(1+参数输入表!$I$574)</f>
        <v>847.651327433628</v>
      </c>
      <c r="AA19" s="34">
        <f>AA21*AA22/10000/(1+参数输入表!$I$574)</f>
        <v>843.501769911505</v>
      </c>
      <c r="AB19" s="34">
        <f>AB21*AB22/10000/(1+参数输入表!$I$574)</f>
        <v>839.349557522124</v>
      </c>
      <c r="AC19" s="34">
        <f>AC21*AC22/10000/(1+参数输入表!$I$574)</f>
        <v>835.2</v>
      </c>
      <c r="AD19" s="34">
        <f>AD21*AD22/10000/(1+参数输入表!$I$574)</f>
        <v>831.050442477876</v>
      </c>
      <c r="AE19" s="34">
        <f>AE21*AE22/10000/(1+参数输入表!$I$574)</f>
        <v>826.898230088496</v>
      </c>
      <c r="AF19" s="34">
        <f>AF21*AF22/10000/(1+参数输入表!$I$574)</f>
        <v>205.685840707965</v>
      </c>
    </row>
    <row r="20" spans="2:32">
      <c r="B20" s="20"/>
      <c r="C20" s="30" t="s">
        <v>660</v>
      </c>
      <c r="D20" s="34">
        <f>SUM(F20:AF20)</f>
        <v>689395.83174</v>
      </c>
      <c r="E20" s="18" t="s">
        <v>378</v>
      </c>
      <c r="F20" s="34"/>
      <c r="G20" s="34"/>
      <c r="H20" s="34"/>
      <c r="I20" s="34"/>
      <c r="J20" s="34">
        <f>J8*参数输入表!$I$572</f>
        <v>3039.4985775</v>
      </c>
      <c r="K20" s="34">
        <f>K8*参数输入表!$I$572</f>
        <v>25972.7939625</v>
      </c>
      <c r="L20" s="34">
        <f>L8*参数输入表!$I$572</f>
        <v>34117.0368</v>
      </c>
      <c r="M20" s="34">
        <f>M8*参数输入表!$I$572</f>
        <v>33960.696</v>
      </c>
      <c r="N20" s="34">
        <f>N8*参数输入表!$I$572</f>
        <v>33804.3552</v>
      </c>
      <c r="O20" s="34">
        <f>O8*参数输入表!$I$572</f>
        <v>33648.0144</v>
      </c>
      <c r="P20" s="34">
        <f>P8*参数输入表!$I$572</f>
        <v>33491.6736</v>
      </c>
      <c r="Q20" s="34">
        <f>Q8*参数输入表!$I$572</f>
        <v>33335.3328</v>
      </c>
      <c r="R20" s="34">
        <f>R8*参数输入表!$I$572</f>
        <v>33178.992</v>
      </c>
      <c r="S20" s="34">
        <f>S8*参数输入表!$I$572</f>
        <v>33022.6512</v>
      </c>
      <c r="T20" s="34">
        <f>T8*参数输入表!$I$572</f>
        <v>32866.3104</v>
      </c>
      <c r="U20" s="34">
        <f>U8*参数输入表!$I$572</f>
        <v>32709.9696</v>
      </c>
      <c r="V20" s="34">
        <f>V8*参数输入表!$I$572</f>
        <v>32553.6288</v>
      </c>
      <c r="W20" s="34">
        <f>W8*参数输入表!$I$572</f>
        <v>32397.288</v>
      </c>
      <c r="X20" s="34">
        <f>X8*参数输入表!$I$572</f>
        <v>32240.9472</v>
      </c>
      <c r="Y20" s="34">
        <f>Y8*参数输入表!$I$572</f>
        <v>32084.6064</v>
      </c>
      <c r="Z20" s="34">
        <f>Z8*参数输入表!$I$572</f>
        <v>31928.2656</v>
      </c>
      <c r="AA20" s="34">
        <f>AA8*参数输入表!$I$572</f>
        <v>31771.9248</v>
      </c>
      <c r="AB20" s="34">
        <f>AB8*参数输入表!$I$572</f>
        <v>31615.584</v>
      </c>
      <c r="AC20" s="34">
        <f>AC8*参数输入表!$I$572</f>
        <v>31459.2432</v>
      </c>
      <c r="AD20" s="34">
        <f>AD8*参数输入表!$I$572</f>
        <v>31302.9024</v>
      </c>
      <c r="AE20" s="34">
        <f>AE8*参数输入表!$I$572</f>
        <v>31146.5616</v>
      </c>
      <c r="AF20" s="34">
        <f>AF8*参数输入表!$I$572</f>
        <v>7747.5552</v>
      </c>
    </row>
    <row r="21" spans="2:32">
      <c r="B21" s="20"/>
      <c r="C21" s="30" t="s">
        <v>661</v>
      </c>
      <c r="D21" s="292">
        <f>SUM(F21:AF21)</f>
        <v>6893946</v>
      </c>
      <c r="E21" s="18" t="s">
        <v>662</v>
      </c>
      <c r="F21" s="292"/>
      <c r="G21" s="292"/>
      <c r="H21" s="292"/>
      <c r="I21" s="292"/>
      <c r="J21" s="292">
        <f t="shared" ref="J21:U21" si="3">INT(J20*10000/1000)</f>
        <v>30394</v>
      </c>
      <c r="K21" s="292">
        <f t="shared" si="3"/>
        <v>259727</v>
      </c>
      <c r="L21" s="292">
        <f t="shared" si="3"/>
        <v>341170</v>
      </c>
      <c r="M21" s="292">
        <f t="shared" si="3"/>
        <v>339606</v>
      </c>
      <c r="N21" s="292">
        <f t="shared" si="3"/>
        <v>338043</v>
      </c>
      <c r="O21" s="292">
        <f t="shared" si="3"/>
        <v>336480</v>
      </c>
      <c r="P21" s="292">
        <f t="shared" si="3"/>
        <v>334916</v>
      </c>
      <c r="Q21" s="292">
        <f t="shared" si="3"/>
        <v>333353</v>
      </c>
      <c r="R21" s="292">
        <f t="shared" si="3"/>
        <v>331789</v>
      </c>
      <c r="S21" s="292">
        <f t="shared" si="3"/>
        <v>330226</v>
      </c>
      <c r="T21" s="292">
        <f t="shared" si="3"/>
        <v>328663</v>
      </c>
      <c r="U21" s="292">
        <f t="shared" si="3"/>
        <v>327099</v>
      </c>
      <c r="V21" s="292">
        <f t="shared" ref="V21" si="4">INT(V20*10000/1000)</f>
        <v>325536</v>
      </c>
      <c r="W21" s="292">
        <f t="shared" ref="W21" si="5">INT(W20*10000/1000)</f>
        <v>323972</v>
      </c>
      <c r="X21" s="292">
        <f t="shared" ref="X21" si="6">INT(X20*10000/1000)</f>
        <v>322409</v>
      </c>
      <c r="Y21" s="292">
        <f t="shared" ref="Y21:AF21" si="7">INT(Y20*10000/1000)</f>
        <v>320846</v>
      </c>
      <c r="Z21" s="292">
        <f t="shared" si="7"/>
        <v>319282</v>
      </c>
      <c r="AA21" s="292">
        <f t="shared" si="7"/>
        <v>317719</v>
      </c>
      <c r="AB21" s="292">
        <f t="shared" si="7"/>
        <v>316155</v>
      </c>
      <c r="AC21" s="292">
        <f t="shared" si="7"/>
        <v>314592</v>
      </c>
      <c r="AD21" s="292">
        <f t="shared" si="7"/>
        <v>313029</v>
      </c>
      <c r="AE21" s="292">
        <f t="shared" si="7"/>
        <v>311465</v>
      </c>
      <c r="AF21" s="292">
        <f t="shared" si="7"/>
        <v>77475</v>
      </c>
    </row>
    <row r="22" spans="2:32">
      <c r="B22" s="20"/>
      <c r="C22" s="30" t="s">
        <v>663</v>
      </c>
      <c r="D22" s="34"/>
      <c r="E22" s="18" t="s">
        <v>664</v>
      </c>
      <c r="F22" s="34"/>
      <c r="G22" s="34"/>
      <c r="H22" s="34"/>
      <c r="I22" s="34"/>
      <c r="J22" s="34">
        <f>参数输入表!$I$573</f>
        <v>30</v>
      </c>
      <c r="K22" s="34">
        <f>参数输入表!$I$573</f>
        <v>30</v>
      </c>
      <c r="L22" s="34">
        <f>参数输入表!$I$573</f>
        <v>30</v>
      </c>
      <c r="M22" s="34">
        <f>参数输入表!$I$573</f>
        <v>30</v>
      </c>
      <c r="N22" s="34">
        <f>参数输入表!$I$573</f>
        <v>30</v>
      </c>
      <c r="O22" s="34">
        <f>参数输入表!$I$573</f>
        <v>30</v>
      </c>
      <c r="P22" s="34">
        <f>参数输入表!$I$573</f>
        <v>30</v>
      </c>
      <c r="Q22" s="34">
        <f>参数输入表!$I$573</f>
        <v>30</v>
      </c>
      <c r="R22" s="34">
        <f>参数输入表!$I$573</f>
        <v>30</v>
      </c>
      <c r="S22" s="34">
        <f>参数输入表!$I$573</f>
        <v>30</v>
      </c>
      <c r="T22" s="34">
        <f>参数输入表!$I$573</f>
        <v>30</v>
      </c>
      <c r="U22" s="34">
        <f>参数输入表!$I$573</f>
        <v>30</v>
      </c>
      <c r="V22" s="34">
        <f>参数输入表!$I$573</f>
        <v>30</v>
      </c>
      <c r="W22" s="34">
        <f>参数输入表!$I$573</f>
        <v>30</v>
      </c>
      <c r="X22" s="34">
        <f>参数输入表!$I$573</f>
        <v>30</v>
      </c>
      <c r="Y22" s="34">
        <f>参数输入表!$I$573</f>
        <v>30</v>
      </c>
      <c r="Z22" s="34">
        <f>参数输入表!$I$573</f>
        <v>30</v>
      </c>
      <c r="AA22" s="34">
        <f>参数输入表!$I$573</f>
        <v>30</v>
      </c>
      <c r="AB22" s="34">
        <f>参数输入表!$I$573</f>
        <v>30</v>
      </c>
      <c r="AC22" s="34">
        <f>参数输入表!$I$573</f>
        <v>30</v>
      </c>
      <c r="AD22" s="34">
        <f>参数输入表!$I$573</f>
        <v>30</v>
      </c>
      <c r="AE22" s="34">
        <f>参数输入表!$I$573</f>
        <v>30</v>
      </c>
      <c r="AF22" s="34">
        <f>参数输入表!$I$573</f>
        <v>30</v>
      </c>
    </row>
    <row r="23" spans="2:32">
      <c r="B23" s="252">
        <v>2</v>
      </c>
      <c r="C23" s="293" t="s">
        <v>394</v>
      </c>
      <c r="D23" s="28">
        <f ca="1">SUM(F23:AF23)</f>
        <v>5974.11504424779</v>
      </c>
      <c r="E23" s="18" t="s">
        <v>24</v>
      </c>
      <c r="F23" s="19">
        <f>'表5-利润表-资本金(标准格式)'!F28</f>
        <v>0</v>
      </c>
      <c r="G23" s="19">
        <f>'表5-利润表-资本金(标准格式)'!G28</f>
        <v>0</v>
      </c>
      <c r="H23" s="19">
        <f>'表5-利润表-资本金(标准格式)'!H28</f>
        <v>0</v>
      </c>
      <c r="I23" s="19">
        <f>'表5-利润表-资本金(标准格式)'!I28</f>
        <v>0</v>
      </c>
      <c r="J23" s="39">
        <f t="shared" ref="J23:R23" si="8">SUM(J24:J25)</f>
        <v>25</v>
      </c>
      <c r="K23" s="39">
        <f t="shared" si="8"/>
        <v>214.601769911504</v>
      </c>
      <c r="L23" s="39">
        <f t="shared" si="8"/>
        <v>283.185840707965</v>
      </c>
      <c r="M23" s="39">
        <f t="shared" si="8"/>
        <v>283.185840707965</v>
      </c>
      <c r="N23" s="39">
        <f t="shared" si="8"/>
        <v>283.185840707965</v>
      </c>
      <c r="O23" s="39">
        <f t="shared" si="8"/>
        <v>283.185840707965</v>
      </c>
      <c r="P23" s="39">
        <f t="shared" si="8"/>
        <v>283.185840707965</v>
      </c>
      <c r="Q23" s="39">
        <f t="shared" si="8"/>
        <v>283.185840707965</v>
      </c>
      <c r="R23" s="39">
        <f t="shared" si="8"/>
        <v>283.185840707965</v>
      </c>
      <c r="S23" s="39">
        <f t="shared" ref="S23:AF23" si="9">SUM(S24:S25)</f>
        <v>283.185840707965</v>
      </c>
      <c r="T23" s="39">
        <f t="shared" si="9"/>
        <v>283.185840707965</v>
      </c>
      <c r="U23" s="39">
        <f t="shared" si="9"/>
        <v>283.185840707965</v>
      </c>
      <c r="V23" s="39">
        <f t="shared" si="9"/>
        <v>283.185840707965</v>
      </c>
      <c r="W23" s="39">
        <f t="shared" si="9"/>
        <v>283.185840707965</v>
      </c>
      <c r="X23" s="39">
        <f t="shared" si="9"/>
        <v>283.185840707965</v>
      </c>
      <c r="Y23" s="39">
        <f t="shared" si="9"/>
        <v>283.185840707965</v>
      </c>
      <c r="Z23" s="39">
        <f t="shared" si="9"/>
        <v>283.185840707965</v>
      </c>
      <c r="AA23" s="39">
        <f t="shared" si="9"/>
        <v>283.185840707965</v>
      </c>
      <c r="AB23" s="39">
        <f t="shared" si="9"/>
        <v>283.185840707965</v>
      </c>
      <c r="AC23" s="39">
        <f t="shared" si="9"/>
        <v>283.185840707965</v>
      </c>
      <c r="AD23" s="39">
        <f t="shared" si="9"/>
        <v>283.185840707965</v>
      </c>
      <c r="AE23" s="39">
        <f t="shared" si="9"/>
        <v>283.185840707965</v>
      </c>
      <c r="AF23" s="39">
        <f ca="1" t="shared" si="9"/>
        <v>70.7964601769912</v>
      </c>
    </row>
    <row r="24" spans="2:32">
      <c r="B24" s="285">
        <v>2.1</v>
      </c>
      <c r="C24" s="286" t="s">
        <v>665</v>
      </c>
      <c r="D24" s="63">
        <f ca="1">SUM(F24:AF24)</f>
        <v>0</v>
      </c>
      <c r="E24" s="18" t="s">
        <v>24</v>
      </c>
      <c r="F24" s="34"/>
      <c r="G24" s="34"/>
      <c r="H24" s="34"/>
      <c r="I24" s="34"/>
      <c r="J24" s="34">
        <f>J32*参数输入表!$I$646</f>
        <v>0</v>
      </c>
      <c r="K24" s="34">
        <f>K32*参数输入表!$I$646</f>
        <v>0</v>
      </c>
      <c r="L24" s="34">
        <f>L32*参数输入表!$I$646</f>
        <v>0</v>
      </c>
      <c r="M24" s="34">
        <f>M32*参数输入表!$I$646</f>
        <v>0</v>
      </c>
      <c r="N24" s="34">
        <f>N32*参数输入表!$I$646</f>
        <v>0</v>
      </c>
      <c r="O24" s="34">
        <f>O32*参数输入表!$I$646</f>
        <v>0</v>
      </c>
      <c r="P24" s="34">
        <f>P32*参数输入表!$I$646</f>
        <v>0</v>
      </c>
      <c r="Q24" s="34">
        <f>Q32*参数输入表!$I$646</f>
        <v>0</v>
      </c>
      <c r="R24" s="34">
        <f>R32*参数输入表!$I$646</f>
        <v>0</v>
      </c>
      <c r="S24" s="34">
        <f>S32*参数输入表!$I$646</f>
        <v>0</v>
      </c>
      <c r="T24" s="34">
        <f>T32*参数输入表!$I$646</f>
        <v>0</v>
      </c>
      <c r="U24" s="34">
        <f>U32*参数输入表!$I$646</f>
        <v>0</v>
      </c>
      <c r="V24" s="34">
        <f>V32*参数输入表!$I$646</f>
        <v>0</v>
      </c>
      <c r="W24" s="34">
        <f>W32*参数输入表!$I$646</f>
        <v>0</v>
      </c>
      <c r="X24" s="34">
        <f>X32*参数输入表!$I$646</f>
        <v>0</v>
      </c>
      <c r="Y24" s="34">
        <f>Y32*参数输入表!$I$646</f>
        <v>0</v>
      </c>
      <c r="Z24" s="34">
        <f>Z32*参数输入表!$I$646</f>
        <v>0</v>
      </c>
      <c r="AA24" s="34">
        <f>AA32*参数输入表!$I$646</f>
        <v>0</v>
      </c>
      <c r="AB24" s="34">
        <f>AB32*参数输入表!$I$646</f>
        <v>0</v>
      </c>
      <c r="AC24" s="34">
        <f>AC32*参数输入表!$I$646</f>
        <v>0</v>
      </c>
      <c r="AD24" s="34">
        <f>AD32*参数输入表!$I$646</f>
        <v>0</v>
      </c>
      <c r="AE24" s="34">
        <f>AE32*参数输入表!$I$646</f>
        <v>0</v>
      </c>
      <c r="AF24" s="34">
        <f ca="1">AF32*参数输入表!$I$646</f>
        <v>0</v>
      </c>
    </row>
    <row r="25" spans="2:32">
      <c r="B25" s="285">
        <v>2.2</v>
      </c>
      <c r="C25" s="286" t="s">
        <v>666</v>
      </c>
      <c r="D25" s="63">
        <f>SUM(F25:AF25)</f>
        <v>5974.11504424779</v>
      </c>
      <c r="E25" s="18" t="s">
        <v>24</v>
      </c>
      <c r="F25" s="34"/>
      <c r="G25" s="34"/>
      <c r="H25" s="34"/>
      <c r="I25" s="34"/>
      <c r="J25" s="44">
        <f>(参数输入表!$I$579*参数输入表!$I$581)/(1+参数输入表!$I$582)*J5*(12-MONTH(参数输入表!I8))/12</f>
        <v>25</v>
      </c>
      <c r="K25" s="34">
        <f>(参数输入表!$I$579*参数输入表!$I$581)/(1+参数输入表!$I$582)*K5</f>
        <v>214.601769911504</v>
      </c>
      <c r="L25" s="34">
        <f>(参数输入表!$I$579*参数输入表!$I$581)/(1+参数输入表!$I$582)*L5</f>
        <v>283.185840707965</v>
      </c>
      <c r="M25" s="34">
        <f>(参数输入表!$I$579*参数输入表!$I$581)/(1+参数输入表!$I$582)*M5</f>
        <v>283.185840707965</v>
      </c>
      <c r="N25" s="34">
        <f>(参数输入表!$I$579*参数输入表!$I$581)/(1+参数输入表!$I$582)*N5</f>
        <v>283.185840707965</v>
      </c>
      <c r="O25" s="34">
        <f>(参数输入表!$I$579*参数输入表!$I$581)/(1+参数输入表!$I$582)*O5</f>
        <v>283.185840707965</v>
      </c>
      <c r="P25" s="34">
        <f>(参数输入表!$I$579*参数输入表!$I$581)/(1+参数输入表!$I$582)*P5</f>
        <v>283.185840707965</v>
      </c>
      <c r="Q25" s="34">
        <f>(参数输入表!$I$579*参数输入表!$I$581)/(1+参数输入表!$I$582)*Q5</f>
        <v>283.185840707965</v>
      </c>
      <c r="R25" s="34">
        <f>(参数输入表!$I$579*参数输入表!$I$581)/(1+参数输入表!$I$582)*R5</f>
        <v>283.185840707965</v>
      </c>
      <c r="S25" s="34">
        <f>(参数输入表!$I$579*参数输入表!$I$581)/(1+参数输入表!$I$582)*S5</f>
        <v>283.185840707965</v>
      </c>
      <c r="T25" s="34">
        <f>(参数输入表!$I$579*参数输入表!$I$581)/(1+参数输入表!$I$582)*T5</f>
        <v>283.185840707965</v>
      </c>
      <c r="U25" s="34">
        <f>(参数输入表!$I$579*参数输入表!$I$581)/(1+参数输入表!$I$582)*U5</f>
        <v>283.185840707965</v>
      </c>
      <c r="V25" s="34">
        <f>(参数输入表!$I$579*参数输入表!$I$581)/(1+参数输入表!$I$582)*V5</f>
        <v>283.185840707965</v>
      </c>
      <c r="W25" s="34">
        <f>(参数输入表!$I$579*参数输入表!$I$581)/(1+参数输入表!$I$582)*W5</f>
        <v>283.185840707965</v>
      </c>
      <c r="X25" s="34">
        <f>(参数输入表!$I$579*参数输入表!$I$581)/(1+参数输入表!$I$582)*X5</f>
        <v>283.185840707965</v>
      </c>
      <c r="Y25" s="34">
        <f>(参数输入表!$I$579*参数输入表!$I$581)/(1+参数输入表!$I$582)*Y5</f>
        <v>283.185840707965</v>
      </c>
      <c r="Z25" s="34">
        <f>(参数输入表!$I$579*参数输入表!$I$581)/(1+参数输入表!$I$582)*Z5</f>
        <v>283.185840707965</v>
      </c>
      <c r="AA25" s="34">
        <f>(参数输入表!$I$579*参数输入表!$I$581)/(1+参数输入表!$I$582)*AA5</f>
        <v>283.185840707965</v>
      </c>
      <c r="AB25" s="34">
        <f>(参数输入表!$I$579*参数输入表!$I$581)/(1+参数输入表!$I$582)*AB5</f>
        <v>283.185840707965</v>
      </c>
      <c r="AC25" s="34">
        <f>(参数输入表!$I$579*参数输入表!$I$581)/(1+参数输入表!$I$582)*AC5</f>
        <v>283.185840707965</v>
      </c>
      <c r="AD25" s="34">
        <f>(参数输入表!$I$579*参数输入表!$I$581)/(1+参数输入表!$I$582)*AD5</f>
        <v>283.185840707965</v>
      </c>
      <c r="AE25" s="34">
        <f>(参数输入表!$I$579*参数输入表!$I$581)/(1+参数输入表!$I$582)*AE5</f>
        <v>283.185840707965</v>
      </c>
      <c r="AF25" s="44">
        <f>(参数输入表!$I$579*参数输入表!$I$581)/(1+参数输入表!$I$582)*AF5*MONTH(参数输入表!I6)/12</f>
        <v>70.7964601769912</v>
      </c>
    </row>
    <row r="26" spans="2:32">
      <c r="B26" s="252">
        <v>3</v>
      </c>
      <c r="C26" s="293" t="s">
        <v>667</v>
      </c>
      <c r="D26" s="28">
        <f>SUM(F26:AF26)</f>
        <v>200</v>
      </c>
      <c r="E26" s="18" t="s">
        <v>24</v>
      </c>
      <c r="F26" s="19">
        <f>'表5-利润表-资本金(标准格式)'!F39</f>
        <v>0</v>
      </c>
      <c r="G26" s="19">
        <f>'表5-利润表-资本金(标准格式)'!G39</f>
        <v>0</v>
      </c>
      <c r="H26" s="19">
        <f>'表5-利润表-资本金(标准格式)'!H39</f>
        <v>0</v>
      </c>
      <c r="I26" s="19">
        <f>'表5-利润表-资本金(标准格式)'!I39</f>
        <v>0</v>
      </c>
      <c r="J26" s="39">
        <f t="shared" ref="J26:P26" si="10">SUM(J27)</f>
        <v>0</v>
      </c>
      <c r="K26" s="39">
        <f t="shared" si="10"/>
        <v>0</v>
      </c>
      <c r="L26" s="39">
        <f t="shared" si="10"/>
        <v>10</v>
      </c>
      <c r="M26" s="39">
        <f t="shared" si="10"/>
        <v>10</v>
      </c>
      <c r="N26" s="39">
        <f t="shared" si="10"/>
        <v>10</v>
      </c>
      <c r="O26" s="39">
        <f t="shared" si="10"/>
        <v>10</v>
      </c>
      <c r="P26" s="39">
        <f t="shared" si="10"/>
        <v>10</v>
      </c>
      <c r="Q26" s="39">
        <f t="shared" ref="Q26:AF26" si="11">SUM(Q27)</f>
        <v>10</v>
      </c>
      <c r="R26" s="39">
        <f t="shared" si="11"/>
        <v>10</v>
      </c>
      <c r="S26" s="39">
        <f t="shared" si="11"/>
        <v>10</v>
      </c>
      <c r="T26" s="39">
        <f t="shared" si="11"/>
        <v>10</v>
      </c>
      <c r="U26" s="39">
        <f t="shared" si="11"/>
        <v>10</v>
      </c>
      <c r="V26" s="39">
        <f t="shared" si="11"/>
        <v>10</v>
      </c>
      <c r="W26" s="39">
        <f t="shared" si="11"/>
        <v>10</v>
      </c>
      <c r="X26" s="39">
        <f t="shared" si="11"/>
        <v>10</v>
      </c>
      <c r="Y26" s="39">
        <f t="shared" si="11"/>
        <v>10</v>
      </c>
      <c r="Z26" s="39">
        <f t="shared" si="11"/>
        <v>10</v>
      </c>
      <c r="AA26" s="39">
        <f t="shared" si="11"/>
        <v>10</v>
      </c>
      <c r="AB26" s="39">
        <f t="shared" si="11"/>
        <v>10</v>
      </c>
      <c r="AC26" s="39">
        <f t="shared" si="11"/>
        <v>10</v>
      </c>
      <c r="AD26" s="39">
        <f t="shared" si="11"/>
        <v>10</v>
      </c>
      <c r="AE26" s="39">
        <f t="shared" si="11"/>
        <v>10</v>
      </c>
      <c r="AF26" s="39">
        <f t="shared" si="11"/>
        <v>0</v>
      </c>
    </row>
    <row r="27" ht="17.25" spans="2:32">
      <c r="B27" s="294">
        <v>3.1</v>
      </c>
      <c r="C27" s="295" t="s">
        <v>668</v>
      </c>
      <c r="D27" s="296">
        <f>SUM(F27:AF27)</f>
        <v>200</v>
      </c>
      <c r="E27" s="58" t="s">
        <v>24</v>
      </c>
      <c r="F27" s="297"/>
      <c r="G27" s="297"/>
      <c r="H27" s="297"/>
      <c r="I27" s="297"/>
      <c r="J27" s="305">
        <f>参数输入表!$I$620*(12-MONTH(参数输入表!I8))/12</f>
        <v>0</v>
      </c>
      <c r="K27" s="297">
        <f>参数输入表!$I$621</f>
        <v>0</v>
      </c>
      <c r="L27" s="297">
        <f>参数输入表!$I$622</f>
        <v>10</v>
      </c>
      <c r="M27" s="297">
        <f>参数输入表!$I$623</f>
        <v>10</v>
      </c>
      <c r="N27" s="297">
        <f>参数输入表!$I$624</f>
        <v>10</v>
      </c>
      <c r="O27" s="297">
        <f>参数输入表!$I$625</f>
        <v>10</v>
      </c>
      <c r="P27" s="297">
        <f>参数输入表!$I$626</f>
        <v>10</v>
      </c>
      <c r="Q27" s="297">
        <f>参数输入表!$I$627</f>
        <v>10</v>
      </c>
      <c r="R27" s="297">
        <f>参数输入表!$I$628</f>
        <v>10</v>
      </c>
      <c r="S27" s="297">
        <f>参数输入表!$I$629</f>
        <v>10</v>
      </c>
      <c r="T27" s="297">
        <f>参数输入表!$I$630</f>
        <v>10</v>
      </c>
      <c r="U27" s="297">
        <f>参数输入表!$I$631</f>
        <v>10</v>
      </c>
      <c r="V27" s="297">
        <f>参数输入表!$I$632</f>
        <v>10</v>
      </c>
      <c r="W27" s="297">
        <f>参数输入表!$I$633</f>
        <v>10</v>
      </c>
      <c r="X27" s="297">
        <f>参数输入表!$I$634</f>
        <v>10</v>
      </c>
      <c r="Y27" s="297">
        <f>参数输入表!$I$635</f>
        <v>10</v>
      </c>
      <c r="Z27" s="297">
        <f>参数输入表!$I$636</f>
        <v>10</v>
      </c>
      <c r="AA27" s="297">
        <f>参数输入表!$I$637</f>
        <v>10</v>
      </c>
      <c r="AB27" s="297">
        <f>参数输入表!$I$638</f>
        <v>10</v>
      </c>
      <c r="AC27" s="297">
        <f>参数输入表!$I$639</f>
        <v>10</v>
      </c>
      <c r="AD27" s="297">
        <f>参数输入表!$I$640</f>
        <v>10</v>
      </c>
      <c r="AE27" s="297">
        <f>参数输入表!$I$641</f>
        <v>10</v>
      </c>
      <c r="AF27" s="305">
        <f>参数输入表!$I$642*MONTH(参数输入表!I6)/12</f>
        <v>0</v>
      </c>
    </row>
    <row r="28" spans="2:32">
      <c r="B28" s="5"/>
      <c r="C28" s="298"/>
      <c r="D28" s="262"/>
      <c r="E28" s="5"/>
      <c r="F28" s="262"/>
      <c r="G28" s="262"/>
      <c r="H28" s="262"/>
      <c r="I28" s="262"/>
      <c r="J28" s="262"/>
      <c r="K28" s="262"/>
      <c r="L28" s="262"/>
      <c r="M28" s="262"/>
      <c r="N28" s="262"/>
      <c r="O28" s="262"/>
      <c r="P28" s="262"/>
      <c r="Q28" s="262"/>
      <c r="R28" s="262"/>
      <c r="S28" s="262"/>
      <c r="T28" s="262"/>
      <c r="U28" s="262"/>
      <c r="V28" s="262"/>
      <c r="W28" s="262"/>
      <c r="X28" s="262"/>
      <c r="Y28" s="262"/>
      <c r="Z28" s="262"/>
      <c r="AA28" s="262"/>
      <c r="AB28" s="262"/>
      <c r="AC28" s="262"/>
      <c r="AD28" s="262"/>
      <c r="AE28" s="262"/>
      <c r="AF28" s="262"/>
    </row>
    <row r="29" ht="17.25" spans="2:32">
      <c r="B29" s="222" t="s">
        <v>669</v>
      </c>
      <c r="C29" s="298"/>
      <c r="D29" s="262"/>
      <c r="E29" s="5"/>
      <c r="F29" s="262"/>
      <c r="G29" s="262"/>
      <c r="H29" s="262"/>
      <c r="I29" s="262"/>
      <c r="J29" s="262"/>
      <c r="K29" s="262"/>
      <c r="L29" s="262"/>
      <c r="M29" s="262"/>
      <c r="N29" s="262"/>
      <c r="O29" s="262"/>
      <c r="P29" s="262"/>
      <c r="Q29" s="262"/>
      <c r="R29" s="262"/>
      <c r="S29" s="262"/>
      <c r="T29" s="262"/>
      <c r="U29" s="262"/>
      <c r="V29" s="262"/>
      <c r="W29" s="262"/>
      <c r="X29" s="262"/>
      <c r="Y29" s="262"/>
      <c r="Z29" s="262"/>
      <c r="AA29" s="262"/>
      <c r="AB29" s="262"/>
      <c r="AC29" s="262"/>
      <c r="AD29" s="262"/>
      <c r="AE29" s="262"/>
      <c r="AF29" s="262"/>
    </row>
    <row r="30" spans="2:32">
      <c r="B30" s="234" t="s">
        <v>15</v>
      </c>
      <c r="C30" s="9" t="s">
        <v>463</v>
      </c>
      <c r="D30" s="9" t="s">
        <v>17</v>
      </c>
      <c r="E30" s="9" t="s">
        <v>18</v>
      </c>
      <c r="F30" s="10" t="s">
        <v>464</v>
      </c>
      <c r="G30" s="10" t="s">
        <v>465</v>
      </c>
      <c r="H30" s="10" t="s">
        <v>466</v>
      </c>
      <c r="I30" s="37">
        <v>45107</v>
      </c>
      <c r="J30" s="37">
        <v>45261</v>
      </c>
      <c r="K30" s="10" t="s">
        <v>20</v>
      </c>
      <c r="L30" s="10" t="s">
        <v>467</v>
      </c>
      <c r="M30" s="10" t="s">
        <v>468</v>
      </c>
      <c r="N30" s="10" t="s">
        <v>469</v>
      </c>
      <c r="O30" s="10" t="s">
        <v>470</v>
      </c>
      <c r="P30" s="10" t="s">
        <v>471</v>
      </c>
      <c r="Q30" s="10" t="s">
        <v>472</v>
      </c>
      <c r="R30" s="10" t="s">
        <v>473</v>
      </c>
      <c r="S30" s="10" t="s">
        <v>474</v>
      </c>
      <c r="T30" s="10" t="s">
        <v>475</v>
      </c>
      <c r="U30" s="10" t="s">
        <v>476</v>
      </c>
      <c r="V30" s="10" t="s">
        <v>477</v>
      </c>
      <c r="W30" s="10" t="s">
        <v>478</v>
      </c>
      <c r="X30" s="10" t="s">
        <v>479</v>
      </c>
      <c r="Y30" s="10" t="s">
        <v>480</v>
      </c>
      <c r="Z30" s="10" t="s">
        <v>481</v>
      </c>
      <c r="AA30" s="10" t="s">
        <v>482</v>
      </c>
      <c r="AB30" s="10" t="s">
        <v>483</v>
      </c>
      <c r="AC30" s="10" t="s">
        <v>484</v>
      </c>
      <c r="AD30" s="10" t="s">
        <v>485</v>
      </c>
      <c r="AE30" s="10" t="s">
        <v>486</v>
      </c>
      <c r="AF30" s="37">
        <v>53051</v>
      </c>
    </row>
    <row r="31" spans="2:32">
      <c r="B31" s="235"/>
      <c r="C31" s="13"/>
      <c r="D31" s="13"/>
      <c r="E31" s="13"/>
      <c r="F31" s="14">
        <v>1</v>
      </c>
      <c r="G31" s="14">
        <v>2</v>
      </c>
      <c r="H31" s="14">
        <v>3</v>
      </c>
      <c r="I31" s="14">
        <v>4</v>
      </c>
      <c r="J31" s="38">
        <v>5</v>
      </c>
      <c r="K31" s="38">
        <v>6</v>
      </c>
      <c r="L31" s="38">
        <v>7</v>
      </c>
      <c r="M31" s="38">
        <v>8</v>
      </c>
      <c r="N31" s="38">
        <v>9</v>
      </c>
      <c r="O31" s="38">
        <v>10</v>
      </c>
      <c r="P31" s="38">
        <v>11</v>
      </c>
      <c r="Q31" s="38">
        <v>12</v>
      </c>
      <c r="R31" s="38">
        <v>13</v>
      </c>
      <c r="S31" s="38">
        <v>14</v>
      </c>
      <c r="T31" s="38">
        <v>15</v>
      </c>
      <c r="U31" s="38">
        <v>16</v>
      </c>
      <c r="V31" s="38">
        <v>17</v>
      </c>
      <c r="W31" s="38">
        <v>18</v>
      </c>
      <c r="X31" s="38">
        <v>19</v>
      </c>
      <c r="Y31" s="38">
        <v>20</v>
      </c>
      <c r="Z31" s="38">
        <v>21</v>
      </c>
      <c r="AA31" s="38">
        <v>22</v>
      </c>
      <c r="AB31" s="38">
        <v>23</v>
      </c>
      <c r="AC31" s="38">
        <v>24</v>
      </c>
      <c r="AD31" s="38">
        <v>25</v>
      </c>
      <c r="AE31" s="38">
        <v>26</v>
      </c>
      <c r="AF31" s="38">
        <v>27</v>
      </c>
    </row>
    <row r="32" spans="2:32">
      <c r="B32" s="252">
        <v>1</v>
      </c>
      <c r="C32" s="293" t="s">
        <v>670</v>
      </c>
      <c r="D32" s="28">
        <f ca="1">SUM(F32:AF32)</f>
        <v>29735.5712155891</v>
      </c>
      <c r="E32" s="18" t="s">
        <v>24</v>
      </c>
      <c r="F32" s="39"/>
      <c r="G32" s="39"/>
      <c r="H32" s="39"/>
      <c r="I32" s="39"/>
      <c r="J32" s="39">
        <f>IF(J61&gt;0,0,J60-I61)</f>
        <v>0</v>
      </c>
      <c r="K32" s="39">
        <f t="shared" ref="K32" si="12">IF(K61&gt;0,0,K60-J61)</f>
        <v>0</v>
      </c>
      <c r="L32" s="39">
        <f t="shared" ref="L32" si="13">IF(L61&gt;0,0,L60-K61)</f>
        <v>0</v>
      </c>
      <c r="M32" s="39">
        <f t="shared" ref="M32" si="14">IF(M61&gt;0,0,M60-L61)</f>
        <v>0</v>
      </c>
      <c r="N32" s="39">
        <f t="shared" ref="N32" si="15">IF(N61&gt;0,0,N60-M61)</f>
        <v>0</v>
      </c>
      <c r="O32" s="39">
        <f t="shared" ref="O32:AF32" si="16">IF(O61&gt;0,0,O60-N61)</f>
        <v>0</v>
      </c>
      <c r="P32" s="39">
        <f t="shared" si="16"/>
        <v>0</v>
      </c>
      <c r="Q32" s="39">
        <f t="shared" si="16"/>
        <v>0</v>
      </c>
      <c r="R32" s="39">
        <f t="shared" si="16"/>
        <v>2283.50738310551</v>
      </c>
      <c r="S32" s="39">
        <f t="shared" si="16"/>
        <v>2375.95323256637</v>
      </c>
      <c r="T32" s="39">
        <f t="shared" si="16"/>
        <v>2364.87906867257</v>
      </c>
      <c r="U32" s="39">
        <f t="shared" si="16"/>
        <v>2353.80455964602</v>
      </c>
      <c r="V32" s="39">
        <f t="shared" si="16"/>
        <v>2342.73039575221</v>
      </c>
      <c r="W32" s="39">
        <f t="shared" si="16"/>
        <v>2290.37148305594</v>
      </c>
      <c r="X32" s="39">
        <f t="shared" si="16"/>
        <v>2320.58172283186</v>
      </c>
      <c r="Y32" s="39">
        <f t="shared" si="16"/>
        <v>2309.50755893805</v>
      </c>
      <c r="Z32" s="39">
        <f t="shared" si="16"/>
        <v>1963.9491219469</v>
      </c>
      <c r="AA32" s="39">
        <f t="shared" si="16"/>
        <v>1765.19071610619</v>
      </c>
      <c r="AB32" s="39">
        <f t="shared" si="16"/>
        <v>1715.40124765771</v>
      </c>
      <c r="AC32" s="39">
        <f t="shared" si="16"/>
        <v>1748.18093168142</v>
      </c>
      <c r="AD32" s="39">
        <f t="shared" si="16"/>
        <v>1739.6762120354</v>
      </c>
      <c r="AE32" s="39">
        <f t="shared" si="16"/>
        <v>1731.17114725664</v>
      </c>
      <c r="AF32" s="39">
        <f ca="1" t="shared" si="16"/>
        <v>430.666434336283</v>
      </c>
    </row>
    <row r="33" spans="2:32">
      <c r="B33" s="252">
        <v>2</v>
      </c>
      <c r="C33" s="293" t="s">
        <v>671</v>
      </c>
      <c r="D33" s="28">
        <f t="shared" ref="D33:D40" si="17">SUM(F33:AF33)</f>
        <v>46562.6011720885</v>
      </c>
      <c r="E33" s="18" t="s">
        <v>24</v>
      </c>
      <c r="F33" s="39"/>
      <c r="G33" s="39"/>
      <c r="H33" s="39"/>
      <c r="I33" s="39"/>
      <c r="J33" s="39">
        <f t="shared" ref="J33:O33" si="18">J34+J38+J40</f>
        <v>218.55067785177</v>
      </c>
      <c r="K33" s="39">
        <f t="shared" si="18"/>
        <v>1867.66484096239</v>
      </c>
      <c r="L33" s="39">
        <f t="shared" si="18"/>
        <v>2453.47341522124</v>
      </c>
      <c r="M33" s="39">
        <f t="shared" si="18"/>
        <v>2442.39890619469</v>
      </c>
      <c r="N33" s="39">
        <f t="shared" si="18"/>
        <v>2431.32474230089</v>
      </c>
      <c r="O33" s="39">
        <f t="shared" si="18"/>
        <v>2420.25057840708</v>
      </c>
      <c r="P33" s="39">
        <f t="shared" ref="P33:AF33" si="19">P34+P38+P40</f>
        <v>2409.17606938053</v>
      </c>
      <c r="Q33" s="39">
        <f t="shared" si="19"/>
        <v>2398.10190548673</v>
      </c>
      <c r="R33" s="39">
        <f t="shared" si="19"/>
        <v>2387.02739646018</v>
      </c>
      <c r="S33" s="39">
        <f t="shared" si="19"/>
        <v>2375.95323256637</v>
      </c>
      <c r="T33" s="39">
        <f t="shared" si="19"/>
        <v>2364.87906867257</v>
      </c>
      <c r="U33" s="39">
        <f t="shared" si="19"/>
        <v>2353.80455964602</v>
      </c>
      <c r="V33" s="39">
        <f t="shared" si="19"/>
        <v>2342.73039575221</v>
      </c>
      <c r="W33" s="39">
        <f t="shared" si="19"/>
        <v>2331.65588672566</v>
      </c>
      <c r="X33" s="39">
        <f t="shared" si="19"/>
        <v>2320.58172283186</v>
      </c>
      <c r="Y33" s="39">
        <f t="shared" si="19"/>
        <v>2309.50755893805</v>
      </c>
      <c r="Z33" s="39">
        <f t="shared" si="19"/>
        <v>1963.9491219469</v>
      </c>
      <c r="AA33" s="39">
        <f t="shared" si="19"/>
        <v>1765.19071610619</v>
      </c>
      <c r="AB33" s="39">
        <f t="shared" si="19"/>
        <v>1756.68565132743</v>
      </c>
      <c r="AC33" s="39">
        <f t="shared" si="19"/>
        <v>1748.18093168142</v>
      </c>
      <c r="AD33" s="39">
        <f t="shared" si="19"/>
        <v>1739.6762120354</v>
      </c>
      <c r="AE33" s="39">
        <f t="shared" si="19"/>
        <v>1731.17114725664</v>
      </c>
      <c r="AF33" s="39">
        <f t="shared" si="19"/>
        <v>430.666434336283</v>
      </c>
    </row>
    <row r="34" spans="2:32">
      <c r="B34" s="15">
        <v>2.1</v>
      </c>
      <c r="C34" s="299" t="s">
        <v>672</v>
      </c>
      <c r="D34" s="39">
        <f t="shared" si="17"/>
        <v>45785.9662163363</v>
      </c>
      <c r="E34" s="18" t="s">
        <v>24</v>
      </c>
      <c r="F34" s="39"/>
      <c r="G34" s="39"/>
      <c r="H34" s="39"/>
      <c r="I34" s="39"/>
      <c r="J34" s="39">
        <f t="shared" ref="J34:O34" si="20">SUM(J35:J37)</f>
        <v>215.30067785177</v>
      </c>
      <c r="K34" s="39">
        <f t="shared" si="20"/>
        <v>1839.76661087389</v>
      </c>
      <c r="L34" s="39">
        <f t="shared" si="20"/>
        <v>2416.6592559292</v>
      </c>
      <c r="M34" s="39">
        <f t="shared" si="20"/>
        <v>2405.58474690266</v>
      </c>
      <c r="N34" s="39">
        <f t="shared" si="20"/>
        <v>2394.51058300885</v>
      </c>
      <c r="O34" s="39">
        <f t="shared" si="20"/>
        <v>2383.43641911504</v>
      </c>
      <c r="P34" s="39">
        <f t="shared" ref="P34:AF34" si="21">SUM(P35:P37)</f>
        <v>2372.3619100885</v>
      </c>
      <c r="Q34" s="39">
        <f t="shared" si="21"/>
        <v>2361.28774619469</v>
      </c>
      <c r="R34" s="39">
        <f t="shared" si="21"/>
        <v>2350.21323716814</v>
      </c>
      <c r="S34" s="39">
        <f t="shared" si="21"/>
        <v>2339.13907327434</v>
      </c>
      <c r="T34" s="39">
        <f t="shared" si="21"/>
        <v>2328.06490938053</v>
      </c>
      <c r="U34" s="39">
        <f t="shared" si="21"/>
        <v>2316.99040035398</v>
      </c>
      <c r="V34" s="39">
        <f t="shared" si="21"/>
        <v>2305.91623646018</v>
      </c>
      <c r="W34" s="39">
        <f t="shared" si="21"/>
        <v>2294.84172743363</v>
      </c>
      <c r="X34" s="39">
        <f t="shared" si="21"/>
        <v>2283.76756353982</v>
      </c>
      <c r="Y34" s="39">
        <f t="shared" si="21"/>
        <v>2272.69339964602</v>
      </c>
      <c r="Z34" s="39">
        <f t="shared" si="21"/>
        <v>1927.13496265487</v>
      </c>
      <c r="AA34" s="39">
        <f t="shared" si="21"/>
        <v>1728.37655681416</v>
      </c>
      <c r="AB34" s="39">
        <f t="shared" si="21"/>
        <v>1719.8714920354</v>
      </c>
      <c r="AC34" s="39">
        <f t="shared" si="21"/>
        <v>1711.36677238938</v>
      </c>
      <c r="AD34" s="39">
        <f t="shared" si="21"/>
        <v>1702.86205274336</v>
      </c>
      <c r="AE34" s="39">
        <f t="shared" si="21"/>
        <v>1694.3569879646</v>
      </c>
      <c r="AF34" s="39">
        <f t="shared" si="21"/>
        <v>421.462894513274</v>
      </c>
    </row>
    <row r="35" spans="2:32">
      <c r="B35" s="20"/>
      <c r="C35" s="30" t="s">
        <v>673</v>
      </c>
      <c r="D35" s="34">
        <f t="shared" si="17"/>
        <v>35123.4538800531</v>
      </c>
      <c r="E35" s="18" t="s">
        <v>24</v>
      </c>
      <c r="F35" s="34"/>
      <c r="G35" s="34"/>
      <c r="H35" s="34"/>
      <c r="I35" s="34"/>
      <c r="J35" s="34">
        <f>J7*参数输入表!$I$563</f>
        <v>154.85688075</v>
      </c>
      <c r="K35" s="34">
        <f>K7*参数输入表!$I$563</f>
        <v>1323.26624107301</v>
      </c>
      <c r="L35" s="34">
        <f>L7*参数输入表!$I$563</f>
        <v>1738.20048424779</v>
      </c>
      <c r="M35" s="34">
        <f>M7*参数输入表!$I$563</f>
        <v>1730.23520707965</v>
      </c>
      <c r="N35" s="34">
        <f>N7*参数输入表!$I$563</f>
        <v>1722.2699299115</v>
      </c>
      <c r="O35" s="34">
        <f>O7*参数输入表!$I$563</f>
        <v>1714.30465274336</v>
      </c>
      <c r="P35" s="34">
        <f>P7*参数输入表!$I$563</f>
        <v>1706.33937557522</v>
      </c>
      <c r="Q35" s="34">
        <f>Q7*参数输入表!$I$563</f>
        <v>1698.37409840708</v>
      </c>
      <c r="R35" s="34">
        <f>R7*参数输入表!$I$563</f>
        <v>1690.40882123894</v>
      </c>
      <c r="S35" s="34">
        <f>S7*参数输入表!$I$563</f>
        <v>1682.4435440708</v>
      </c>
      <c r="T35" s="34">
        <f>T7*参数输入表!$I$563</f>
        <v>1674.47826690265</v>
      </c>
      <c r="U35" s="34">
        <f>U7*参数输入表!$I$563</f>
        <v>1666.51298973451</v>
      </c>
      <c r="V35" s="34">
        <f>V7*参数输入表!$I$563</f>
        <v>1658.54771256637</v>
      </c>
      <c r="W35" s="34">
        <f>W7*参数输入表!$I$563</f>
        <v>1650.58243539823</v>
      </c>
      <c r="X35" s="34">
        <f>X7*参数输入表!$I$563</f>
        <v>1642.61715823009</v>
      </c>
      <c r="Y35" s="34">
        <f>Y7*参数输入表!$I$563</f>
        <v>1634.65188106195</v>
      </c>
      <c r="Z35" s="34">
        <f>Z7*参数输入表!$I$563</f>
        <v>1626.68660389381</v>
      </c>
      <c r="AA35" s="34">
        <f>AA7*参数输入表!$I$563</f>
        <v>1618.72132672566</v>
      </c>
      <c r="AB35" s="34">
        <f>AB7*参数输入表!$I$563</f>
        <v>1610.75604955752</v>
      </c>
      <c r="AC35" s="34">
        <f>AC7*参数输入表!$I$563</f>
        <v>1602.79077238938</v>
      </c>
      <c r="AD35" s="34">
        <f>AD7*参数输入表!$I$563</f>
        <v>1594.82549522124</v>
      </c>
      <c r="AE35" s="34">
        <f>AE7*参数输入表!$I$563</f>
        <v>1586.8602180531</v>
      </c>
      <c r="AF35" s="34">
        <f>AF7*参数输入表!$I$563</f>
        <v>394.723735221239</v>
      </c>
    </row>
    <row r="36" spans="2:32">
      <c r="B36" s="20"/>
      <c r="C36" s="300" t="s">
        <v>674</v>
      </c>
      <c r="D36" s="34">
        <f t="shared" si="17"/>
        <v>8283.18584070797</v>
      </c>
      <c r="E36" s="18" t="s">
        <v>24</v>
      </c>
      <c r="F36" s="34"/>
      <c r="G36" s="34"/>
      <c r="H36" s="34"/>
      <c r="I36" s="34"/>
      <c r="J36" s="44">
        <f>J15*参数输入表!$I$563</f>
        <v>49.9538325</v>
      </c>
      <c r="K36" s="44">
        <f>K15*参数输入表!$I$563</f>
        <v>426.860077765487</v>
      </c>
      <c r="L36" s="44">
        <f>L15*参数输入表!$I$563</f>
        <v>560.709833628319</v>
      </c>
      <c r="M36" s="44">
        <f>M15*参数输入表!$I$563</f>
        <v>558.140389380531</v>
      </c>
      <c r="N36" s="44">
        <f>N15*参数输入表!$I$563</f>
        <v>555.570945132744</v>
      </c>
      <c r="O36" s="44">
        <f>O15*参数输入表!$I$563</f>
        <v>553.001500884956</v>
      </c>
      <c r="P36" s="44">
        <f>P15*参数输入表!$I$563</f>
        <v>550.432056637168</v>
      </c>
      <c r="Q36" s="44">
        <f>Q15*参数输入表!$I$563</f>
        <v>547.862612389381</v>
      </c>
      <c r="R36" s="44">
        <f>R15*参数输入表!$I$563</f>
        <v>545.293168141593</v>
      </c>
      <c r="S36" s="44">
        <f>S15*参数输入表!$I$563</f>
        <v>542.723723893805</v>
      </c>
      <c r="T36" s="44">
        <f>T15*参数输入表!$I$563</f>
        <v>540.154279646018</v>
      </c>
      <c r="U36" s="44">
        <f>U15*参数输入表!$I$563</f>
        <v>537.58483539823</v>
      </c>
      <c r="V36" s="44">
        <f>V15*参数输入表!$I$563</f>
        <v>535.015391150442</v>
      </c>
      <c r="W36" s="44">
        <f>W15*参数输入表!$I$563</f>
        <v>532.445946902655</v>
      </c>
      <c r="X36" s="44">
        <f>X15*参数输入表!$I$563</f>
        <v>529.876502654867</v>
      </c>
      <c r="Y36" s="44">
        <f>Y15*参数输入表!$I$563</f>
        <v>527.30705840708</v>
      </c>
      <c r="Z36" s="44">
        <f>Z15*参数输入表!$I$563</f>
        <v>190.25368619469</v>
      </c>
      <c r="AA36" s="44">
        <f>AA15*参数输入表!$I$563</f>
        <v>0</v>
      </c>
      <c r="AB36" s="44">
        <f>AB15*参数输入表!$I$563</f>
        <v>0</v>
      </c>
      <c r="AC36" s="44">
        <f>AC15*参数输入表!$I$563</f>
        <v>0</v>
      </c>
      <c r="AD36" s="44">
        <f>AD15*参数输入表!$I$563</f>
        <v>0</v>
      </c>
      <c r="AE36" s="44">
        <f>AE15*参数输入表!$I$563</f>
        <v>0</v>
      </c>
      <c r="AF36" s="44">
        <f>AF15*参数输入表!$I$563</f>
        <v>0</v>
      </c>
    </row>
    <row r="37" spans="2:32">
      <c r="B37" s="20"/>
      <c r="C37" s="30" t="s">
        <v>675</v>
      </c>
      <c r="D37" s="34">
        <f t="shared" si="17"/>
        <v>2379.32649557522</v>
      </c>
      <c r="E37" s="18" t="s">
        <v>24</v>
      </c>
      <c r="F37" s="34"/>
      <c r="G37" s="34"/>
      <c r="H37" s="34"/>
      <c r="I37" s="34"/>
      <c r="J37" s="34">
        <f>J19*参数输入表!$I$574</f>
        <v>10.4899646017699</v>
      </c>
      <c r="K37" s="34">
        <f>K19*参数输入表!$I$574</f>
        <v>89.6402920353982</v>
      </c>
      <c r="L37" s="34">
        <f>L19*参数输入表!$I$574</f>
        <v>117.748938053097</v>
      </c>
      <c r="M37" s="34">
        <f>M19*参数输入表!$I$574</f>
        <v>117.209150442478</v>
      </c>
      <c r="N37" s="34">
        <f>N19*参数输入表!$I$574</f>
        <v>116.669707964602</v>
      </c>
      <c r="O37" s="34">
        <f>O19*参数输入表!$I$574</f>
        <v>116.130265486726</v>
      </c>
      <c r="P37" s="34">
        <f>P19*参数输入表!$I$574</f>
        <v>115.590477876106</v>
      </c>
      <c r="Q37" s="34">
        <f>Q19*参数输入表!$I$574</f>
        <v>115.05103539823</v>
      </c>
      <c r="R37" s="34">
        <f>R19*参数输入表!$I$574</f>
        <v>114.511247787611</v>
      </c>
      <c r="S37" s="34">
        <f>S19*参数输入表!$I$574</f>
        <v>113.971805309735</v>
      </c>
      <c r="T37" s="34">
        <f>T19*参数输入表!$I$574</f>
        <v>113.432362831858</v>
      </c>
      <c r="U37" s="34">
        <f>U19*参数输入表!$I$574</f>
        <v>112.892575221239</v>
      </c>
      <c r="V37" s="34">
        <f>V19*参数输入表!$I$574</f>
        <v>112.353132743363</v>
      </c>
      <c r="W37" s="34">
        <f>W19*参数输入表!$I$574</f>
        <v>111.813345132743</v>
      </c>
      <c r="X37" s="34">
        <f>X19*参数输入表!$I$574</f>
        <v>111.273902654867</v>
      </c>
      <c r="Y37" s="34">
        <f>Y19*参数输入表!$I$574</f>
        <v>110.734460176991</v>
      </c>
      <c r="Z37" s="34">
        <f>Z19*参数输入表!$I$574</f>
        <v>110.194672566372</v>
      </c>
      <c r="AA37" s="34">
        <f>AA19*参数输入表!$I$574</f>
        <v>109.655230088496</v>
      </c>
      <c r="AB37" s="34">
        <f>AB19*参数输入表!$I$574</f>
        <v>109.115442477876</v>
      </c>
      <c r="AC37" s="34">
        <f>AC19*参数输入表!$I$574</f>
        <v>108.576</v>
      </c>
      <c r="AD37" s="34">
        <f>AD19*参数输入表!$I$574</f>
        <v>108.036557522124</v>
      </c>
      <c r="AE37" s="34">
        <f>AE19*参数输入表!$I$574</f>
        <v>107.496769911504</v>
      </c>
      <c r="AF37" s="34">
        <f>AF19*参数输入表!$I$574</f>
        <v>26.7391592920354</v>
      </c>
    </row>
    <row r="38" spans="2:32">
      <c r="B38" s="15">
        <v>2.2</v>
      </c>
      <c r="C38" s="299" t="s">
        <v>676</v>
      </c>
      <c r="D38" s="39">
        <f t="shared" si="17"/>
        <v>776.634955752212</v>
      </c>
      <c r="E38" s="18" t="s">
        <v>24</v>
      </c>
      <c r="F38" s="39"/>
      <c r="G38" s="39"/>
      <c r="H38" s="39"/>
      <c r="I38" s="39"/>
      <c r="J38" s="39">
        <f t="shared" ref="J38:R38" si="22">SUM(J39)</f>
        <v>3.25</v>
      </c>
      <c r="K38" s="39">
        <f t="shared" si="22"/>
        <v>27.8982300884956</v>
      </c>
      <c r="L38" s="39">
        <f t="shared" si="22"/>
        <v>36.8141592920354</v>
      </c>
      <c r="M38" s="39">
        <f t="shared" si="22"/>
        <v>36.8141592920354</v>
      </c>
      <c r="N38" s="39">
        <f t="shared" si="22"/>
        <v>36.8141592920354</v>
      </c>
      <c r="O38" s="39">
        <f t="shared" si="22"/>
        <v>36.8141592920354</v>
      </c>
      <c r="P38" s="39">
        <f t="shared" si="22"/>
        <v>36.8141592920354</v>
      </c>
      <c r="Q38" s="39">
        <f t="shared" si="22"/>
        <v>36.8141592920354</v>
      </c>
      <c r="R38" s="39">
        <f t="shared" si="22"/>
        <v>36.8141592920354</v>
      </c>
      <c r="S38" s="39">
        <f t="shared" ref="S38:AF38" si="23">SUM(S39)</f>
        <v>36.8141592920354</v>
      </c>
      <c r="T38" s="39">
        <f t="shared" si="23"/>
        <v>36.8141592920354</v>
      </c>
      <c r="U38" s="39">
        <f t="shared" si="23"/>
        <v>36.8141592920354</v>
      </c>
      <c r="V38" s="39">
        <f t="shared" si="23"/>
        <v>36.8141592920354</v>
      </c>
      <c r="W38" s="39">
        <f t="shared" si="23"/>
        <v>36.8141592920354</v>
      </c>
      <c r="X38" s="39">
        <f t="shared" si="23"/>
        <v>36.8141592920354</v>
      </c>
      <c r="Y38" s="39">
        <f t="shared" si="23"/>
        <v>36.8141592920354</v>
      </c>
      <c r="Z38" s="39">
        <f t="shared" si="23"/>
        <v>36.8141592920354</v>
      </c>
      <c r="AA38" s="39">
        <f t="shared" si="23"/>
        <v>36.8141592920354</v>
      </c>
      <c r="AB38" s="39">
        <f t="shared" si="23"/>
        <v>36.8141592920354</v>
      </c>
      <c r="AC38" s="39">
        <f t="shared" si="23"/>
        <v>36.8141592920354</v>
      </c>
      <c r="AD38" s="39">
        <f t="shared" si="23"/>
        <v>36.8141592920354</v>
      </c>
      <c r="AE38" s="39">
        <f t="shared" si="23"/>
        <v>36.8141592920354</v>
      </c>
      <c r="AF38" s="39">
        <f t="shared" si="23"/>
        <v>9.20353982300885</v>
      </c>
    </row>
    <row r="39" spans="2:32">
      <c r="B39" s="20"/>
      <c r="C39" s="30" t="s">
        <v>677</v>
      </c>
      <c r="D39" s="34">
        <f t="shared" si="17"/>
        <v>776.634955752212</v>
      </c>
      <c r="E39" s="18" t="s">
        <v>24</v>
      </c>
      <c r="F39" s="34"/>
      <c r="G39" s="34"/>
      <c r="H39" s="34"/>
      <c r="I39" s="34"/>
      <c r="J39" s="34">
        <f>J25*参数输入表!$I$582</f>
        <v>3.25</v>
      </c>
      <c r="K39" s="34">
        <f>K25*参数输入表!$I$582</f>
        <v>27.8982300884956</v>
      </c>
      <c r="L39" s="34">
        <f>L25*参数输入表!$I$582</f>
        <v>36.8141592920354</v>
      </c>
      <c r="M39" s="34">
        <f>M25*参数输入表!$I$582</f>
        <v>36.8141592920354</v>
      </c>
      <c r="N39" s="34">
        <f>N25*参数输入表!$I$582</f>
        <v>36.8141592920354</v>
      </c>
      <c r="O39" s="34">
        <f>O25*参数输入表!$I$582</f>
        <v>36.8141592920354</v>
      </c>
      <c r="P39" s="34">
        <f>P25*参数输入表!$I$582</f>
        <v>36.8141592920354</v>
      </c>
      <c r="Q39" s="34">
        <f>Q25*参数输入表!$I$582</f>
        <v>36.8141592920354</v>
      </c>
      <c r="R39" s="34">
        <f>R25*参数输入表!$I$582</f>
        <v>36.8141592920354</v>
      </c>
      <c r="S39" s="34">
        <f>S25*参数输入表!$I$582</f>
        <v>36.8141592920354</v>
      </c>
      <c r="T39" s="34">
        <f>T25*参数输入表!$I$582</f>
        <v>36.8141592920354</v>
      </c>
      <c r="U39" s="34">
        <f>U25*参数输入表!$I$582</f>
        <v>36.8141592920354</v>
      </c>
      <c r="V39" s="34">
        <f>V25*参数输入表!$I$582</f>
        <v>36.8141592920354</v>
      </c>
      <c r="W39" s="34">
        <f>W25*参数输入表!$I$582</f>
        <v>36.8141592920354</v>
      </c>
      <c r="X39" s="34">
        <f>X25*参数输入表!$I$582</f>
        <v>36.8141592920354</v>
      </c>
      <c r="Y39" s="34">
        <f>Y25*参数输入表!$I$582</f>
        <v>36.8141592920354</v>
      </c>
      <c r="Z39" s="34">
        <f>Z25*参数输入表!$I$582</f>
        <v>36.8141592920354</v>
      </c>
      <c r="AA39" s="34">
        <f>AA25*参数输入表!$I$582</f>
        <v>36.8141592920354</v>
      </c>
      <c r="AB39" s="34">
        <f>AB25*参数输入表!$I$582</f>
        <v>36.8141592920354</v>
      </c>
      <c r="AC39" s="34">
        <f>AC25*参数输入表!$I$582</f>
        <v>36.8141592920354</v>
      </c>
      <c r="AD39" s="34">
        <f>AD25*参数输入表!$I$582</f>
        <v>36.8141592920354</v>
      </c>
      <c r="AE39" s="34">
        <f>AE25*参数输入表!$I$582</f>
        <v>36.8141592920354</v>
      </c>
      <c r="AF39" s="34">
        <f>AF25*参数输入表!$I$582</f>
        <v>9.20353982300885</v>
      </c>
    </row>
    <row r="40" spans="2:32">
      <c r="B40" s="15">
        <v>2.3</v>
      </c>
      <c r="C40" s="299" t="s">
        <v>678</v>
      </c>
      <c r="D40" s="39">
        <f t="shared" si="17"/>
        <v>0</v>
      </c>
      <c r="E40" s="18" t="s">
        <v>24</v>
      </c>
      <c r="F40" s="39"/>
      <c r="G40" s="39"/>
      <c r="H40" s="39"/>
      <c r="I40" s="39"/>
      <c r="J40" s="39">
        <f t="shared" ref="J40:U40" si="24">SUM(J41)</f>
        <v>0</v>
      </c>
      <c r="K40" s="39">
        <f t="shared" si="24"/>
        <v>0</v>
      </c>
      <c r="L40" s="39">
        <f t="shared" si="24"/>
        <v>0</v>
      </c>
      <c r="M40" s="39">
        <f t="shared" si="24"/>
        <v>0</v>
      </c>
      <c r="N40" s="39">
        <f t="shared" si="24"/>
        <v>0</v>
      </c>
      <c r="O40" s="39">
        <f t="shared" si="24"/>
        <v>0</v>
      </c>
      <c r="P40" s="39">
        <f t="shared" si="24"/>
        <v>0</v>
      </c>
      <c r="Q40" s="39">
        <f t="shared" si="24"/>
        <v>0</v>
      </c>
      <c r="R40" s="39">
        <f t="shared" si="24"/>
        <v>0</v>
      </c>
      <c r="S40" s="39">
        <f t="shared" si="24"/>
        <v>0</v>
      </c>
      <c r="T40" s="39">
        <f t="shared" si="24"/>
        <v>0</v>
      </c>
      <c r="U40" s="39">
        <f t="shared" si="24"/>
        <v>0</v>
      </c>
      <c r="V40" s="39">
        <f t="shared" ref="V40:AF40" si="25">SUM(V41)</f>
        <v>0</v>
      </c>
      <c r="W40" s="39">
        <f t="shared" si="25"/>
        <v>0</v>
      </c>
      <c r="X40" s="39">
        <f t="shared" si="25"/>
        <v>0</v>
      </c>
      <c r="Y40" s="39">
        <f t="shared" si="25"/>
        <v>0</v>
      </c>
      <c r="Z40" s="39">
        <f t="shared" si="25"/>
        <v>0</v>
      </c>
      <c r="AA40" s="39">
        <f t="shared" si="25"/>
        <v>0</v>
      </c>
      <c r="AB40" s="39">
        <f t="shared" si="25"/>
        <v>0</v>
      </c>
      <c r="AC40" s="39">
        <f t="shared" si="25"/>
        <v>0</v>
      </c>
      <c r="AD40" s="39">
        <f t="shared" si="25"/>
        <v>0</v>
      </c>
      <c r="AE40" s="39">
        <f t="shared" si="25"/>
        <v>0</v>
      </c>
      <c r="AF40" s="39">
        <f t="shared" si="25"/>
        <v>0</v>
      </c>
    </row>
    <row r="41" spans="2:32">
      <c r="B41" s="20"/>
      <c r="C41" s="30" t="s">
        <v>679</v>
      </c>
      <c r="D41" s="34"/>
      <c r="E41" s="18" t="s">
        <v>24</v>
      </c>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row>
    <row r="42" spans="2:32">
      <c r="B42" s="252">
        <v>3</v>
      </c>
      <c r="C42" s="293" t="s">
        <v>680</v>
      </c>
      <c r="D42" s="28">
        <f ca="1" t="shared" ref="D42:D50" si="26">SUM(F42:AF42)</f>
        <v>14387.9811764994</v>
      </c>
      <c r="E42" s="18" t="s">
        <v>24</v>
      </c>
      <c r="F42" s="39"/>
      <c r="G42" s="39"/>
      <c r="H42" s="39"/>
      <c r="I42" s="39"/>
      <c r="J42" s="39">
        <f t="shared" ref="J42:AF42" si="27">J43+J44+J58+J59</f>
        <v>4266.85306854616</v>
      </c>
      <c r="K42" s="39">
        <f t="shared" si="27"/>
        <v>9955.99049327437</v>
      </c>
      <c r="L42" s="39">
        <f t="shared" si="27"/>
        <v>0</v>
      </c>
      <c r="M42" s="39">
        <f t="shared" si="27"/>
        <v>41.2844036697248</v>
      </c>
      <c r="N42" s="39">
        <f t="shared" si="27"/>
        <v>0</v>
      </c>
      <c r="O42" s="39">
        <f t="shared" si="27"/>
        <v>0</v>
      </c>
      <c r="P42" s="39">
        <f t="shared" si="27"/>
        <v>0</v>
      </c>
      <c r="Q42" s="39">
        <f t="shared" si="27"/>
        <v>0</v>
      </c>
      <c r="R42" s="39">
        <f t="shared" si="27"/>
        <v>41.2844036697248</v>
      </c>
      <c r="S42" s="39">
        <f t="shared" si="27"/>
        <v>0</v>
      </c>
      <c r="T42" s="39">
        <f t="shared" si="27"/>
        <v>0</v>
      </c>
      <c r="U42" s="39">
        <f t="shared" si="27"/>
        <v>0</v>
      </c>
      <c r="V42" s="39">
        <f t="shared" si="27"/>
        <v>0</v>
      </c>
      <c r="W42" s="39">
        <f t="shared" si="27"/>
        <v>41.2844036697248</v>
      </c>
      <c r="X42" s="39">
        <f t="shared" si="27"/>
        <v>0</v>
      </c>
      <c r="Y42" s="39">
        <f t="shared" si="27"/>
        <v>0</v>
      </c>
      <c r="Z42" s="39">
        <f t="shared" si="27"/>
        <v>0</v>
      </c>
      <c r="AA42" s="39">
        <f t="shared" si="27"/>
        <v>0</v>
      </c>
      <c r="AB42" s="39">
        <f t="shared" si="27"/>
        <v>41.2844036697248</v>
      </c>
      <c r="AC42" s="39">
        <f t="shared" si="27"/>
        <v>0</v>
      </c>
      <c r="AD42" s="39">
        <f t="shared" si="27"/>
        <v>0</v>
      </c>
      <c r="AE42" s="39">
        <f t="shared" si="27"/>
        <v>0</v>
      </c>
      <c r="AF42" s="39">
        <f ca="1" t="shared" si="27"/>
        <v>0</v>
      </c>
    </row>
    <row r="43" spans="2:32">
      <c r="B43" s="15">
        <v>3.1</v>
      </c>
      <c r="C43" s="299" t="s">
        <v>681</v>
      </c>
      <c r="D43" s="39">
        <f t="shared" si="26"/>
        <v>14222.8435618205</v>
      </c>
      <c r="E43" s="18" t="s">
        <v>24</v>
      </c>
      <c r="F43" s="19"/>
      <c r="G43" s="19"/>
      <c r="H43" s="19"/>
      <c r="I43" s="19"/>
      <c r="J43" s="306">
        <f>'新建及改扩建项目投资概算明细 (光伏)'!F26</f>
        <v>4266.85306854616</v>
      </c>
      <c r="K43" s="306">
        <f>'新建及改扩建项目投资概算明细 (光伏)'!G26</f>
        <v>9955.99049327437</v>
      </c>
      <c r="L43" s="306">
        <f>IF(L31-参数输入表!$I$14&gt;0,0)</f>
        <v>0</v>
      </c>
      <c r="M43" s="306">
        <f>IF(M31-参数输入表!$I$14&gt;0,0)</f>
        <v>0</v>
      </c>
      <c r="N43" s="306">
        <f>IF(N31-参数输入表!$I$14&gt;0,0)</f>
        <v>0</v>
      </c>
      <c r="O43" s="306">
        <f>IF(O31-参数输入表!$I$14&gt;0,0)</f>
        <v>0</v>
      </c>
      <c r="P43" s="306">
        <f>IF(P31-参数输入表!$I$14&gt;0,0)</f>
        <v>0</v>
      </c>
      <c r="Q43" s="306">
        <f>IF(Q31-参数输入表!$I$14&gt;0,0)</f>
        <v>0</v>
      </c>
      <c r="R43" s="306">
        <f>IF(R31-参数输入表!$I$14&gt;0,0)</f>
        <v>0</v>
      </c>
      <c r="S43" s="306">
        <f>IF(S31-参数输入表!$I$14&gt;0,0)</f>
        <v>0</v>
      </c>
      <c r="T43" s="306">
        <f>IF(T31-参数输入表!$I$14&gt;0,0)</f>
        <v>0</v>
      </c>
      <c r="U43" s="306">
        <f>IF(U31-参数输入表!$I$14&gt;0,0)</f>
        <v>0</v>
      </c>
      <c r="V43" s="306">
        <f>IF(V31-参数输入表!$I$14&gt;0,0)</f>
        <v>0</v>
      </c>
      <c r="W43" s="306">
        <f>IF(W31-参数输入表!$I$14&gt;0,0)</f>
        <v>0</v>
      </c>
      <c r="X43" s="306">
        <f>IF(X31-参数输入表!$I$14&gt;0,0)</f>
        <v>0</v>
      </c>
      <c r="Y43" s="306">
        <f>IF(Y31-参数输入表!$I$14&gt;0,0)</f>
        <v>0</v>
      </c>
      <c r="Z43" s="306">
        <f>IF(Z31-参数输入表!$I$14&gt;0,0)</f>
        <v>0</v>
      </c>
      <c r="AA43" s="306">
        <f>IF(AA31-参数输入表!$I$14&gt;0,0)</f>
        <v>0</v>
      </c>
      <c r="AB43" s="306">
        <f>IF(AB31-参数输入表!$I$14&gt;0,0)</f>
        <v>0</v>
      </c>
      <c r="AC43" s="306">
        <f>IF(AC31-参数输入表!$I$14&gt;0,0)</f>
        <v>0</v>
      </c>
      <c r="AD43" s="306">
        <f>IF(AD31-参数输入表!$I$14&gt;0,0)</f>
        <v>0</v>
      </c>
      <c r="AE43" s="306">
        <f>IF(AE31-参数输入表!$I$14&gt;0,0)</f>
        <v>0</v>
      </c>
      <c r="AF43" s="306">
        <f>IF(AF31-参数输入表!$I$14&gt;0,0)</f>
        <v>0</v>
      </c>
    </row>
    <row r="44" spans="2:32">
      <c r="B44" s="15">
        <v>3.2</v>
      </c>
      <c r="C44" s="299" t="s">
        <v>682</v>
      </c>
      <c r="D44" s="39">
        <f ca="1" t="shared" si="26"/>
        <v>165.137614678899</v>
      </c>
      <c r="E44" s="18" t="s">
        <v>24</v>
      </c>
      <c r="F44" s="39"/>
      <c r="G44" s="39"/>
      <c r="H44" s="39"/>
      <c r="I44" s="39"/>
      <c r="J44" s="39">
        <f t="shared" ref="J44:AF44" si="28">J45+J53+J54+J57</f>
        <v>0</v>
      </c>
      <c r="K44" s="39">
        <f t="shared" si="28"/>
        <v>0</v>
      </c>
      <c r="L44" s="39">
        <f t="shared" si="28"/>
        <v>0</v>
      </c>
      <c r="M44" s="39">
        <f t="shared" si="28"/>
        <v>41.2844036697248</v>
      </c>
      <c r="N44" s="39">
        <f t="shared" si="28"/>
        <v>0</v>
      </c>
      <c r="O44" s="39">
        <f t="shared" si="28"/>
        <v>0</v>
      </c>
      <c r="P44" s="39">
        <f t="shared" si="28"/>
        <v>0</v>
      </c>
      <c r="Q44" s="39">
        <f t="shared" si="28"/>
        <v>0</v>
      </c>
      <c r="R44" s="39">
        <f t="shared" si="28"/>
        <v>41.2844036697248</v>
      </c>
      <c r="S44" s="39">
        <f t="shared" si="28"/>
        <v>0</v>
      </c>
      <c r="T44" s="39">
        <f t="shared" si="28"/>
        <v>0</v>
      </c>
      <c r="U44" s="39">
        <f t="shared" si="28"/>
        <v>0</v>
      </c>
      <c r="V44" s="39">
        <f t="shared" si="28"/>
        <v>0</v>
      </c>
      <c r="W44" s="39">
        <f t="shared" si="28"/>
        <v>41.2844036697248</v>
      </c>
      <c r="X44" s="39">
        <f t="shared" si="28"/>
        <v>0</v>
      </c>
      <c r="Y44" s="39">
        <f t="shared" si="28"/>
        <v>0</v>
      </c>
      <c r="Z44" s="39">
        <f t="shared" si="28"/>
        <v>0</v>
      </c>
      <c r="AA44" s="39">
        <f t="shared" si="28"/>
        <v>0</v>
      </c>
      <c r="AB44" s="39">
        <f t="shared" si="28"/>
        <v>41.2844036697248</v>
      </c>
      <c r="AC44" s="39">
        <f t="shared" si="28"/>
        <v>0</v>
      </c>
      <c r="AD44" s="39">
        <f t="shared" si="28"/>
        <v>0</v>
      </c>
      <c r="AE44" s="39">
        <f t="shared" si="28"/>
        <v>0</v>
      </c>
      <c r="AF44" s="39">
        <f ca="1" t="shared" si="28"/>
        <v>0</v>
      </c>
    </row>
    <row r="45" spans="2:32">
      <c r="B45" s="20" t="s">
        <v>683</v>
      </c>
      <c r="C45" s="30" t="s">
        <v>684</v>
      </c>
      <c r="D45" s="34">
        <f t="shared" si="26"/>
        <v>165.137614678899</v>
      </c>
      <c r="E45" s="18" t="s">
        <v>24</v>
      </c>
      <c r="F45" s="34"/>
      <c r="G45" s="34"/>
      <c r="H45" s="34"/>
      <c r="I45" s="34"/>
      <c r="J45" s="34">
        <f t="shared" ref="J45:AF45" si="29">SUM(J46:J52)</f>
        <v>0</v>
      </c>
      <c r="K45" s="34">
        <f t="shared" si="29"/>
        <v>0</v>
      </c>
      <c r="L45" s="34">
        <f t="shared" si="29"/>
        <v>0</v>
      </c>
      <c r="M45" s="34">
        <f t="shared" si="29"/>
        <v>41.2844036697248</v>
      </c>
      <c r="N45" s="34">
        <f t="shared" si="29"/>
        <v>0</v>
      </c>
      <c r="O45" s="34">
        <f t="shared" si="29"/>
        <v>0</v>
      </c>
      <c r="P45" s="34">
        <f t="shared" si="29"/>
        <v>0</v>
      </c>
      <c r="Q45" s="34">
        <f t="shared" si="29"/>
        <v>0</v>
      </c>
      <c r="R45" s="34">
        <f t="shared" si="29"/>
        <v>41.2844036697248</v>
      </c>
      <c r="S45" s="34">
        <f t="shared" si="29"/>
        <v>0</v>
      </c>
      <c r="T45" s="34">
        <f t="shared" si="29"/>
        <v>0</v>
      </c>
      <c r="U45" s="34">
        <f t="shared" si="29"/>
        <v>0</v>
      </c>
      <c r="V45" s="34">
        <f t="shared" si="29"/>
        <v>0</v>
      </c>
      <c r="W45" s="34">
        <f t="shared" si="29"/>
        <v>41.2844036697248</v>
      </c>
      <c r="X45" s="34">
        <f t="shared" si="29"/>
        <v>0</v>
      </c>
      <c r="Y45" s="34">
        <f t="shared" si="29"/>
        <v>0</v>
      </c>
      <c r="Z45" s="34">
        <f t="shared" si="29"/>
        <v>0</v>
      </c>
      <c r="AA45" s="34">
        <f t="shared" si="29"/>
        <v>0</v>
      </c>
      <c r="AB45" s="34">
        <f t="shared" si="29"/>
        <v>41.2844036697248</v>
      </c>
      <c r="AC45" s="34">
        <f t="shared" si="29"/>
        <v>0</v>
      </c>
      <c r="AD45" s="34">
        <f t="shared" si="29"/>
        <v>0</v>
      </c>
      <c r="AE45" s="34">
        <f t="shared" si="29"/>
        <v>0</v>
      </c>
      <c r="AF45" s="34">
        <f t="shared" si="29"/>
        <v>0</v>
      </c>
    </row>
    <row r="46" spans="2:32">
      <c r="B46" s="20"/>
      <c r="C46" s="287" t="s">
        <v>609</v>
      </c>
      <c r="D46" s="34">
        <f t="shared" si="26"/>
        <v>0</v>
      </c>
      <c r="E46" s="18" t="s">
        <v>24</v>
      </c>
      <c r="F46" s="34"/>
      <c r="G46" s="34"/>
      <c r="H46" s="34"/>
      <c r="I46" s="34"/>
      <c r="J46" s="34">
        <f>'表3-成本费用表'!J55/(1+参数输入表!$I$318)*参数输入表!$I$318</f>
        <v>0</v>
      </c>
      <c r="K46" s="34">
        <f>'表3-成本费用表'!K55/(1+参数输入表!$I$318)*参数输入表!$I$318</f>
        <v>0</v>
      </c>
      <c r="L46" s="34">
        <f>'表3-成本费用表'!L55/(1+参数输入表!$I$318)*参数输入表!$I$318</f>
        <v>0</v>
      </c>
      <c r="M46" s="34">
        <f>'表3-成本费用表'!M55/(1+参数输入表!$I$318)*参数输入表!$I$318</f>
        <v>0</v>
      </c>
      <c r="N46" s="34">
        <f>'表3-成本费用表'!N55/(1+参数输入表!$I$318)*参数输入表!$I$318</f>
        <v>0</v>
      </c>
      <c r="O46" s="34">
        <f>'表3-成本费用表'!O55/(1+参数输入表!$I$318)*参数输入表!$I$318</f>
        <v>0</v>
      </c>
      <c r="P46" s="34">
        <f>'表3-成本费用表'!P55/(1+参数输入表!$I$318)*参数输入表!$I$318</f>
        <v>0</v>
      </c>
      <c r="Q46" s="34">
        <f>'表3-成本费用表'!Q55/(1+参数输入表!$I$318)*参数输入表!$I$318</f>
        <v>0</v>
      </c>
      <c r="R46" s="34">
        <f>'表3-成本费用表'!R55/(1+参数输入表!$I$318)*参数输入表!$I$318</f>
        <v>0</v>
      </c>
      <c r="S46" s="34">
        <f>'表3-成本费用表'!S55/(1+参数输入表!$I$318)*参数输入表!$I$318</f>
        <v>0</v>
      </c>
      <c r="T46" s="34">
        <f>'表3-成本费用表'!T55/(1+参数输入表!$I$318)*参数输入表!$I$318</f>
        <v>0</v>
      </c>
      <c r="U46" s="34">
        <f>'表3-成本费用表'!U55/(1+参数输入表!$I$318)*参数输入表!$I$318</f>
        <v>0</v>
      </c>
      <c r="V46" s="34">
        <f>'表3-成本费用表'!V55/(1+参数输入表!$I$318)*参数输入表!$I$318</f>
        <v>0</v>
      </c>
      <c r="W46" s="34">
        <f>'表3-成本费用表'!W55/(1+参数输入表!$I$318)*参数输入表!$I$318</f>
        <v>0</v>
      </c>
      <c r="X46" s="34">
        <f>'表3-成本费用表'!X55/(1+参数输入表!$I$318)*参数输入表!$I$318</f>
        <v>0</v>
      </c>
      <c r="Y46" s="34">
        <f>'表3-成本费用表'!Y55/(1+参数输入表!$I$318)*参数输入表!$I$318</f>
        <v>0</v>
      </c>
      <c r="Z46" s="34">
        <f>'表3-成本费用表'!Z55/(1+参数输入表!$I$318)*参数输入表!$I$318</f>
        <v>0</v>
      </c>
      <c r="AA46" s="34">
        <f>'表3-成本费用表'!AA55/(1+参数输入表!$I$318)*参数输入表!$I$318</f>
        <v>0</v>
      </c>
      <c r="AB46" s="34">
        <f>'表3-成本费用表'!AB55/(1+参数输入表!$I$318)*参数输入表!$I$318</f>
        <v>0</v>
      </c>
      <c r="AC46" s="34">
        <f>'表3-成本费用表'!AC55/(1+参数输入表!$I$318)*参数输入表!$I$318</f>
        <v>0</v>
      </c>
      <c r="AD46" s="34">
        <f>'表3-成本费用表'!AD55/(1+参数输入表!$I$318)*参数输入表!$I$318</f>
        <v>0</v>
      </c>
      <c r="AE46" s="34">
        <f>'表3-成本费用表'!AE55/(1+参数输入表!$I$318)*参数输入表!$I$318</f>
        <v>0</v>
      </c>
      <c r="AF46" s="34">
        <f>'表3-成本费用表'!AF55/(1+参数输入表!$I$318)*参数输入表!$I$318</f>
        <v>0</v>
      </c>
    </row>
    <row r="47" spans="2:32">
      <c r="B47" s="20"/>
      <c r="C47" s="287" t="s">
        <v>611</v>
      </c>
      <c r="D47" s="34">
        <f t="shared" si="26"/>
        <v>0</v>
      </c>
      <c r="E47" s="18" t="s">
        <v>24</v>
      </c>
      <c r="F47" s="34"/>
      <c r="G47" s="34"/>
      <c r="H47" s="34"/>
      <c r="I47" s="34"/>
      <c r="J47" s="34">
        <f>'表3-成本费用表'!J56/(1+参数输入表!$I$349)*参数输入表!$I$349</f>
        <v>0</v>
      </c>
      <c r="K47" s="34">
        <f>'表3-成本费用表'!K56/(1+参数输入表!$I$349)*参数输入表!$I$349</f>
        <v>0</v>
      </c>
      <c r="L47" s="34">
        <f>'表3-成本费用表'!L56/(1+参数输入表!$I$349)*参数输入表!$I$349</f>
        <v>0</v>
      </c>
      <c r="M47" s="34">
        <f>'表3-成本费用表'!M56/(1+参数输入表!$I$349)*参数输入表!$I$349</f>
        <v>0</v>
      </c>
      <c r="N47" s="34">
        <f>'表3-成本费用表'!N56/(1+参数输入表!$I$349)*参数输入表!$I$349</f>
        <v>0</v>
      </c>
      <c r="O47" s="34">
        <f>'表3-成本费用表'!O56/(1+参数输入表!$I$349)*参数输入表!$I$349</f>
        <v>0</v>
      </c>
      <c r="P47" s="34">
        <f>'表3-成本费用表'!P56/(1+参数输入表!$I$349)*参数输入表!$I$349</f>
        <v>0</v>
      </c>
      <c r="Q47" s="34">
        <f>'表3-成本费用表'!Q56/(1+参数输入表!$I$349)*参数输入表!$I$349</f>
        <v>0</v>
      </c>
      <c r="R47" s="34">
        <f>'表3-成本费用表'!R56/(1+参数输入表!$I$349)*参数输入表!$I$349</f>
        <v>0</v>
      </c>
      <c r="S47" s="34">
        <f>'表3-成本费用表'!S56/(1+参数输入表!$I$349)*参数输入表!$I$349</f>
        <v>0</v>
      </c>
      <c r="T47" s="34">
        <f>'表3-成本费用表'!T56/(1+参数输入表!$I$349)*参数输入表!$I$349</f>
        <v>0</v>
      </c>
      <c r="U47" s="34">
        <f>'表3-成本费用表'!U56/(1+参数输入表!$I$349)*参数输入表!$I$349</f>
        <v>0</v>
      </c>
      <c r="V47" s="34">
        <f>'表3-成本费用表'!V56/(1+参数输入表!$I$349)*参数输入表!$I$349</f>
        <v>0</v>
      </c>
      <c r="W47" s="34">
        <f>'表3-成本费用表'!W56/(1+参数输入表!$I$349)*参数输入表!$I$349</f>
        <v>0</v>
      </c>
      <c r="X47" s="34">
        <f>'表3-成本费用表'!X56/(1+参数输入表!$I$349)*参数输入表!$I$349</f>
        <v>0</v>
      </c>
      <c r="Y47" s="34">
        <f>'表3-成本费用表'!Y56/(1+参数输入表!$I$349)*参数输入表!$I$349</f>
        <v>0</v>
      </c>
      <c r="Z47" s="34">
        <f>'表3-成本费用表'!Z56/(1+参数输入表!$I$349)*参数输入表!$I$349</f>
        <v>0</v>
      </c>
      <c r="AA47" s="34">
        <f>'表3-成本费用表'!AA56/(1+参数输入表!$I$349)*参数输入表!$I$349</f>
        <v>0</v>
      </c>
      <c r="AB47" s="34">
        <f>'表3-成本费用表'!AB56/(1+参数输入表!$I$349)*参数输入表!$I$349</f>
        <v>0</v>
      </c>
      <c r="AC47" s="34">
        <f>'表3-成本费用表'!AC56/(1+参数输入表!$I$349)*参数输入表!$I$349</f>
        <v>0</v>
      </c>
      <c r="AD47" s="34">
        <f>'表3-成本费用表'!AD56/(1+参数输入表!$I$349)*参数输入表!$I$349</f>
        <v>0</v>
      </c>
      <c r="AE47" s="34">
        <f>'表3-成本费用表'!AE56/(1+参数输入表!$I$349)*参数输入表!$I$349</f>
        <v>0</v>
      </c>
      <c r="AF47" s="34">
        <f>'表3-成本费用表'!AF56/(1+参数输入表!$I$349)*参数输入表!$I$349</f>
        <v>0</v>
      </c>
    </row>
    <row r="48" spans="2:32">
      <c r="B48" s="20"/>
      <c r="C48" s="287" t="s">
        <v>613</v>
      </c>
      <c r="D48" s="34">
        <f t="shared" si="26"/>
        <v>0</v>
      </c>
      <c r="E48" s="18" t="s">
        <v>24</v>
      </c>
      <c r="F48" s="34"/>
      <c r="G48" s="34"/>
      <c r="H48" s="34"/>
      <c r="I48" s="34"/>
      <c r="J48" s="34">
        <f>'表3-成本费用表'!J57/(1+参数输入表!$I$390)*参数输入表!$I$390</f>
        <v>0</v>
      </c>
      <c r="K48" s="34">
        <f>'表3-成本费用表'!K57/(1+参数输入表!$I$390)*参数输入表!$I$390</f>
        <v>0</v>
      </c>
      <c r="L48" s="34">
        <f>'表3-成本费用表'!L57/(1+参数输入表!$I$390)*参数输入表!$I$390</f>
        <v>0</v>
      </c>
      <c r="M48" s="34">
        <f>'表3-成本费用表'!M57/(1+参数输入表!$I$390)*参数输入表!$I$390</f>
        <v>0</v>
      </c>
      <c r="N48" s="34">
        <f>'表3-成本费用表'!N57/(1+参数输入表!$I$390)*参数输入表!$I$390</f>
        <v>0</v>
      </c>
      <c r="O48" s="34">
        <f>'表3-成本费用表'!O57/(1+参数输入表!$I$390)*参数输入表!$I$390</f>
        <v>0</v>
      </c>
      <c r="P48" s="34">
        <f>'表3-成本费用表'!P57/(1+参数输入表!$I$390)*参数输入表!$I$390</f>
        <v>0</v>
      </c>
      <c r="Q48" s="34">
        <f>'表3-成本费用表'!Q57/(1+参数输入表!$I$390)*参数输入表!$I$390</f>
        <v>0</v>
      </c>
      <c r="R48" s="34">
        <f>'表3-成本费用表'!R57/(1+参数输入表!$I$390)*参数输入表!$I$390</f>
        <v>0</v>
      </c>
      <c r="S48" s="34">
        <f>'表3-成本费用表'!S57/(1+参数输入表!$I$390)*参数输入表!$I$390</f>
        <v>0</v>
      </c>
      <c r="T48" s="34">
        <f>'表3-成本费用表'!T57/(1+参数输入表!$I$390)*参数输入表!$I$390</f>
        <v>0</v>
      </c>
      <c r="U48" s="34">
        <f>'表3-成本费用表'!U57/(1+参数输入表!$I$390)*参数输入表!$I$390</f>
        <v>0</v>
      </c>
      <c r="V48" s="34">
        <f>'表3-成本费用表'!V57/(1+参数输入表!$I$390)*参数输入表!$I$390</f>
        <v>0</v>
      </c>
      <c r="W48" s="34">
        <f>'表3-成本费用表'!W57/(1+参数输入表!$I$390)*参数输入表!$I$390</f>
        <v>0</v>
      </c>
      <c r="X48" s="34">
        <f>'表3-成本费用表'!X57/(1+参数输入表!$I$390)*参数输入表!$I$390</f>
        <v>0</v>
      </c>
      <c r="Y48" s="34">
        <f>'表3-成本费用表'!Y57/(1+参数输入表!$I$390)*参数输入表!$I$390</f>
        <v>0</v>
      </c>
      <c r="Z48" s="34">
        <f>'表3-成本费用表'!Z57/(1+参数输入表!$I$390)*参数输入表!$I$390</f>
        <v>0</v>
      </c>
      <c r="AA48" s="34">
        <f>'表3-成本费用表'!AA57/(1+参数输入表!$I$390)*参数输入表!$I$390</f>
        <v>0</v>
      </c>
      <c r="AB48" s="34">
        <f>'表3-成本费用表'!AB57/(1+参数输入表!$I$390)*参数输入表!$I$390</f>
        <v>0</v>
      </c>
      <c r="AC48" s="34">
        <f>'表3-成本费用表'!AC57/(1+参数输入表!$I$390)*参数输入表!$I$390</f>
        <v>0</v>
      </c>
      <c r="AD48" s="34">
        <f>'表3-成本费用表'!AD57/(1+参数输入表!$I$390)*参数输入表!$I$390</f>
        <v>0</v>
      </c>
      <c r="AE48" s="34">
        <f>'表3-成本费用表'!AE57/(1+参数输入表!$I$390)*参数输入表!$I$390</f>
        <v>0</v>
      </c>
      <c r="AF48" s="34">
        <f>'表3-成本费用表'!AF57/(1+参数输入表!$I$390)*参数输入表!$I$390</f>
        <v>0</v>
      </c>
    </row>
    <row r="49" spans="2:32">
      <c r="B49" s="20"/>
      <c r="C49" s="287" t="s">
        <v>685</v>
      </c>
      <c r="D49" s="34">
        <f t="shared" si="26"/>
        <v>165.137614678899</v>
      </c>
      <c r="E49" s="18" t="s">
        <v>24</v>
      </c>
      <c r="F49" s="34"/>
      <c r="G49" s="34"/>
      <c r="H49" s="34"/>
      <c r="I49" s="34"/>
      <c r="J49" s="34">
        <f>'表3-成本费用表'!J58/(1+参数输入表!$I$488)*参数输入表!$I$488</f>
        <v>0</v>
      </c>
      <c r="K49" s="34">
        <f>'表3-成本费用表'!K58/(1+参数输入表!$I$488)*参数输入表!$I$488</f>
        <v>0</v>
      </c>
      <c r="L49" s="34">
        <f>'表3-成本费用表'!L58/(1+参数输入表!$I$488)*参数输入表!$I$488</f>
        <v>0</v>
      </c>
      <c r="M49" s="34">
        <f>'表3-成本费用表'!M58/(1+参数输入表!$I$488)*参数输入表!$I$488</f>
        <v>41.2844036697248</v>
      </c>
      <c r="N49" s="34">
        <f>'表3-成本费用表'!N58/(1+参数输入表!$I$488)*参数输入表!$I$488</f>
        <v>0</v>
      </c>
      <c r="O49" s="34">
        <f>'表3-成本费用表'!O58/(1+参数输入表!$I$488)*参数输入表!$I$488</f>
        <v>0</v>
      </c>
      <c r="P49" s="34">
        <f>'表3-成本费用表'!P58/(1+参数输入表!$I$488)*参数输入表!$I$488</f>
        <v>0</v>
      </c>
      <c r="Q49" s="34">
        <f>'表3-成本费用表'!Q58/(1+参数输入表!$I$488)*参数输入表!$I$488</f>
        <v>0</v>
      </c>
      <c r="R49" s="34">
        <f>'表3-成本费用表'!R58/(1+参数输入表!$I$488)*参数输入表!$I$488</f>
        <v>41.2844036697248</v>
      </c>
      <c r="S49" s="34">
        <f>'表3-成本费用表'!S58/(1+参数输入表!$I$488)*参数输入表!$I$488</f>
        <v>0</v>
      </c>
      <c r="T49" s="34">
        <f>'表3-成本费用表'!T58/(1+参数输入表!$I$488)*参数输入表!$I$488</f>
        <v>0</v>
      </c>
      <c r="U49" s="34">
        <f>'表3-成本费用表'!U58/(1+参数输入表!$I$488)*参数输入表!$I$488</f>
        <v>0</v>
      </c>
      <c r="V49" s="34">
        <f>'表3-成本费用表'!V58/(1+参数输入表!$I$488)*参数输入表!$I$488</f>
        <v>0</v>
      </c>
      <c r="W49" s="34">
        <f>'表3-成本费用表'!W58/(1+参数输入表!$I$488)*参数输入表!$I$488</f>
        <v>41.2844036697248</v>
      </c>
      <c r="X49" s="34">
        <f>'表3-成本费用表'!X58/(1+参数输入表!$I$488)*参数输入表!$I$488</f>
        <v>0</v>
      </c>
      <c r="Y49" s="34">
        <f>'表3-成本费用表'!Y58/(1+参数输入表!$I$488)*参数输入表!$I$488</f>
        <v>0</v>
      </c>
      <c r="Z49" s="34">
        <f>'表3-成本费用表'!Z58/(1+参数输入表!$I$488)*参数输入表!$I$488</f>
        <v>0</v>
      </c>
      <c r="AA49" s="34">
        <f>'表3-成本费用表'!AA58/(1+参数输入表!$I$488)*参数输入表!$I$488</f>
        <v>0</v>
      </c>
      <c r="AB49" s="34">
        <f>'表3-成本费用表'!AB58/(1+参数输入表!$I$488)*参数输入表!$I$488</f>
        <v>41.2844036697248</v>
      </c>
      <c r="AC49" s="34">
        <f>'表3-成本费用表'!AC58/(1+参数输入表!$I$488)*参数输入表!$I$488</f>
        <v>0</v>
      </c>
      <c r="AD49" s="34">
        <f>'表3-成本费用表'!AD58/(1+参数输入表!$I$488)*参数输入表!$I$488</f>
        <v>0</v>
      </c>
      <c r="AE49" s="34">
        <f>'表3-成本费用表'!AE58/(1+参数输入表!$I$488)*参数输入表!$I$488</f>
        <v>0</v>
      </c>
      <c r="AF49" s="34">
        <f>'表3-成本费用表'!AF58/(1+参数输入表!$I$488)*参数输入表!$I$488</f>
        <v>0</v>
      </c>
    </row>
    <row r="50" spans="2:32">
      <c r="B50" s="20"/>
      <c r="C50" s="287" t="s">
        <v>26</v>
      </c>
      <c r="D50" s="34">
        <f t="shared" si="26"/>
        <v>0</v>
      </c>
      <c r="E50" s="18" t="s">
        <v>24</v>
      </c>
      <c r="F50" s="34"/>
      <c r="G50" s="34"/>
      <c r="H50" s="34"/>
      <c r="I50" s="34"/>
      <c r="J50" s="34">
        <f>'表3-成本费用表'!J59/(1+参数输入表!$I$394)*参数输入表!$I$394</f>
        <v>0</v>
      </c>
      <c r="K50" s="34">
        <f>'表3-成本费用表'!K59/(1+参数输入表!$I$394)*参数输入表!$I$394</f>
        <v>0</v>
      </c>
      <c r="L50" s="34">
        <f>'表3-成本费用表'!L59/(1+参数输入表!$I$394)*参数输入表!$I$394</f>
        <v>0</v>
      </c>
      <c r="M50" s="34">
        <f>'表3-成本费用表'!M59/(1+参数输入表!$I$394)*参数输入表!$I$394</f>
        <v>0</v>
      </c>
      <c r="N50" s="34">
        <f>'表3-成本费用表'!N59/(1+参数输入表!$I$394)*参数输入表!$I$394</f>
        <v>0</v>
      </c>
      <c r="O50" s="34">
        <f>'表3-成本费用表'!O59/(1+参数输入表!$I$394)*参数输入表!$I$394</f>
        <v>0</v>
      </c>
      <c r="P50" s="34">
        <f>'表3-成本费用表'!P59/(1+参数输入表!$I$394)*参数输入表!$I$394</f>
        <v>0</v>
      </c>
      <c r="Q50" s="34">
        <f>'表3-成本费用表'!Q59/(1+参数输入表!$I$394)*参数输入表!$I$394</f>
        <v>0</v>
      </c>
      <c r="R50" s="34">
        <f>'表3-成本费用表'!R59/(1+参数输入表!$I$394)*参数输入表!$I$394</f>
        <v>0</v>
      </c>
      <c r="S50" s="34">
        <f>'表3-成本费用表'!S59/(1+参数输入表!$I$394)*参数输入表!$I$394</f>
        <v>0</v>
      </c>
      <c r="T50" s="34">
        <f>'表3-成本费用表'!T59/(1+参数输入表!$I$394)*参数输入表!$I$394</f>
        <v>0</v>
      </c>
      <c r="U50" s="34">
        <f>'表3-成本费用表'!U59/(1+参数输入表!$I$394)*参数输入表!$I$394</f>
        <v>0</v>
      </c>
      <c r="V50" s="34">
        <f>'表3-成本费用表'!V59/(1+参数输入表!$I$394)*参数输入表!$I$394</f>
        <v>0</v>
      </c>
      <c r="W50" s="34">
        <f>'表3-成本费用表'!W59/(1+参数输入表!$I$394)*参数输入表!$I$394</f>
        <v>0</v>
      </c>
      <c r="X50" s="34">
        <f>'表3-成本费用表'!X59/(1+参数输入表!$I$394)*参数输入表!$I$394</f>
        <v>0</v>
      </c>
      <c r="Y50" s="34">
        <f>'表3-成本费用表'!Y59/(1+参数输入表!$I$394)*参数输入表!$I$394</f>
        <v>0</v>
      </c>
      <c r="Z50" s="34">
        <f>'表3-成本费用表'!Z59/(1+参数输入表!$I$394)*参数输入表!$I$394</f>
        <v>0</v>
      </c>
      <c r="AA50" s="34">
        <f>'表3-成本费用表'!AA59/(1+参数输入表!$I$394)*参数输入表!$I$394</f>
        <v>0</v>
      </c>
      <c r="AB50" s="34">
        <f>'表3-成本费用表'!AB59/(1+参数输入表!$I$394)*参数输入表!$I$394</f>
        <v>0</v>
      </c>
      <c r="AC50" s="34">
        <f>'表3-成本费用表'!AC59/(1+参数输入表!$I$394)*参数输入表!$I$394</f>
        <v>0</v>
      </c>
      <c r="AD50" s="34">
        <f>'表3-成本费用表'!AD59/(1+参数输入表!$I$394)*参数输入表!$I$394</f>
        <v>0</v>
      </c>
      <c r="AE50" s="34">
        <f>'表3-成本费用表'!AE59/(1+参数输入表!$I$394)*参数输入表!$I$394</f>
        <v>0</v>
      </c>
      <c r="AF50" s="34">
        <f>'表3-成本费用表'!AF59/(1+参数输入表!$I$394)*参数输入表!$I$394</f>
        <v>0</v>
      </c>
    </row>
    <row r="51" spans="2:32">
      <c r="B51" s="20"/>
      <c r="C51" s="287" t="s">
        <v>284</v>
      </c>
      <c r="D51" s="34">
        <f t="shared" ref="D51:D60" si="30">SUM(F51:AF51)</f>
        <v>0</v>
      </c>
      <c r="E51" s="18" t="s">
        <v>24</v>
      </c>
      <c r="F51" s="34"/>
      <c r="G51" s="34"/>
      <c r="H51" s="34"/>
      <c r="I51" s="34"/>
      <c r="J51" s="34">
        <f>'表3-成本费用表'!J60/(1+参数输入表!$I$398)*参数输入表!$I$398</f>
        <v>0</v>
      </c>
      <c r="K51" s="34">
        <f>'表3-成本费用表'!K60/(1+参数输入表!$I$398)*参数输入表!$I$398</f>
        <v>0</v>
      </c>
      <c r="L51" s="34">
        <f>'表3-成本费用表'!L60/(1+参数输入表!$I$398)*参数输入表!$I$398</f>
        <v>0</v>
      </c>
      <c r="M51" s="34">
        <f>'表3-成本费用表'!M60/(1+参数输入表!$I$398)*参数输入表!$I$398</f>
        <v>0</v>
      </c>
      <c r="N51" s="34">
        <f>'表3-成本费用表'!N60/(1+参数输入表!$I$398)*参数输入表!$I$398</f>
        <v>0</v>
      </c>
      <c r="O51" s="34">
        <f>'表3-成本费用表'!O60/(1+参数输入表!$I$398)*参数输入表!$I$398</f>
        <v>0</v>
      </c>
      <c r="P51" s="34">
        <f>'表3-成本费用表'!P60/(1+参数输入表!$I$398)*参数输入表!$I$398</f>
        <v>0</v>
      </c>
      <c r="Q51" s="34">
        <f>'表3-成本费用表'!Q60/(1+参数输入表!$I$398)*参数输入表!$I$398</f>
        <v>0</v>
      </c>
      <c r="R51" s="34">
        <f>'表3-成本费用表'!R60/(1+参数输入表!$I$398)*参数输入表!$I$398</f>
        <v>0</v>
      </c>
      <c r="S51" s="34">
        <f>'表3-成本费用表'!S60/(1+参数输入表!$I$398)*参数输入表!$I$398</f>
        <v>0</v>
      </c>
      <c r="T51" s="34">
        <f>'表3-成本费用表'!T60/(1+参数输入表!$I$398)*参数输入表!$I$398</f>
        <v>0</v>
      </c>
      <c r="U51" s="34">
        <f>'表3-成本费用表'!U60/(1+参数输入表!$I$398)*参数输入表!$I$398</f>
        <v>0</v>
      </c>
      <c r="V51" s="34">
        <f>'表3-成本费用表'!V60/(1+参数输入表!$I$398)*参数输入表!$I$398</f>
        <v>0</v>
      </c>
      <c r="W51" s="34">
        <f>'表3-成本费用表'!W60/(1+参数输入表!$I$398)*参数输入表!$I$398</f>
        <v>0</v>
      </c>
      <c r="X51" s="34">
        <f>'表3-成本费用表'!X60/(1+参数输入表!$I$398)*参数输入表!$I$398</f>
        <v>0</v>
      </c>
      <c r="Y51" s="34">
        <f>'表3-成本费用表'!Y60/(1+参数输入表!$I$398)*参数输入表!$I$398</f>
        <v>0</v>
      </c>
      <c r="Z51" s="34">
        <f>'表3-成本费用表'!Z60/(1+参数输入表!$I$398)*参数输入表!$I$398</f>
        <v>0</v>
      </c>
      <c r="AA51" s="34">
        <f>'表3-成本费用表'!AA60/(1+参数输入表!$I$398)*参数输入表!$I$398</f>
        <v>0</v>
      </c>
      <c r="AB51" s="34">
        <f>'表3-成本费用表'!AB60/(1+参数输入表!$I$398)*参数输入表!$I$398</f>
        <v>0</v>
      </c>
      <c r="AC51" s="34">
        <f>'表3-成本费用表'!AC60/(1+参数输入表!$I$398)*参数输入表!$I$398</f>
        <v>0</v>
      </c>
      <c r="AD51" s="34">
        <f>'表3-成本费用表'!AD60/(1+参数输入表!$I$398)*参数输入表!$I$398</f>
        <v>0</v>
      </c>
      <c r="AE51" s="34">
        <f>'表3-成本费用表'!AE60/(1+参数输入表!$I$398)*参数输入表!$I$398</f>
        <v>0</v>
      </c>
      <c r="AF51" s="34">
        <f>'表3-成本费用表'!AF60/(1+参数输入表!$I$398)*参数输入表!$I$398</f>
        <v>0</v>
      </c>
    </row>
    <row r="52" spans="2:32">
      <c r="B52" s="20"/>
      <c r="C52" s="287" t="s">
        <v>288</v>
      </c>
      <c r="D52" s="34">
        <f t="shared" si="30"/>
        <v>0</v>
      </c>
      <c r="E52" s="18" t="s">
        <v>24</v>
      </c>
      <c r="F52" s="34"/>
      <c r="G52" s="34"/>
      <c r="H52" s="34"/>
      <c r="I52" s="34"/>
      <c r="J52" s="34">
        <f>'表3-成本费用表'!J61/(1+参数输入表!$I$429)*参数输入表!$I$429</f>
        <v>0</v>
      </c>
      <c r="K52" s="34">
        <f>'表3-成本费用表'!K61/(1+参数输入表!$I$429)*参数输入表!$I$429</f>
        <v>0</v>
      </c>
      <c r="L52" s="34">
        <f>'表3-成本费用表'!L61/(1+参数输入表!$I$429)*参数输入表!$I$429</f>
        <v>0</v>
      </c>
      <c r="M52" s="34">
        <f>'表3-成本费用表'!M61/(1+参数输入表!$I$429)*参数输入表!$I$429</f>
        <v>0</v>
      </c>
      <c r="N52" s="34">
        <f>'表3-成本费用表'!N61/(1+参数输入表!$I$429)*参数输入表!$I$429</f>
        <v>0</v>
      </c>
      <c r="O52" s="34">
        <f>'表3-成本费用表'!O61/(1+参数输入表!$I$429)*参数输入表!$I$429</f>
        <v>0</v>
      </c>
      <c r="P52" s="34">
        <f>'表3-成本费用表'!P61/(1+参数输入表!$I$429)*参数输入表!$I$429</f>
        <v>0</v>
      </c>
      <c r="Q52" s="34">
        <f>'表3-成本费用表'!Q61/(1+参数输入表!$I$429)*参数输入表!$I$429</f>
        <v>0</v>
      </c>
      <c r="R52" s="34">
        <f>'表3-成本费用表'!R61/(1+参数输入表!$I$429)*参数输入表!$I$429</f>
        <v>0</v>
      </c>
      <c r="S52" s="34">
        <f>'表3-成本费用表'!S61/(1+参数输入表!$I$429)*参数输入表!$I$429</f>
        <v>0</v>
      </c>
      <c r="T52" s="34">
        <f>'表3-成本费用表'!T61/(1+参数输入表!$I$429)*参数输入表!$I$429</f>
        <v>0</v>
      </c>
      <c r="U52" s="34">
        <f>'表3-成本费用表'!U61/(1+参数输入表!$I$429)*参数输入表!$I$429</f>
        <v>0</v>
      </c>
      <c r="V52" s="34">
        <f>'表3-成本费用表'!V61/(1+参数输入表!$I$429)*参数输入表!$I$429</f>
        <v>0</v>
      </c>
      <c r="W52" s="34">
        <f>'表3-成本费用表'!W61/(1+参数输入表!$I$429)*参数输入表!$I$429</f>
        <v>0</v>
      </c>
      <c r="X52" s="34">
        <f>'表3-成本费用表'!X61/(1+参数输入表!$I$429)*参数输入表!$I$429</f>
        <v>0</v>
      </c>
      <c r="Y52" s="34">
        <f>'表3-成本费用表'!Y61/(1+参数输入表!$I$429)*参数输入表!$I$429</f>
        <v>0</v>
      </c>
      <c r="Z52" s="34">
        <f>'表3-成本费用表'!Z61/(1+参数输入表!$I$429)*参数输入表!$I$429</f>
        <v>0</v>
      </c>
      <c r="AA52" s="34">
        <f>'表3-成本费用表'!AA61/(1+参数输入表!$I$429)*参数输入表!$I$429</f>
        <v>0</v>
      </c>
      <c r="AB52" s="34">
        <f>'表3-成本费用表'!AB61/(1+参数输入表!$I$429)*参数输入表!$I$429</f>
        <v>0</v>
      </c>
      <c r="AC52" s="34">
        <f>'表3-成本费用表'!AC61/(1+参数输入表!$I$429)*参数输入表!$I$429</f>
        <v>0</v>
      </c>
      <c r="AD52" s="34">
        <f>'表3-成本费用表'!AD61/(1+参数输入表!$I$429)*参数输入表!$I$429</f>
        <v>0</v>
      </c>
      <c r="AE52" s="34">
        <f>'表3-成本费用表'!AE61/(1+参数输入表!$I$429)*参数输入表!$I$429</f>
        <v>0</v>
      </c>
      <c r="AF52" s="34">
        <f>'表3-成本费用表'!AF61/(1+参数输入表!$I$429)*参数输入表!$I$429</f>
        <v>0</v>
      </c>
    </row>
    <row r="53" spans="2:32">
      <c r="B53" s="20" t="s">
        <v>686</v>
      </c>
      <c r="C53" s="30" t="s">
        <v>687</v>
      </c>
      <c r="D53" s="34">
        <f t="shared" si="30"/>
        <v>0</v>
      </c>
      <c r="E53" s="18" t="s">
        <v>24</v>
      </c>
      <c r="F53" s="34"/>
      <c r="G53" s="34"/>
      <c r="H53" s="34"/>
      <c r="I53" s="34"/>
      <c r="J53" s="34">
        <v>0</v>
      </c>
      <c r="K53" s="34">
        <v>0</v>
      </c>
      <c r="L53" s="34">
        <v>0</v>
      </c>
      <c r="M53" s="34">
        <v>0</v>
      </c>
      <c r="N53" s="34">
        <v>0</v>
      </c>
      <c r="O53" s="34">
        <v>0</v>
      </c>
      <c r="P53" s="34">
        <v>0</v>
      </c>
      <c r="Q53" s="34">
        <v>0</v>
      </c>
      <c r="R53" s="34">
        <v>0</v>
      </c>
      <c r="S53" s="34">
        <v>0</v>
      </c>
      <c r="T53" s="34">
        <v>0</v>
      </c>
      <c r="U53" s="34">
        <v>0</v>
      </c>
      <c r="V53" s="34">
        <v>0</v>
      </c>
      <c r="W53" s="34">
        <v>0</v>
      </c>
      <c r="X53" s="34">
        <v>0</v>
      </c>
      <c r="Y53" s="34">
        <v>0</v>
      </c>
      <c r="Z53" s="34">
        <v>0</v>
      </c>
      <c r="AA53" s="34">
        <v>0</v>
      </c>
      <c r="AB53" s="34">
        <v>0</v>
      </c>
      <c r="AC53" s="34">
        <v>0</v>
      </c>
      <c r="AD53" s="34">
        <v>0</v>
      </c>
      <c r="AE53" s="34">
        <v>0</v>
      </c>
      <c r="AF53" s="34">
        <v>0</v>
      </c>
    </row>
    <row r="54" spans="2:32">
      <c r="B54" s="20" t="s">
        <v>688</v>
      </c>
      <c r="C54" s="30" t="s">
        <v>689</v>
      </c>
      <c r="D54" s="34">
        <f ca="1" t="shared" si="30"/>
        <v>0</v>
      </c>
      <c r="E54" s="18" t="s">
        <v>24</v>
      </c>
      <c r="F54" s="34"/>
      <c r="G54" s="34"/>
      <c r="H54" s="34"/>
      <c r="I54" s="34"/>
      <c r="J54" s="34">
        <f t="shared" ref="J54:AF54" si="31">SUM(J55:J56)</f>
        <v>0</v>
      </c>
      <c r="K54" s="34">
        <f t="shared" si="31"/>
        <v>0</v>
      </c>
      <c r="L54" s="34">
        <f t="shared" si="31"/>
        <v>0</v>
      </c>
      <c r="M54" s="34">
        <f t="shared" si="31"/>
        <v>0</v>
      </c>
      <c r="N54" s="34">
        <f t="shared" si="31"/>
        <v>0</v>
      </c>
      <c r="O54" s="34">
        <f t="shared" si="31"/>
        <v>0</v>
      </c>
      <c r="P54" s="34">
        <f t="shared" si="31"/>
        <v>0</v>
      </c>
      <c r="Q54" s="34">
        <f t="shared" si="31"/>
        <v>0</v>
      </c>
      <c r="R54" s="34">
        <f t="shared" si="31"/>
        <v>0</v>
      </c>
      <c r="S54" s="34">
        <f t="shared" si="31"/>
        <v>0</v>
      </c>
      <c r="T54" s="34">
        <f t="shared" si="31"/>
        <v>0</v>
      </c>
      <c r="U54" s="34">
        <f t="shared" si="31"/>
        <v>0</v>
      </c>
      <c r="V54" s="34">
        <f t="shared" si="31"/>
        <v>0</v>
      </c>
      <c r="W54" s="34">
        <f t="shared" si="31"/>
        <v>0</v>
      </c>
      <c r="X54" s="34">
        <f t="shared" si="31"/>
        <v>0</v>
      </c>
      <c r="Y54" s="34">
        <f t="shared" si="31"/>
        <v>0</v>
      </c>
      <c r="Z54" s="34">
        <f t="shared" si="31"/>
        <v>0</v>
      </c>
      <c r="AA54" s="34">
        <f t="shared" si="31"/>
        <v>0</v>
      </c>
      <c r="AB54" s="34">
        <f t="shared" si="31"/>
        <v>0</v>
      </c>
      <c r="AC54" s="34">
        <f t="shared" si="31"/>
        <v>0</v>
      </c>
      <c r="AD54" s="34">
        <f t="shared" si="31"/>
        <v>0</v>
      </c>
      <c r="AE54" s="34">
        <f t="shared" si="31"/>
        <v>0</v>
      </c>
      <c r="AF54" s="34">
        <f ca="1" t="shared" si="31"/>
        <v>0</v>
      </c>
    </row>
    <row r="55" spans="2:32">
      <c r="B55" s="20"/>
      <c r="C55" s="287" t="s">
        <v>623</v>
      </c>
      <c r="D55" s="34">
        <f t="shared" si="30"/>
        <v>0</v>
      </c>
      <c r="E55" s="18" t="s">
        <v>24</v>
      </c>
      <c r="F55" s="34"/>
      <c r="G55" s="34"/>
      <c r="H55" s="34"/>
      <c r="I55" s="34"/>
      <c r="J55" s="34">
        <f>'表3-成本费用表'!J64/(1+参数输入表!$I$380)*参数输入表!$I$380</f>
        <v>0</v>
      </c>
      <c r="K55" s="34">
        <f>'表3-成本费用表'!K64/(1+参数输入表!$I$380)*参数输入表!$I$380</f>
        <v>0</v>
      </c>
      <c r="L55" s="34">
        <f>'表3-成本费用表'!L64/(1+参数输入表!$I$380)*参数输入表!$I$380</f>
        <v>0</v>
      </c>
      <c r="M55" s="34">
        <f>'表3-成本费用表'!M64/(1+参数输入表!$I$380)*参数输入表!$I$380</f>
        <v>0</v>
      </c>
      <c r="N55" s="34">
        <f>'表3-成本费用表'!N64/(1+参数输入表!$I$380)*参数输入表!$I$380</f>
        <v>0</v>
      </c>
      <c r="O55" s="34">
        <f>'表3-成本费用表'!O64/(1+参数输入表!$I$380)*参数输入表!$I$380</f>
        <v>0</v>
      </c>
      <c r="P55" s="34">
        <f>'表3-成本费用表'!P64/(1+参数输入表!$I$380)*参数输入表!$I$380</f>
        <v>0</v>
      </c>
      <c r="Q55" s="34">
        <f>'表3-成本费用表'!Q64/(1+参数输入表!$I$380)*参数输入表!$I$380</f>
        <v>0</v>
      </c>
      <c r="R55" s="34">
        <f>'表3-成本费用表'!R64/(1+参数输入表!$I$380)*参数输入表!$I$380</f>
        <v>0</v>
      </c>
      <c r="S55" s="34">
        <f>'表3-成本费用表'!S64/(1+参数输入表!$I$380)*参数输入表!$I$380</f>
        <v>0</v>
      </c>
      <c r="T55" s="34">
        <f>'表3-成本费用表'!T64/(1+参数输入表!$I$380)*参数输入表!$I$380</f>
        <v>0</v>
      </c>
      <c r="U55" s="34">
        <f>'表3-成本费用表'!U64/(1+参数输入表!$I$380)*参数输入表!$I$380</f>
        <v>0</v>
      </c>
      <c r="V55" s="34">
        <f>'表3-成本费用表'!V64/(1+参数输入表!$I$380)*参数输入表!$I$380</f>
        <v>0</v>
      </c>
      <c r="W55" s="34">
        <f>'表3-成本费用表'!W64/(1+参数输入表!$I$380)*参数输入表!$I$380</f>
        <v>0</v>
      </c>
      <c r="X55" s="34">
        <f>'表3-成本费用表'!X64/(1+参数输入表!$I$380)*参数输入表!$I$380</f>
        <v>0</v>
      </c>
      <c r="Y55" s="34">
        <f>'表3-成本费用表'!Y64/(1+参数输入表!$I$380)*参数输入表!$I$380</f>
        <v>0</v>
      </c>
      <c r="Z55" s="34">
        <f>'表3-成本费用表'!Z64/(1+参数输入表!$I$380)*参数输入表!$I$380</f>
        <v>0</v>
      </c>
      <c r="AA55" s="34">
        <f>'表3-成本费用表'!AA64/(1+参数输入表!$I$380)*参数输入表!$I$380</f>
        <v>0</v>
      </c>
      <c r="AB55" s="34">
        <f>'表3-成本费用表'!AB64/(1+参数输入表!$I$380)*参数输入表!$I$380</f>
        <v>0</v>
      </c>
      <c r="AC55" s="34">
        <f>'表3-成本费用表'!AC64/(1+参数输入表!$I$380)*参数输入表!$I$380</f>
        <v>0</v>
      </c>
      <c r="AD55" s="34">
        <f>'表3-成本费用表'!AD64/(1+参数输入表!$I$380)*参数输入表!$I$380</f>
        <v>0</v>
      </c>
      <c r="AE55" s="34">
        <f>'表3-成本费用表'!AE64/(1+参数输入表!$I$380)*参数输入表!$I$380</f>
        <v>0</v>
      </c>
      <c r="AF55" s="34">
        <f>'表3-成本费用表'!AF64/(1+参数输入表!$I$380)*参数输入表!$I$380</f>
        <v>0</v>
      </c>
    </row>
    <row r="56" spans="2:32">
      <c r="B56" s="20"/>
      <c r="C56" s="287" t="s">
        <v>293</v>
      </c>
      <c r="D56" s="34">
        <f ca="1" t="shared" si="30"/>
        <v>0</v>
      </c>
      <c r="E56" s="18" t="s">
        <v>24</v>
      </c>
      <c r="F56" s="34"/>
      <c r="G56" s="34"/>
      <c r="H56" s="34"/>
      <c r="I56" s="34"/>
      <c r="J56" s="34">
        <f>'表3-成本费用表'!J65/(1+参数输入表!$I$433)*参数输入表!$I$433</f>
        <v>0</v>
      </c>
      <c r="K56" s="34">
        <f>'表3-成本费用表'!K65/(1+参数输入表!$I$433)*参数输入表!$I$433</f>
        <v>0</v>
      </c>
      <c r="L56" s="34">
        <f>'表3-成本费用表'!L65/(1+参数输入表!$I$433)*参数输入表!$I$433</f>
        <v>0</v>
      </c>
      <c r="M56" s="34">
        <f>'表3-成本费用表'!M65/(1+参数输入表!$I$433)*参数输入表!$I$433</f>
        <v>0</v>
      </c>
      <c r="N56" s="34">
        <f>'表3-成本费用表'!N65/(1+参数输入表!$I$433)*参数输入表!$I$433</f>
        <v>0</v>
      </c>
      <c r="O56" s="34">
        <f>'表3-成本费用表'!O65/(1+参数输入表!$I$433)*参数输入表!$I$433</f>
        <v>0</v>
      </c>
      <c r="P56" s="34">
        <f>'表3-成本费用表'!P65/(1+参数输入表!$I$433)*参数输入表!$I$433</f>
        <v>0</v>
      </c>
      <c r="Q56" s="34">
        <f>'表3-成本费用表'!Q65/(1+参数输入表!$I$433)*参数输入表!$I$433</f>
        <v>0</v>
      </c>
      <c r="R56" s="34">
        <f>'表3-成本费用表'!R65/(1+参数输入表!$I$433)*参数输入表!$I$433</f>
        <v>0</v>
      </c>
      <c r="S56" s="34">
        <f>'表3-成本费用表'!S65/(1+参数输入表!$I$433)*参数输入表!$I$433</f>
        <v>0</v>
      </c>
      <c r="T56" s="34">
        <f>'表3-成本费用表'!T65/(1+参数输入表!$I$433)*参数输入表!$I$433</f>
        <v>0</v>
      </c>
      <c r="U56" s="34">
        <f>'表3-成本费用表'!U65/(1+参数输入表!$I$433)*参数输入表!$I$433</f>
        <v>0</v>
      </c>
      <c r="V56" s="34">
        <f>'表3-成本费用表'!V65/(1+参数输入表!$I$433)*参数输入表!$I$433</f>
        <v>0</v>
      </c>
      <c r="W56" s="34">
        <f>'表3-成本费用表'!W65/(1+参数输入表!$I$433)*参数输入表!$I$433</f>
        <v>0</v>
      </c>
      <c r="X56" s="34">
        <f>'表3-成本费用表'!X65/(1+参数输入表!$I$433)*参数输入表!$I$433</f>
        <v>0</v>
      </c>
      <c r="Y56" s="34">
        <f>'表3-成本费用表'!Y65/(1+参数输入表!$I$433)*参数输入表!$I$433</f>
        <v>0</v>
      </c>
      <c r="Z56" s="34">
        <f>'表3-成本费用表'!Z65/(1+参数输入表!$I$433)*参数输入表!$I$433</f>
        <v>0</v>
      </c>
      <c r="AA56" s="34">
        <f>'表3-成本费用表'!AA65/(1+参数输入表!$I$433)*参数输入表!$I$433</f>
        <v>0</v>
      </c>
      <c r="AB56" s="34">
        <f>'表3-成本费用表'!AB65/(1+参数输入表!$I$433)*参数输入表!$I$433</f>
        <v>0</v>
      </c>
      <c r="AC56" s="34">
        <f>'表3-成本费用表'!AC65/(1+参数输入表!$I$433)*参数输入表!$I$433</f>
        <v>0</v>
      </c>
      <c r="AD56" s="34">
        <f>'表3-成本费用表'!AD65/(1+参数输入表!$I$433)*参数输入表!$I$433</f>
        <v>0</v>
      </c>
      <c r="AE56" s="34">
        <f>'表3-成本费用表'!AE65/(1+参数输入表!$I$433)*参数输入表!$I$433</f>
        <v>0</v>
      </c>
      <c r="AF56" s="34">
        <f ca="1">'表3-成本费用表'!AF65/(1+参数输入表!$I$433)*参数输入表!$I$433</f>
        <v>0</v>
      </c>
    </row>
    <row r="57" spans="2:32">
      <c r="B57" s="20" t="s">
        <v>690</v>
      </c>
      <c r="C57" s="30" t="s">
        <v>691</v>
      </c>
      <c r="D57" s="34">
        <f t="shared" si="30"/>
        <v>0</v>
      </c>
      <c r="E57" s="18" t="s">
        <v>24</v>
      </c>
      <c r="F57" s="34"/>
      <c r="G57" s="34"/>
      <c r="H57" s="34"/>
      <c r="I57" s="34"/>
      <c r="J57" s="34">
        <v>0</v>
      </c>
      <c r="K57" s="34">
        <v>0</v>
      </c>
      <c r="L57" s="34">
        <v>0</v>
      </c>
      <c r="M57" s="34">
        <v>0</v>
      </c>
      <c r="N57" s="34">
        <v>0</v>
      </c>
      <c r="O57" s="34">
        <v>0</v>
      </c>
      <c r="P57" s="34">
        <v>0</v>
      </c>
      <c r="Q57" s="34">
        <v>0</v>
      </c>
      <c r="R57" s="34">
        <v>0</v>
      </c>
      <c r="S57" s="34">
        <v>0</v>
      </c>
      <c r="T57" s="34">
        <v>0</v>
      </c>
      <c r="U57" s="34">
        <v>0</v>
      </c>
      <c r="V57" s="34">
        <v>0</v>
      </c>
      <c r="W57" s="34">
        <v>0</v>
      </c>
      <c r="X57" s="34">
        <v>0</v>
      </c>
      <c r="Y57" s="34">
        <v>0</v>
      </c>
      <c r="Z57" s="34">
        <v>0</v>
      </c>
      <c r="AA57" s="34">
        <v>0</v>
      </c>
      <c r="AB57" s="34">
        <v>0</v>
      </c>
      <c r="AC57" s="34">
        <v>0</v>
      </c>
      <c r="AD57" s="34">
        <v>0</v>
      </c>
      <c r="AE57" s="34">
        <v>0</v>
      </c>
      <c r="AF57" s="34">
        <v>0</v>
      </c>
    </row>
    <row r="58" spans="2:32">
      <c r="B58" s="15">
        <v>3.3</v>
      </c>
      <c r="C58" s="299" t="s">
        <v>692</v>
      </c>
      <c r="D58" s="39">
        <f t="shared" si="30"/>
        <v>0</v>
      </c>
      <c r="E58" s="18" t="s">
        <v>24</v>
      </c>
      <c r="F58" s="39"/>
      <c r="G58" s="39"/>
      <c r="H58" s="39"/>
      <c r="I58" s="39"/>
      <c r="J58" s="39">
        <f>'表3-成本费用表'!J67/(1+参数输入表!$I$556)*参数输入表!$I$556</f>
        <v>0</v>
      </c>
      <c r="K58" s="39">
        <f>'表3-成本费用表'!K67/(1+参数输入表!$I$556)*参数输入表!$I$556</f>
        <v>0</v>
      </c>
      <c r="L58" s="39">
        <f>'表3-成本费用表'!L67/(1+参数输入表!$I$556)*参数输入表!$I$556</f>
        <v>0</v>
      </c>
      <c r="M58" s="39">
        <f>'表3-成本费用表'!M67/(1+参数输入表!$I$556)*参数输入表!$I$556</f>
        <v>0</v>
      </c>
      <c r="N58" s="39">
        <f>'表3-成本费用表'!N67/(1+参数输入表!$I$556)*参数输入表!$I$556</f>
        <v>0</v>
      </c>
      <c r="O58" s="39">
        <f>'表3-成本费用表'!O67/(1+参数输入表!$I$556)*参数输入表!$I$556</f>
        <v>0</v>
      </c>
      <c r="P58" s="39">
        <f>'表3-成本费用表'!P67/(1+参数输入表!$I$556)*参数输入表!$I$556</f>
        <v>0</v>
      </c>
      <c r="Q58" s="39">
        <f>'表3-成本费用表'!Q67/(1+参数输入表!$I$556)*参数输入表!$I$556</f>
        <v>0</v>
      </c>
      <c r="R58" s="39">
        <f>'表3-成本费用表'!R67/(1+参数输入表!$I$556)*参数输入表!$I$556</f>
        <v>0</v>
      </c>
      <c r="S58" s="39">
        <f>'表3-成本费用表'!S67/(1+参数输入表!$I$556)*参数输入表!$I$556</f>
        <v>0</v>
      </c>
      <c r="T58" s="39">
        <f>'表3-成本费用表'!T67/(1+参数输入表!$I$556)*参数输入表!$I$556</f>
        <v>0</v>
      </c>
      <c r="U58" s="39">
        <f>'表3-成本费用表'!U67/(1+参数输入表!$I$556)*参数输入表!$I$556</f>
        <v>0</v>
      </c>
      <c r="V58" s="39">
        <f>'表3-成本费用表'!V67/(1+参数输入表!$I$556)*参数输入表!$I$556</f>
        <v>0</v>
      </c>
      <c r="W58" s="39">
        <f>'表3-成本费用表'!W67/(1+参数输入表!$I$556)*参数输入表!$I$556</f>
        <v>0</v>
      </c>
      <c r="X58" s="39">
        <f>'表3-成本费用表'!X67/(1+参数输入表!$I$556)*参数输入表!$I$556</f>
        <v>0</v>
      </c>
      <c r="Y58" s="39">
        <f>'表3-成本费用表'!Y67/(1+参数输入表!$I$556)*参数输入表!$I$556</f>
        <v>0</v>
      </c>
      <c r="Z58" s="39">
        <f>'表3-成本费用表'!Z67/(1+参数输入表!$I$556)*参数输入表!$I$556</f>
        <v>0</v>
      </c>
      <c r="AA58" s="39">
        <f>'表3-成本费用表'!AA67/(1+参数输入表!$I$556)*参数输入表!$I$556</f>
        <v>0</v>
      </c>
      <c r="AB58" s="39">
        <f>'表3-成本费用表'!AB67/(1+参数输入表!$I$556)*参数输入表!$I$556</f>
        <v>0</v>
      </c>
      <c r="AC58" s="39">
        <f>'表3-成本费用表'!AC67/(1+参数输入表!$I$556)*参数输入表!$I$556</f>
        <v>0</v>
      </c>
      <c r="AD58" s="39">
        <f>'表3-成本费用表'!AD67/(1+参数输入表!$I$556)*参数输入表!$I$556</f>
        <v>0</v>
      </c>
      <c r="AE58" s="39">
        <f>'表3-成本费用表'!AE67/(1+参数输入表!$I$556)*参数输入表!$I$556</f>
        <v>0</v>
      </c>
      <c r="AF58" s="39">
        <f>'表3-成本费用表'!AF67/(1+参数输入表!$I$556)*参数输入表!$I$556</f>
        <v>0</v>
      </c>
    </row>
    <row r="59" spans="2:32">
      <c r="B59" s="15">
        <v>3.4</v>
      </c>
      <c r="C59" s="299" t="s">
        <v>693</v>
      </c>
      <c r="D59" s="39">
        <f t="shared" si="30"/>
        <v>0</v>
      </c>
      <c r="E59" s="18" t="s">
        <v>24</v>
      </c>
      <c r="F59" s="39"/>
      <c r="G59" s="39"/>
      <c r="H59" s="39"/>
      <c r="I59" s="39"/>
      <c r="J59" s="39">
        <f>参数输入表!I500/(1+参数输入表!$I$525)*参数输入表!$I$525</f>
        <v>0</v>
      </c>
      <c r="K59" s="39">
        <f>参数输入表!I501/(1+参数输入表!$I$525)*参数输入表!$I$525</f>
        <v>0</v>
      </c>
      <c r="L59" s="39">
        <f>参数输入表!I502/(1+参数输入表!$I$525)*参数输入表!$I$525</f>
        <v>0</v>
      </c>
      <c r="M59" s="39">
        <f>参数输入表!I503/(1+参数输入表!$I$525)*参数输入表!$I$525</f>
        <v>0</v>
      </c>
      <c r="N59" s="39">
        <f>参数输入表!I504/(1+参数输入表!$I$525)*参数输入表!$I$525</f>
        <v>0</v>
      </c>
      <c r="O59" s="39">
        <f>参数输入表!I505/(1+参数输入表!$I$525)*参数输入表!$I$525</f>
        <v>0</v>
      </c>
      <c r="P59" s="39">
        <f>参数输入表!I506/(1+参数输入表!$I$525)*参数输入表!$I$525</f>
        <v>0</v>
      </c>
      <c r="Q59" s="39">
        <f>参数输入表!I507/(1+参数输入表!$I$525)*参数输入表!$I$525</f>
        <v>0</v>
      </c>
      <c r="R59" s="39">
        <f>参数输入表!I508/(1+参数输入表!$I$525)*参数输入表!$I$525</f>
        <v>0</v>
      </c>
      <c r="S59" s="39">
        <f>参数输入表!I509/(1+参数输入表!$I$525)*参数输入表!$I$525</f>
        <v>0</v>
      </c>
      <c r="T59" s="39">
        <f>参数输入表!I510/(1+参数输入表!$I$525)*参数输入表!$I$525</f>
        <v>0</v>
      </c>
      <c r="U59" s="39">
        <f>参数输入表!I511/(1+参数输入表!$I$525)*参数输入表!$I$525</f>
        <v>0</v>
      </c>
      <c r="V59" s="39">
        <f>参数输入表!I512/(1+参数输入表!$I$525)*参数输入表!$I$525</f>
        <v>0</v>
      </c>
      <c r="W59" s="39">
        <f>参数输入表!I513/(1+参数输入表!$I$525)*参数输入表!$I$525</f>
        <v>0</v>
      </c>
      <c r="X59" s="39">
        <f>参数输入表!I514/(1+参数输入表!$I$525)*参数输入表!$I$525</f>
        <v>0</v>
      </c>
      <c r="Y59" s="39">
        <f>参数输入表!I515/(1+参数输入表!$I$525)*参数输入表!$I$525</f>
        <v>0</v>
      </c>
      <c r="Z59" s="39">
        <f>参数输入表!I516/(1+参数输入表!$I$525)*参数输入表!$I$525</f>
        <v>0</v>
      </c>
      <c r="AA59" s="39">
        <f>参数输入表!I517/(1+参数输入表!$I$525)*参数输入表!$I$525</f>
        <v>0</v>
      </c>
      <c r="AB59" s="39">
        <f>参数输入表!I518/(1+参数输入表!$I$525)*参数输入表!$I$525</f>
        <v>0</v>
      </c>
      <c r="AC59" s="39">
        <f>参数输入表!I519/(1+参数输入表!$I$525)*参数输入表!$I$525</f>
        <v>0</v>
      </c>
      <c r="AD59" s="39">
        <f>参数输入表!I520/(1+参数输入表!$I$525)*参数输入表!$I$525</f>
        <v>0</v>
      </c>
      <c r="AE59" s="39">
        <f>参数输入表!I521/(1+参数输入表!$I$525)*参数输入表!$I$525</f>
        <v>0</v>
      </c>
      <c r="AF59" s="39">
        <f>参数输入表!I522/(1+参数输入表!$I$525)*参数输入表!$I$525</f>
        <v>0</v>
      </c>
    </row>
    <row r="60" spans="2:32">
      <c r="B60" s="252">
        <v>4</v>
      </c>
      <c r="C60" s="293" t="s">
        <v>694</v>
      </c>
      <c r="D60" s="28">
        <f ca="1" t="shared" si="30"/>
        <v>32174.6199955891</v>
      </c>
      <c r="E60" s="18" t="s">
        <v>24</v>
      </c>
      <c r="F60" s="19"/>
      <c r="G60" s="19"/>
      <c r="H60" s="19"/>
      <c r="I60" s="19"/>
      <c r="J60" s="39">
        <f t="shared" ref="J60:AF60" si="32">J33-J42</f>
        <v>-4048.30239069439</v>
      </c>
      <c r="K60" s="39">
        <f t="shared" si="32"/>
        <v>-8088.32565231198</v>
      </c>
      <c r="L60" s="39">
        <f t="shared" si="32"/>
        <v>2453.47341522124</v>
      </c>
      <c r="M60" s="39">
        <f t="shared" si="32"/>
        <v>2401.11450252497</v>
      </c>
      <c r="N60" s="39">
        <f t="shared" si="32"/>
        <v>2431.32474230089</v>
      </c>
      <c r="O60" s="39">
        <f t="shared" si="32"/>
        <v>2420.25057840708</v>
      </c>
      <c r="P60" s="39">
        <f t="shared" si="32"/>
        <v>2409.17606938053</v>
      </c>
      <c r="Q60" s="39">
        <f t="shared" si="32"/>
        <v>2398.10190548673</v>
      </c>
      <c r="R60" s="39">
        <f t="shared" si="32"/>
        <v>2345.74299279045</v>
      </c>
      <c r="S60" s="39">
        <f t="shared" si="32"/>
        <v>2375.95323256637</v>
      </c>
      <c r="T60" s="39">
        <f t="shared" si="32"/>
        <v>2364.87906867257</v>
      </c>
      <c r="U60" s="39">
        <f t="shared" si="32"/>
        <v>2353.80455964602</v>
      </c>
      <c r="V60" s="39">
        <f t="shared" si="32"/>
        <v>2342.73039575221</v>
      </c>
      <c r="W60" s="39">
        <f t="shared" si="32"/>
        <v>2290.37148305594</v>
      </c>
      <c r="X60" s="39">
        <f t="shared" si="32"/>
        <v>2320.58172283186</v>
      </c>
      <c r="Y60" s="39">
        <f t="shared" si="32"/>
        <v>2309.50755893805</v>
      </c>
      <c r="Z60" s="39">
        <f t="shared" si="32"/>
        <v>1963.9491219469</v>
      </c>
      <c r="AA60" s="39">
        <f t="shared" si="32"/>
        <v>1765.19071610619</v>
      </c>
      <c r="AB60" s="39">
        <f t="shared" si="32"/>
        <v>1715.40124765771</v>
      </c>
      <c r="AC60" s="39">
        <f t="shared" si="32"/>
        <v>1748.18093168142</v>
      </c>
      <c r="AD60" s="39">
        <f t="shared" si="32"/>
        <v>1739.6762120354</v>
      </c>
      <c r="AE60" s="39">
        <f t="shared" si="32"/>
        <v>1731.17114725664</v>
      </c>
      <c r="AF60" s="39">
        <f ca="1" t="shared" si="32"/>
        <v>430.666434336283</v>
      </c>
    </row>
    <row r="61" spans="2:32">
      <c r="B61" s="285">
        <v>5</v>
      </c>
      <c r="C61" s="301" t="s">
        <v>695</v>
      </c>
      <c r="D61" s="63"/>
      <c r="E61" s="18" t="s">
        <v>24</v>
      </c>
      <c r="F61" s="44"/>
      <c r="G61" s="44"/>
      <c r="H61" s="44"/>
      <c r="I61" s="44">
        <f>参数输入表!I644</f>
        <v>2439.04878</v>
      </c>
      <c r="J61" s="34">
        <f>IF(I61-J60&gt;0,I61-J60,0)</f>
        <v>6487.35117069439</v>
      </c>
      <c r="K61" s="34">
        <f t="shared" ref="K61:R61" si="33">IF(J61-K60&gt;0,J61-K60,0)</f>
        <v>14575.6768230064</v>
      </c>
      <c r="L61" s="34">
        <f t="shared" si="33"/>
        <v>12122.2034077851</v>
      </c>
      <c r="M61" s="34">
        <f t="shared" si="33"/>
        <v>9721.08890526016</v>
      </c>
      <c r="N61" s="34">
        <f t="shared" si="33"/>
        <v>7289.76416295928</v>
      </c>
      <c r="O61" s="34">
        <f t="shared" si="33"/>
        <v>4869.5135845522</v>
      </c>
      <c r="P61" s="34">
        <f t="shared" si="33"/>
        <v>2460.33751517167</v>
      </c>
      <c r="Q61" s="34">
        <f t="shared" si="33"/>
        <v>62.2356096849389</v>
      </c>
      <c r="R61" s="34">
        <f t="shared" si="33"/>
        <v>0</v>
      </c>
      <c r="S61" s="34">
        <f t="shared" ref="S61" si="34">IF(R61-S60&gt;0,R61-S60,0)</f>
        <v>0</v>
      </c>
      <c r="T61" s="34">
        <f t="shared" ref="T61" si="35">IF(S61-T60&gt;0,S61-T60,0)</f>
        <v>0</v>
      </c>
      <c r="U61" s="34">
        <f t="shared" ref="U61" si="36">IF(T61-U60&gt;0,T61-U60,0)</f>
        <v>0</v>
      </c>
      <c r="V61" s="34">
        <f t="shared" ref="V61:AF61" si="37">IF(U61-V60&gt;0,U61-V60,0)</f>
        <v>0</v>
      </c>
      <c r="W61" s="34">
        <f t="shared" si="37"/>
        <v>0</v>
      </c>
      <c r="X61" s="34">
        <f t="shared" si="37"/>
        <v>0</v>
      </c>
      <c r="Y61" s="34">
        <f t="shared" si="37"/>
        <v>0</v>
      </c>
      <c r="Z61" s="34">
        <f t="shared" si="37"/>
        <v>0</v>
      </c>
      <c r="AA61" s="34">
        <f t="shared" si="37"/>
        <v>0</v>
      </c>
      <c r="AB61" s="34">
        <f t="shared" si="37"/>
        <v>0</v>
      </c>
      <c r="AC61" s="34">
        <f t="shared" si="37"/>
        <v>0</v>
      </c>
      <c r="AD61" s="34">
        <f t="shared" si="37"/>
        <v>0</v>
      </c>
      <c r="AE61" s="34">
        <f t="shared" si="37"/>
        <v>0</v>
      </c>
      <c r="AF61" s="34">
        <f ca="1" t="shared" si="37"/>
        <v>0</v>
      </c>
    </row>
    <row r="62" spans="2:32">
      <c r="B62" s="252">
        <v>6</v>
      </c>
      <c r="C62" s="293" t="s">
        <v>696</v>
      </c>
      <c r="D62" s="28">
        <f ca="1">SUM(F62:AF62)</f>
        <v>3568.26854587069</v>
      </c>
      <c r="E62" s="18" t="s">
        <v>24</v>
      </c>
      <c r="F62" s="19"/>
      <c r="G62" s="19"/>
      <c r="H62" s="19"/>
      <c r="I62" s="19"/>
      <c r="J62" s="39">
        <f t="shared" ref="J62:R62" si="38">SUM(J63:J65)</f>
        <v>0</v>
      </c>
      <c r="K62" s="39">
        <f t="shared" si="38"/>
        <v>0</v>
      </c>
      <c r="L62" s="39">
        <f t="shared" si="38"/>
        <v>0</v>
      </c>
      <c r="M62" s="39">
        <f t="shared" si="38"/>
        <v>0</v>
      </c>
      <c r="N62" s="39">
        <f t="shared" si="38"/>
        <v>0</v>
      </c>
      <c r="O62" s="39">
        <f t="shared" si="38"/>
        <v>0</v>
      </c>
      <c r="P62" s="39">
        <f t="shared" si="38"/>
        <v>0</v>
      </c>
      <c r="Q62" s="39">
        <f t="shared" si="38"/>
        <v>0</v>
      </c>
      <c r="R62" s="39">
        <f t="shared" si="38"/>
        <v>274.020885972662</v>
      </c>
      <c r="S62" s="39">
        <f t="shared" ref="S62:AF62" si="39">SUM(S63:S65)</f>
        <v>285.114387907965</v>
      </c>
      <c r="T62" s="39">
        <f t="shared" si="39"/>
        <v>283.785488240708</v>
      </c>
      <c r="U62" s="39">
        <f t="shared" si="39"/>
        <v>282.456547157522</v>
      </c>
      <c r="V62" s="39">
        <f t="shared" si="39"/>
        <v>281.127647490266</v>
      </c>
      <c r="W62" s="39">
        <f t="shared" si="39"/>
        <v>274.844577966713</v>
      </c>
      <c r="X62" s="39">
        <f t="shared" si="39"/>
        <v>278.469806739823</v>
      </c>
      <c r="Y62" s="39">
        <f t="shared" si="39"/>
        <v>277.140907072566</v>
      </c>
      <c r="Z62" s="39">
        <f t="shared" si="39"/>
        <v>235.673894633628</v>
      </c>
      <c r="AA62" s="39">
        <f t="shared" si="39"/>
        <v>211.822885932743</v>
      </c>
      <c r="AB62" s="39">
        <f t="shared" si="39"/>
        <v>205.848149718925</v>
      </c>
      <c r="AC62" s="39">
        <f t="shared" si="39"/>
        <v>209.78171180177</v>
      </c>
      <c r="AD62" s="39">
        <f t="shared" si="39"/>
        <v>208.761145444248</v>
      </c>
      <c r="AE62" s="39">
        <f t="shared" si="39"/>
        <v>207.740537670796</v>
      </c>
      <c r="AF62" s="39">
        <f ca="1" t="shared" si="39"/>
        <v>51.679972120354</v>
      </c>
    </row>
    <row r="63" spans="2:32">
      <c r="B63" s="285">
        <v>6.1</v>
      </c>
      <c r="C63" s="286" t="s">
        <v>697</v>
      </c>
      <c r="D63" s="63">
        <f ca="1">SUM(F63:AF63)</f>
        <v>2081.48998509124</v>
      </c>
      <c r="E63" s="18" t="s">
        <v>24</v>
      </c>
      <c r="F63" s="44"/>
      <c r="G63" s="44"/>
      <c r="H63" s="44"/>
      <c r="I63" s="44"/>
      <c r="J63" s="34">
        <f>J32*参数输入表!$I$681</f>
        <v>0</v>
      </c>
      <c r="K63" s="34">
        <f>K32*参数输入表!$I$681</f>
        <v>0</v>
      </c>
      <c r="L63" s="34">
        <f>L32*参数输入表!$I$681</f>
        <v>0</v>
      </c>
      <c r="M63" s="34">
        <f>M32*参数输入表!$I$681</f>
        <v>0</v>
      </c>
      <c r="N63" s="34">
        <f>N32*参数输入表!$I$681</f>
        <v>0</v>
      </c>
      <c r="O63" s="34">
        <f>O32*参数输入表!$I$681</f>
        <v>0</v>
      </c>
      <c r="P63" s="34">
        <f>P32*参数输入表!$I$681</f>
        <v>0</v>
      </c>
      <c r="Q63" s="34">
        <f>Q32*参数输入表!$I$681</f>
        <v>0</v>
      </c>
      <c r="R63" s="34">
        <f>R32*参数输入表!$I$681</f>
        <v>159.845516817386</v>
      </c>
      <c r="S63" s="34">
        <f>S32*参数输入表!$I$681</f>
        <v>166.316726279646</v>
      </c>
      <c r="T63" s="34">
        <f>T32*参数输入表!$I$681</f>
        <v>165.54153480708</v>
      </c>
      <c r="U63" s="34">
        <f>U32*参数输入表!$I$681</f>
        <v>164.766319175221</v>
      </c>
      <c r="V63" s="34">
        <f>V32*参数输入表!$I$681</f>
        <v>163.991127702655</v>
      </c>
      <c r="W63" s="34">
        <f>W32*参数输入表!$I$681</f>
        <v>160.326003813916</v>
      </c>
      <c r="X63" s="34">
        <f>X32*参数输入表!$I$681</f>
        <v>162.44072059823</v>
      </c>
      <c r="Y63" s="34">
        <f>Y32*参数输入表!$I$681</f>
        <v>161.665529125664</v>
      </c>
      <c r="Z63" s="34">
        <f>Z32*参数输入表!$I$681</f>
        <v>137.476438536283</v>
      </c>
      <c r="AA63" s="34">
        <f>AA32*参数输入表!$I$681</f>
        <v>123.563350127434</v>
      </c>
      <c r="AB63" s="34">
        <f>AB32*参数输入表!$I$681</f>
        <v>120.07808733604</v>
      </c>
      <c r="AC63" s="34">
        <f>AC32*参数输入表!$I$681</f>
        <v>122.372665217699</v>
      </c>
      <c r="AD63" s="34">
        <f>AD32*参数输入表!$I$681</f>
        <v>121.777334842478</v>
      </c>
      <c r="AE63" s="34">
        <f>AE32*参数输入表!$I$681</f>
        <v>121.181980307965</v>
      </c>
      <c r="AF63" s="34">
        <f ca="1">AF32*参数输入表!$I$681</f>
        <v>30.1466504035398</v>
      </c>
    </row>
    <row r="64" spans="2:32">
      <c r="B64" s="285">
        <v>6.2</v>
      </c>
      <c r="C64" s="286" t="s">
        <v>698</v>
      </c>
      <c r="D64" s="63">
        <f ca="1">SUM(F64:AF64)</f>
        <v>892.067136467672</v>
      </c>
      <c r="E64" s="18" t="s">
        <v>24</v>
      </c>
      <c r="F64" s="44"/>
      <c r="G64" s="44"/>
      <c r="H64" s="44"/>
      <c r="I64" s="44"/>
      <c r="J64" s="34">
        <f>J32*参数输入表!$I$685</f>
        <v>0</v>
      </c>
      <c r="K64" s="34">
        <f>K32*参数输入表!$I$685</f>
        <v>0</v>
      </c>
      <c r="L64" s="34">
        <f>L32*参数输入表!$I$685</f>
        <v>0</v>
      </c>
      <c r="M64" s="34">
        <f>M32*参数输入表!$I$685</f>
        <v>0</v>
      </c>
      <c r="N64" s="34">
        <f>N32*参数输入表!$I$685</f>
        <v>0</v>
      </c>
      <c r="O64" s="34">
        <f>O32*参数输入表!$I$685</f>
        <v>0</v>
      </c>
      <c r="P64" s="34">
        <f>P32*参数输入表!$I$685</f>
        <v>0</v>
      </c>
      <c r="Q64" s="34">
        <f>Q32*参数输入表!$I$685</f>
        <v>0</v>
      </c>
      <c r="R64" s="34">
        <f>R32*参数输入表!$I$685</f>
        <v>68.5052214931654</v>
      </c>
      <c r="S64" s="34">
        <f>S32*参数输入表!$I$685</f>
        <v>71.2785969769912</v>
      </c>
      <c r="T64" s="34">
        <f>T32*参数输入表!$I$685</f>
        <v>70.946372060177</v>
      </c>
      <c r="U64" s="34">
        <f>U32*参数输入表!$I$685</f>
        <v>70.6141367893806</v>
      </c>
      <c r="V64" s="34">
        <f>V32*参数输入表!$I$685</f>
        <v>70.2819118725664</v>
      </c>
      <c r="W64" s="34">
        <f>W32*参数输入表!$I$685</f>
        <v>68.7111444916782</v>
      </c>
      <c r="X64" s="34">
        <f>X32*参数输入表!$I$685</f>
        <v>69.6174516849558</v>
      </c>
      <c r="Y64" s="34">
        <f>Y32*参数输入表!$I$685</f>
        <v>69.2852267681416</v>
      </c>
      <c r="Z64" s="34">
        <f>Z32*参数输入表!$I$685</f>
        <v>58.9184736584071</v>
      </c>
      <c r="AA64" s="34">
        <f>AA32*参数输入表!$I$685</f>
        <v>52.9557214831858</v>
      </c>
      <c r="AB64" s="34">
        <f>AB32*参数输入表!$I$685</f>
        <v>51.4620374297313</v>
      </c>
      <c r="AC64" s="34">
        <f>AC32*参数输入表!$I$685</f>
        <v>52.4454279504425</v>
      </c>
      <c r="AD64" s="34">
        <f>AD32*参数输入表!$I$685</f>
        <v>52.1902863610619</v>
      </c>
      <c r="AE64" s="34">
        <f>AE32*参数输入表!$I$685</f>
        <v>51.9351344176991</v>
      </c>
      <c r="AF64" s="34">
        <f ca="1">AF32*参数输入表!$I$685</f>
        <v>12.9199930300885</v>
      </c>
    </row>
    <row r="65" spans="2:32">
      <c r="B65" s="285">
        <v>6.3</v>
      </c>
      <c r="C65" s="286" t="s">
        <v>699</v>
      </c>
      <c r="D65" s="63">
        <f ca="1">SUM(F65:AF65)</f>
        <v>594.711424311782</v>
      </c>
      <c r="E65" s="18" t="s">
        <v>24</v>
      </c>
      <c r="F65" s="44"/>
      <c r="G65" s="44"/>
      <c r="H65" s="44"/>
      <c r="I65" s="44"/>
      <c r="J65" s="34">
        <f>J32*参数输入表!$I$686</f>
        <v>0</v>
      </c>
      <c r="K65" s="34">
        <f>K32*参数输入表!$I$686</f>
        <v>0</v>
      </c>
      <c r="L65" s="34">
        <f>L32*参数输入表!$I$686</f>
        <v>0</v>
      </c>
      <c r="M65" s="34">
        <f>M32*参数输入表!$I$686</f>
        <v>0</v>
      </c>
      <c r="N65" s="34">
        <f>N32*参数输入表!$I$686</f>
        <v>0</v>
      </c>
      <c r="O65" s="34">
        <f>O32*参数输入表!$I$686</f>
        <v>0</v>
      </c>
      <c r="P65" s="34">
        <f>P32*参数输入表!$I$686</f>
        <v>0</v>
      </c>
      <c r="Q65" s="34">
        <f>Q32*参数输入表!$I$686</f>
        <v>0</v>
      </c>
      <c r="R65" s="34">
        <f>R32*参数输入表!$I$686</f>
        <v>45.6701476621103</v>
      </c>
      <c r="S65" s="34">
        <f>S32*参数输入表!$I$686</f>
        <v>47.5190646513274</v>
      </c>
      <c r="T65" s="34">
        <f>T32*参数输入表!$I$686</f>
        <v>47.2975813734513</v>
      </c>
      <c r="U65" s="34">
        <f>U32*参数输入表!$I$686</f>
        <v>47.0760911929204</v>
      </c>
      <c r="V65" s="34">
        <f>V32*参数输入表!$I$686</f>
        <v>46.8546079150443</v>
      </c>
      <c r="W65" s="34">
        <f>W32*参数输入表!$I$686</f>
        <v>45.8074296611188</v>
      </c>
      <c r="X65" s="34">
        <f>X32*参数输入表!$I$686</f>
        <v>46.4116344566372</v>
      </c>
      <c r="Y65" s="34">
        <f>Y32*参数输入表!$I$686</f>
        <v>46.1901511787611</v>
      </c>
      <c r="Z65" s="34">
        <f>Z32*参数输入表!$I$686</f>
        <v>39.2789824389381</v>
      </c>
      <c r="AA65" s="34">
        <f>AA32*参数输入表!$I$686</f>
        <v>35.3038143221239</v>
      </c>
      <c r="AB65" s="34">
        <f>AB32*参数输入表!$I$686</f>
        <v>34.3080249531542</v>
      </c>
      <c r="AC65" s="34">
        <f>AC32*参数输入表!$I$686</f>
        <v>34.9636186336283</v>
      </c>
      <c r="AD65" s="34">
        <f>AD32*参数输入表!$I$686</f>
        <v>34.793524240708</v>
      </c>
      <c r="AE65" s="34">
        <f>AE32*参数输入表!$I$686</f>
        <v>34.6234229451328</v>
      </c>
      <c r="AF65" s="34">
        <f ca="1">AF32*参数输入表!$I$686</f>
        <v>8.61332868672566</v>
      </c>
    </row>
    <row r="66" ht="17.25" spans="2:32">
      <c r="B66" s="254">
        <v>7</v>
      </c>
      <c r="C66" s="307" t="s">
        <v>700</v>
      </c>
      <c r="D66" s="308">
        <f>SUM(F66:AF66)</f>
        <v>0</v>
      </c>
      <c r="E66" s="58" t="s">
        <v>24</v>
      </c>
      <c r="F66" s="257"/>
      <c r="G66" s="257"/>
      <c r="H66" s="257"/>
      <c r="I66" s="257"/>
      <c r="J66" s="257">
        <f>参数输入表!$I$688*参数输入表!$I$689/10000</f>
        <v>0</v>
      </c>
      <c r="K66" s="257">
        <f>参数输入表!$I$688*参数输入表!$I$689/10000</f>
        <v>0</v>
      </c>
      <c r="L66" s="257">
        <f>参数输入表!$I$688*参数输入表!$I$689/10000</f>
        <v>0</v>
      </c>
      <c r="M66" s="257">
        <f>参数输入表!$I$688*参数输入表!$I$689/10000</f>
        <v>0</v>
      </c>
      <c r="N66" s="257">
        <f>参数输入表!$I$688*参数输入表!$I$689/10000</f>
        <v>0</v>
      </c>
      <c r="O66" s="257">
        <f>参数输入表!$I$688*参数输入表!$I$689/10000</f>
        <v>0</v>
      </c>
      <c r="P66" s="257">
        <f>参数输入表!$I$688*参数输入表!$I$689/10000</f>
        <v>0</v>
      </c>
      <c r="Q66" s="257">
        <f>参数输入表!$I$688*参数输入表!$I$689/10000</f>
        <v>0</v>
      </c>
      <c r="R66" s="257">
        <f>参数输入表!$I$688*参数输入表!$I$689/10000</f>
        <v>0</v>
      </c>
      <c r="S66" s="257">
        <f>参数输入表!$I$688*参数输入表!$I$689/10000</f>
        <v>0</v>
      </c>
      <c r="T66" s="257">
        <f>参数输入表!$I$688*参数输入表!$I$689/10000</f>
        <v>0</v>
      </c>
      <c r="U66" s="257">
        <f>参数输入表!$I$688*参数输入表!$I$689/10000</f>
        <v>0</v>
      </c>
      <c r="V66" s="257">
        <f>参数输入表!$I$688*参数输入表!$I$689/10000</f>
        <v>0</v>
      </c>
      <c r="W66" s="257">
        <f>参数输入表!$I$688*参数输入表!$I$689/10000</f>
        <v>0</v>
      </c>
      <c r="X66" s="257">
        <f>参数输入表!$I$688*参数输入表!$I$689/10000</f>
        <v>0</v>
      </c>
      <c r="Y66" s="257">
        <f>参数输入表!$I$688*参数输入表!$I$689/10000</f>
        <v>0</v>
      </c>
      <c r="Z66" s="257">
        <f>参数输入表!$I$688*参数输入表!$I$689/10000</f>
        <v>0</v>
      </c>
      <c r="AA66" s="257">
        <f>参数输入表!$I$688*参数输入表!$I$689/10000</f>
        <v>0</v>
      </c>
      <c r="AB66" s="257">
        <f>参数输入表!$I$688*参数输入表!$I$689/10000</f>
        <v>0</v>
      </c>
      <c r="AC66" s="257">
        <f>参数输入表!$I$688*参数输入表!$I$689/10000</f>
        <v>0</v>
      </c>
      <c r="AD66" s="257">
        <f>参数输入表!$I$688*参数输入表!$I$689/10000</f>
        <v>0</v>
      </c>
      <c r="AE66" s="257">
        <f>参数输入表!$I$688*参数输入表!$I$689/10000</f>
        <v>0</v>
      </c>
      <c r="AF66" s="257">
        <f>参数输入表!$I$688*参数输入表!$I$689/10000</f>
        <v>0</v>
      </c>
    </row>
    <row r="67" spans="14:32">
      <c r="N67" s="262"/>
      <c r="O67" s="262"/>
      <c r="P67" s="262"/>
      <c r="Q67" s="262"/>
      <c r="R67" s="262"/>
      <c r="S67" s="262"/>
      <c r="T67" s="262"/>
      <c r="U67" s="262"/>
      <c r="V67" s="262"/>
      <c r="W67" s="262"/>
      <c r="X67" s="262"/>
      <c r="Y67" s="262"/>
      <c r="Z67" s="262"/>
      <c r="AA67" s="262"/>
      <c r="AB67" s="262"/>
      <c r="AC67" s="262"/>
      <c r="AD67" s="262"/>
      <c r="AE67" s="262"/>
      <c r="AF67" s="262"/>
    </row>
    <row r="68" ht="19" spans="3:3">
      <c r="C68" s="309" t="s">
        <v>701</v>
      </c>
    </row>
    <row r="69" ht="20" spans="3:3">
      <c r="C69" s="310" t="s">
        <v>702</v>
      </c>
    </row>
    <row r="70" ht="19" spans="3:3">
      <c r="C70" s="309" t="s">
        <v>645</v>
      </c>
    </row>
    <row r="71" ht="19" spans="3:3">
      <c r="C71" s="309" t="s">
        <v>703</v>
      </c>
    </row>
    <row r="72" ht="19" spans="3:3">
      <c r="C72" s="309"/>
    </row>
    <row r="73" ht="24" customHeight="1" spans="2:3">
      <c r="B73" s="311" t="s">
        <v>704</v>
      </c>
      <c r="C73" s="229"/>
    </row>
    <row r="74" spans="2:32">
      <c r="B74" s="312" t="s">
        <v>15</v>
      </c>
      <c r="C74" s="313" t="s">
        <v>463</v>
      </c>
      <c r="D74" s="313" t="s">
        <v>17</v>
      </c>
      <c r="E74" s="313" t="s">
        <v>18</v>
      </c>
      <c r="F74" s="10" t="s">
        <v>464</v>
      </c>
      <c r="G74" s="10" t="s">
        <v>465</v>
      </c>
      <c r="H74" s="10" t="s">
        <v>466</v>
      </c>
      <c r="I74" s="37">
        <v>45107</v>
      </c>
      <c r="J74" s="37">
        <v>45261</v>
      </c>
      <c r="K74" s="10" t="s">
        <v>20</v>
      </c>
      <c r="L74" s="10" t="s">
        <v>467</v>
      </c>
      <c r="M74" s="10" t="s">
        <v>468</v>
      </c>
      <c r="N74" s="10" t="s">
        <v>469</v>
      </c>
      <c r="O74" s="10" t="s">
        <v>470</v>
      </c>
      <c r="P74" s="10" t="s">
        <v>471</v>
      </c>
      <c r="Q74" s="10" t="s">
        <v>472</v>
      </c>
      <c r="R74" s="10" t="s">
        <v>473</v>
      </c>
      <c r="S74" s="10" t="s">
        <v>474</v>
      </c>
      <c r="T74" s="10" t="s">
        <v>475</v>
      </c>
      <c r="U74" s="10" t="s">
        <v>476</v>
      </c>
      <c r="V74" s="10" t="s">
        <v>477</v>
      </c>
      <c r="W74" s="10" t="s">
        <v>478</v>
      </c>
      <c r="X74" s="10" t="s">
        <v>479</v>
      </c>
      <c r="Y74" s="10" t="s">
        <v>480</v>
      </c>
      <c r="Z74" s="10" t="s">
        <v>481</v>
      </c>
      <c r="AA74" s="10" t="s">
        <v>482</v>
      </c>
      <c r="AB74" s="10" t="s">
        <v>483</v>
      </c>
      <c r="AC74" s="10" t="s">
        <v>484</v>
      </c>
      <c r="AD74" s="10" t="s">
        <v>485</v>
      </c>
      <c r="AE74" s="10" t="s">
        <v>486</v>
      </c>
      <c r="AF74" s="37">
        <v>53051</v>
      </c>
    </row>
    <row r="75" spans="2:32">
      <c r="B75" s="314"/>
      <c r="C75" s="315"/>
      <c r="D75" s="315"/>
      <c r="E75" s="315"/>
      <c r="F75" s="14">
        <v>1</v>
      </c>
      <c r="G75" s="14">
        <v>2</v>
      </c>
      <c r="H75" s="14">
        <v>3</v>
      </c>
      <c r="I75" s="14">
        <v>4</v>
      </c>
      <c r="J75" s="38">
        <v>5</v>
      </c>
      <c r="K75" s="38">
        <v>6</v>
      </c>
      <c r="L75" s="38">
        <v>7</v>
      </c>
      <c r="M75" s="38">
        <v>8</v>
      </c>
      <c r="N75" s="38">
        <v>9</v>
      </c>
      <c r="O75" s="38">
        <v>10</v>
      </c>
      <c r="P75" s="38">
        <v>11</v>
      </c>
      <c r="Q75" s="38">
        <v>12</v>
      </c>
      <c r="R75" s="38">
        <v>13</v>
      </c>
      <c r="S75" s="38">
        <v>14</v>
      </c>
      <c r="T75" s="38">
        <v>15</v>
      </c>
      <c r="U75" s="38">
        <v>16</v>
      </c>
      <c r="V75" s="38">
        <v>17</v>
      </c>
      <c r="W75" s="38">
        <v>18</v>
      </c>
      <c r="X75" s="38">
        <v>19</v>
      </c>
      <c r="Y75" s="38">
        <v>20</v>
      </c>
      <c r="Z75" s="38">
        <v>21</v>
      </c>
      <c r="AA75" s="38">
        <v>22</v>
      </c>
      <c r="AB75" s="38">
        <v>23</v>
      </c>
      <c r="AC75" s="38">
        <v>24</v>
      </c>
      <c r="AD75" s="38">
        <v>25</v>
      </c>
      <c r="AE75" s="38">
        <v>26</v>
      </c>
      <c r="AF75" s="38">
        <v>27</v>
      </c>
    </row>
    <row r="76" ht="30.6" customHeight="1" spans="2:32">
      <c r="B76" s="316"/>
      <c r="C76" s="317" t="s">
        <v>507</v>
      </c>
      <c r="D76" s="318"/>
      <c r="E76" s="319" t="s">
        <v>24</v>
      </c>
      <c r="F76" s="318"/>
      <c r="G76" s="318"/>
      <c r="H76" s="318"/>
      <c r="I76" s="318"/>
      <c r="J76" s="318">
        <f>('表4-收入税金表'!J7+'表4-收入税金表'!J35)*(1-参数输入表!$I$564)+(J15+J36)*(1-参数输入表!$I$569)+(J19+J37)*(1-参数输入表!$I$575)+('表4-收入税金表'!J25+'表4-收入税金表'!J39)*(1-参数输入表!$I$583)</f>
        <v>388.41694765</v>
      </c>
      <c r="K76" s="318">
        <f>('表4-收入税金表'!K7+'表4-收入税金表'!K35)*(1-参数输入表!$I$564)+(K15+K36)*(1-参数输入表!$I$569)+(K19+K37)*(1-参数输入表!$I$575)+('表4-收入税金表'!K25+'表4-收入税金表'!K39)*(1-参数输入表!$I$583)</f>
        <v>3319.61349275</v>
      </c>
      <c r="L76" s="318">
        <f>('表4-收入税金表'!L7+'表4-收入税金表'!L35)*(1-参数输入表!$I$564)+(L15+L36)*(1-参数输入表!$I$569)+(L19+L37)*(1-参数输入表!$I$575)+('表4-收入税金表'!L25+'表4-收入税金表'!L39)*(1-参数输入表!$I$583)</f>
        <v>4361.269168</v>
      </c>
      <c r="M76" s="318">
        <f>('表4-收入税金表'!M7+'表4-收入税金表'!M35)*(1-参数输入表!$I$564)+(M15+M36)*(1-参数输入表!$I$569)+(M19+M37)*(1-参数输入表!$I$575)+('表4-收入税金表'!M25+'表4-收入税金表'!M39)*(1-参数输入表!$I$583)</f>
        <v>4342.01656</v>
      </c>
      <c r="N76" s="318">
        <f>('表4-收入税金表'!N7+'表4-收入税金表'!N35)*(1-参数输入表!$I$564)+(N15+N36)*(1-参数输入表!$I$569)+(N19+N37)*(1-参数输入表!$I$575)+('表4-收入税金表'!N25+'表4-收入税金表'!N39)*(1-参数输入表!$I$583)</f>
        <v>4322.764552</v>
      </c>
      <c r="O76" s="318">
        <f>('表4-收入税金表'!O7+'表4-收入税金表'!O35)*(1-参数输入表!$I$564)+(O15+O36)*(1-参数输入表!$I$569)+(O19+O37)*(1-参数输入表!$I$575)+('表4-收入税金表'!O25+'表4-收入税金表'!O39)*(1-参数输入表!$I$583)</f>
        <v>4303.512544</v>
      </c>
      <c r="P76" s="318">
        <f>('表4-收入税金表'!P7+'表4-收入税金表'!P35)*(1-参数输入表!$I$564)+(P15+P36)*(1-参数输入表!$I$569)+(P19+P37)*(1-参数输入表!$I$575)+('表4-收入税金表'!P25+'表4-收入税金表'!P39)*(1-参数输入表!$I$583)</f>
        <v>4284.259936</v>
      </c>
      <c r="Q76" s="318">
        <f>('表4-收入税金表'!Q7+'表4-收入税金表'!Q35)*(1-参数输入表!$I$564)+(Q15+Q36)*(1-参数输入表!$I$569)+(Q19+Q37)*(1-参数输入表!$I$575)+('表4-收入税金表'!Q25+'表4-收入税金表'!Q39)*(1-参数输入表!$I$583)</f>
        <v>4265.007928</v>
      </c>
      <c r="R76" s="318">
        <f>('表4-收入税金表'!R7+'表4-收入税金表'!R35)*(1-参数输入表!$I$564)+(R15+R36)*(1-参数输入表!$I$569)+(R19+R37)*(1-参数输入表!$I$575)+('表4-收入税金表'!R25+'表4-收入税金表'!R39)*(1-参数输入表!$I$583)</f>
        <v>4245.75532</v>
      </c>
      <c r="S76" s="318">
        <f>('表4-收入税金表'!S7+'表4-收入税金表'!S35)*(1-参数输入表!$I$564)+(S15+S36)*(1-参数输入表!$I$569)+(S19+S37)*(1-参数输入表!$I$575)+('表4-收入税金表'!S25+'表4-收入税金表'!S39)*(1-参数输入表!$I$583)</f>
        <v>4226.503312</v>
      </c>
      <c r="T76" s="318">
        <f>('表4-收入税金表'!T7+'表4-收入税金表'!T35)*(1-参数输入表!$I$564)+(T15+T36)*(1-参数输入表!$I$569)+(T19+T37)*(1-参数输入表!$I$575)+('表4-收入税金表'!T25+'表4-收入税金表'!T39)*(1-参数输入表!$I$583)</f>
        <v>4207.251304</v>
      </c>
      <c r="U76" s="318">
        <f>('表4-收入税金表'!U7+'表4-收入税金表'!U35)*(1-参数输入表!$I$564)+(U15+U36)*(1-参数输入表!$I$569)+(U19+U37)*(1-参数输入表!$I$575)+('表4-收入税金表'!U25+'表4-收入税金表'!U39)*(1-参数输入表!$I$583)</f>
        <v>4187.998696</v>
      </c>
      <c r="V76" s="318">
        <f>('表4-收入税金表'!V7+'表4-收入税金表'!V35)*(1-参数输入表!$I$564)+(V15+V36)*(1-参数输入表!$I$569)+(V19+V37)*(1-参数输入表!$I$575)+('表4-收入税金表'!V25+'表4-收入税金表'!V39)*(1-参数输入表!$I$583)</f>
        <v>4168.746688</v>
      </c>
      <c r="W76" s="318">
        <f>('表4-收入税金表'!W7+'表4-收入税金表'!W35)*(1-参数输入表!$I$564)+(W15+W36)*(1-参数输入表!$I$569)+(W19+W37)*(1-参数输入表!$I$575)+('表4-收入税金表'!W25+'表4-收入税金表'!W39)*(1-参数输入表!$I$583)</f>
        <v>4149.49408</v>
      </c>
      <c r="X76" s="318">
        <f>('表4-收入税金表'!X7+'表4-收入税金表'!X35)*(1-参数输入表!$I$564)+(X15+X36)*(1-参数输入表!$I$569)+(X19+X37)*(1-参数输入表!$I$575)+('表4-收入税金表'!X25+'表4-收入税金表'!X39)*(1-参数输入表!$I$583)</f>
        <v>4130.242072</v>
      </c>
      <c r="Y76" s="318">
        <f>('表4-收入税金表'!Y7+'表4-收入税金表'!Y35)*(1-参数输入表!$I$564)+(Y15+Y36)*(1-参数输入表!$I$569)+(Y19+Y37)*(1-参数输入表!$I$575)+('表4-收入税金表'!Y25+'表4-收入税金表'!Y39)*(1-参数输入表!$I$583)</f>
        <v>4110.990064</v>
      </c>
      <c r="Z76" s="318">
        <f>('表4-收入税金表'!Z7+'表4-收入税金表'!Z35)*(1-参数输入表!$I$564)+(Z15+Z36)*(1-参数输入表!$I$569)+(Z19+Z37)*(1-参数输入表!$I$575)+('表4-收入税金表'!Z25+'表4-收入税金表'!Z39)*(1-参数输入表!$I$583)</f>
        <v>3510.250012</v>
      </c>
      <c r="AA76" s="318">
        <f>('表4-收入税金表'!AA7+'表4-收入税金表'!AA35)*(1-参数输入表!$I$564)+(AA15+AA36)*(1-参数输入表!$I$569)+(AA19+AA37)*(1-参数输入表!$I$575)+('表4-收入税金表'!AA25+'表4-收入税金表'!AA39)*(1-参数输入表!$I$583)</f>
        <v>3164.716168</v>
      </c>
      <c r="AB76" s="318">
        <f>('表4-收入税金表'!AB7+'表4-收入税金表'!AB35)*(1-参数输入表!$I$564)+(AB15+AB36)*(1-参数输入表!$I$569)+(AB19+AB37)*(1-参数输入表!$I$575)+('表4-收入税金表'!AB25+'表4-收入税金表'!AB39)*(1-参数输入表!$I$583)</f>
        <v>3149.93044</v>
      </c>
      <c r="AC76" s="318">
        <f>('表4-收入税金表'!AC7+'表4-收入税金表'!AC35)*(1-参数输入表!$I$564)+(AC15+AC36)*(1-参数输入表!$I$569)+(AC19+AC37)*(1-参数输入表!$I$575)+('表4-收入税金表'!AC25+'表4-收入税金表'!AC39)*(1-参数输入表!$I$583)</f>
        <v>3135.145312</v>
      </c>
      <c r="AD76" s="318">
        <f>('表4-收入税金表'!AD7+'表4-收入税金表'!AD35)*(1-参数输入表!$I$564)+(AD15+AD36)*(1-参数输入表!$I$569)+(AD19+AD37)*(1-参数输入表!$I$575)+('表4-收入税金表'!AD25+'表4-收入税金表'!AD39)*(1-参数输入表!$I$583)</f>
        <v>3120.360184</v>
      </c>
      <c r="AE76" s="318">
        <f>('表4-收入税金表'!AE7+'表4-收入税金表'!AE35)*(1-参数输入表!$I$564)+(AE15+AE36)*(1-参数输入表!$I$569)+(AE19+AE37)*(1-参数输入表!$I$575)+('表4-收入税金表'!AE25+'表4-收入税金表'!AE39)*(1-参数输入表!$I$583)</f>
        <v>3105.574456</v>
      </c>
      <c r="AF76" s="318">
        <v>0</v>
      </c>
    </row>
    <row r="77" ht="22.5" spans="3:3">
      <c r="C77" s="93" t="s">
        <v>705</v>
      </c>
    </row>
    <row r="78" ht="19" spans="3:3">
      <c r="C78" s="309"/>
    </row>
    <row r="79" ht="19" spans="3:3">
      <c r="C79" s="309"/>
    </row>
    <row r="80" ht="24" customHeight="1" spans="2:3">
      <c r="B80" s="311" t="s">
        <v>706</v>
      </c>
      <c r="C80" s="229"/>
    </row>
    <row r="81" spans="2:32">
      <c r="B81" s="312" t="s">
        <v>15</v>
      </c>
      <c r="C81" s="313" t="s">
        <v>463</v>
      </c>
      <c r="D81" s="313" t="s">
        <v>17</v>
      </c>
      <c r="E81" s="313" t="s">
        <v>18</v>
      </c>
      <c r="F81" s="10" t="s">
        <v>464</v>
      </c>
      <c r="G81" s="10" t="s">
        <v>465</v>
      </c>
      <c r="H81" s="10" t="s">
        <v>466</v>
      </c>
      <c r="I81" s="37">
        <v>45107</v>
      </c>
      <c r="J81" s="37">
        <v>45261</v>
      </c>
      <c r="K81" s="10" t="s">
        <v>20</v>
      </c>
      <c r="L81" s="10" t="s">
        <v>467</v>
      </c>
      <c r="M81" s="10" t="s">
        <v>468</v>
      </c>
      <c r="N81" s="10" t="s">
        <v>469</v>
      </c>
      <c r="O81" s="10" t="s">
        <v>470</v>
      </c>
      <c r="P81" s="10" t="s">
        <v>471</v>
      </c>
      <c r="Q81" s="10" t="s">
        <v>472</v>
      </c>
      <c r="R81" s="10" t="s">
        <v>473</v>
      </c>
      <c r="S81" s="10" t="s">
        <v>474</v>
      </c>
      <c r="T81" s="10" t="s">
        <v>475</v>
      </c>
      <c r="U81" s="10" t="s">
        <v>476</v>
      </c>
      <c r="V81" s="10" t="s">
        <v>477</v>
      </c>
      <c r="W81" s="10" t="s">
        <v>478</v>
      </c>
      <c r="X81" s="10" t="s">
        <v>479</v>
      </c>
      <c r="Y81" s="10" t="s">
        <v>480</v>
      </c>
      <c r="Z81" s="10" t="s">
        <v>481</v>
      </c>
      <c r="AA81" s="10" t="s">
        <v>482</v>
      </c>
      <c r="AB81" s="10" t="s">
        <v>483</v>
      </c>
      <c r="AC81" s="10" t="s">
        <v>484</v>
      </c>
      <c r="AD81" s="10" t="s">
        <v>485</v>
      </c>
      <c r="AE81" s="10" t="s">
        <v>486</v>
      </c>
      <c r="AF81" s="37">
        <v>53051</v>
      </c>
    </row>
    <row r="82" spans="2:32">
      <c r="B82" s="314"/>
      <c r="C82" s="315"/>
      <c r="D82" s="315"/>
      <c r="E82" s="315"/>
      <c r="F82" s="14">
        <v>1</v>
      </c>
      <c r="G82" s="14">
        <v>2</v>
      </c>
      <c r="H82" s="14">
        <v>3</v>
      </c>
      <c r="I82" s="14">
        <v>4</v>
      </c>
      <c r="J82" s="38">
        <v>5</v>
      </c>
      <c r="K82" s="38">
        <v>6</v>
      </c>
      <c r="L82" s="38">
        <v>7</v>
      </c>
      <c r="M82" s="38">
        <v>8</v>
      </c>
      <c r="N82" s="38">
        <v>9</v>
      </c>
      <c r="O82" s="38">
        <v>10</v>
      </c>
      <c r="P82" s="38">
        <v>11</v>
      </c>
      <c r="Q82" s="38">
        <v>12</v>
      </c>
      <c r="R82" s="38">
        <v>13</v>
      </c>
      <c r="S82" s="38">
        <v>14</v>
      </c>
      <c r="T82" s="38">
        <v>15</v>
      </c>
      <c r="U82" s="38">
        <v>16</v>
      </c>
      <c r="V82" s="38">
        <v>17</v>
      </c>
      <c r="W82" s="38">
        <v>18</v>
      </c>
      <c r="X82" s="38">
        <v>19</v>
      </c>
      <c r="Y82" s="38">
        <v>20</v>
      </c>
      <c r="Z82" s="38">
        <v>21</v>
      </c>
      <c r="AA82" s="38">
        <v>22</v>
      </c>
      <c r="AB82" s="38">
        <v>23</v>
      </c>
      <c r="AC82" s="38">
        <v>24</v>
      </c>
      <c r="AD82" s="38">
        <v>25</v>
      </c>
      <c r="AE82" s="38">
        <v>26</v>
      </c>
      <c r="AF82" s="38">
        <v>27</v>
      </c>
    </row>
    <row r="83" spans="2:32">
      <c r="B83" s="320" t="s">
        <v>606</v>
      </c>
      <c r="C83" s="35" t="s">
        <v>505</v>
      </c>
      <c r="D83" s="321"/>
      <c r="E83" s="322" t="s">
        <v>24</v>
      </c>
      <c r="F83" s="323"/>
      <c r="G83" s="323"/>
      <c r="H83" s="323"/>
      <c r="I83" s="334">
        <f>SUM(I84:I92)</f>
        <v>10648.6197548333</v>
      </c>
      <c r="J83" s="334">
        <f ca="1" t="shared" ref="J83:AF83" si="40">SUM(J84:J92)</f>
        <v>7600.63371996063</v>
      </c>
      <c r="K83" s="334">
        <f ca="1" t="shared" si="40"/>
        <v>7712.78867306769</v>
      </c>
      <c r="L83" s="334">
        <f ca="1" t="shared" si="40"/>
        <v>5854.51997254553</v>
      </c>
      <c r="M83" s="334">
        <f ca="1" t="shared" si="40"/>
        <v>5030.84593383952</v>
      </c>
      <c r="N83" s="334">
        <f ca="1" t="shared" si="40"/>
        <v>4989.50997049692</v>
      </c>
      <c r="O83" s="334">
        <f ca="1" t="shared" si="40"/>
        <v>4948.76833427466</v>
      </c>
      <c r="P83" s="334">
        <f ca="1" t="shared" si="40"/>
        <v>4907.29765326141</v>
      </c>
      <c r="Q83" s="334">
        <f ca="1" t="shared" si="40"/>
        <v>4865.06787212983</v>
      </c>
      <c r="R83" s="334">
        <f ca="1" t="shared" si="40"/>
        <v>4874.11276941236</v>
      </c>
      <c r="S83" s="334">
        <f ca="1" t="shared" si="40"/>
        <v>4833.01602309135</v>
      </c>
      <c r="T83" s="334">
        <f ca="1" t="shared" si="40"/>
        <v>4790.39777858328</v>
      </c>
      <c r="U83" s="334">
        <f ca="1" t="shared" si="40"/>
        <v>4746.98557018203</v>
      </c>
      <c r="V83" s="334">
        <f ca="1" t="shared" si="40"/>
        <v>4707.60609942628</v>
      </c>
      <c r="W83" s="334">
        <f ca="1" t="shared" si="40"/>
        <v>4678.52411262137</v>
      </c>
      <c r="X83" s="334">
        <f ca="1" t="shared" si="40"/>
        <v>4659.54229042021</v>
      </c>
      <c r="Y83" s="334">
        <f ca="1" t="shared" si="40"/>
        <v>4639.31202462307</v>
      </c>
      <c r="Z83" s="334">
        <f ca="1" t="shared" si="40"/>
        <v>3958.6515357906</v>
      </c>
      <c r="AA83" s="334">
        <f ca="1" t="shared" si="40"/>
        <v>3556.80261707137</v>
      </c>
      <c r="AB83" s="334">
        <f ca="1" t="shared" si="40"/>
        <v>3575.31416934618</v>
      </c>
      <c r="AC83" s="334">
        <f ca="1" t="shared" si="40"/>
        <v>3644.68378878344</v>
      </c>
      <c r="AD83" s="334">
        <f ca="1" t="shared" si="40"/>
        <v>3644.78055316454</v>
      </c>
      <c r="AE83" s="334">
        <f ca="1" t="shared" si="40"/>
        <v>3630.36804602826</v>
      </c>
      <c r="AF83" s="334">
        <f t="shared" si="40"/>
        <v>0</v>
      </c>
    </row>
    <row r="84" spans="2:32">
      <c r="B84" s="324">
        <v>1.1</v>
      </c>
      <c r="C84" s="290" t="s">
        <v>507</v>
      </c>
      <c r="D84" s="321"/>
      <c r="E84" s="322" t="s">
        <v>24</v>
      </c>
      <c r="F84" s="323"/>
      <c r="G84" s="323"/>
      <c r="H84" s="323"/>
      <c r="I84" s="43">
        <f>'表10-资产负债表(标准格式)'!H14-折现率、非经营、长投计算表!E26</f>
        <v>9817.627645</v>
      </c>
      <c r="J84" s="44">
        <f>J76+IF(参数输入表!$I$721="手动输入",基准日往来账处理!J13,基准日往来账处理!J91)</f>
        <v>7206.04459265</v>
      </c>
      <c r="K84" s="44">
        <f>K76+IF(参数输入表!$I$721="手动输入",基准日往来账处理!K13,基准日往来账处理!K91)</f>
        <v>7137.24113775</v>
      </c>
      <c r="L84" s="44">
        <f>L76+IF(参数输入表!$I$721="手动输入",基准日往来账处理!L13,基准日往来账处理!L91)</f>
        <v>5178.896813</v>
      </c>
      <c r="M84" s="44">
        <f>M76+IF(参数输入表!$I$721="手动输入",基准日往来账处理!M13,基准日往来账处理!M91)</f>
        <v>4342.01656</v>
      </c>
      <c r="N84" s="44">
        <f>N76+IF(参数输入表!$I$721="手动输入",基准日往来账处理!N13,基准日往来账处理!N91)</f>
        <v>4322.764552</v>
      </c>
      <c r="O84" s="44">
        <f>O76+IF(参数输入表!$I$721="手动输入",基准日往来账处理!O13,基准日往来账处理!O91)</f>
        <v>4303.512544</v>
      </c>
      <c r="P84" s="44">
        <f>P76+IF(参数输入表!$I$721="手动输入",基准日往来账处理!P13,基准日往来账处理!P91)</f>
        <v>4284.259936</v>
      </c>
      <c r="Q84" s="44">
        <f>Q76+IF(参数输入表!$I$721="手动输入",基准日往来账处理!Q13,基准日往来账处理!Q91)</f>
        <v>4265.007928</v>
      </c>
      <c r="R84" s="44">
        <f>R76+IF(参数输入表!$I$721="手动输入",基准日往来账处理!R13,基准日往来账处理!R91)</f>
        <v>4245.75532</v>
      </c>
      <c r="S84" s="44">
        <f>S76+IF(参数输入表!$I$721="手动输入",基准日往来账处理!S13,基准日往来账处理!S91)</f>
        <v>4226.503312</v>
      </c>
      <c r="T84" s="44">
        <f>T76+IF(参数输入表!$I$721="手动输入",基准日往来账处理!T13,基准日往来账处理!T91)</f>
        <v>4207.251304</v>
      </c>
      <c r="U84" s="44">
        <f>U76+IF(参数输入表!$I$721="手动输入",基准日往来账处理!U13,基准日往来账处理!U91)</f>
        <v>4187.998696</v>
      </c>
      <c r="V84" s="44">
        <f>V76+IF(参数输入表!$I$721="手动输入",基准日往来账处理!V13,基准日往来账处理!V91)</f>
        <v>4168.746688</v>
      </c>
      <c r="W84" s="44">
        <f>W76+IF(参数输入表!$I$721="手动输入",基准日往来账处理!W13,基准日往来账处理!W91)</f>
        <v>4149.49408</v>
      </c>
      <c r="X84" s="44">
        <f>X76+IF(参数输入表!$I$721="手动输入",基准日往来账处理!X13,基准日往来账处理!X91)</f>
        <v>4130.242072</v>
      </c>
      <c r="Y84" s="44">
        <f>Y76+IF(参数输入表!$I$721="手动输入",基准日往来账处理!Y13,基准日往来账处理!Y91)</f>
        <v>4110.990064</v>
      </c>
      <c r="Z84" s="44">
        <f>Z76+IF(参数输入表!$I$721="手动输入",基准日往来账处理!Z13,基准日往来账处理!Z91)</f>
        <v>3510.250012</v>
      </c>
      <c r="AA84" s="44">
        <f>AA76+IF(参数输入表!$I$721="手动输入",基准日往来账处理!AA13,基准日往来账处理!AA91)</f>
        <v>3164.716168</v>
      </c>
      <c r="AB84" s="44">
        <f>AB76+IF(参数输入表!$I$721="手动输入",基准日往来账处理!AB13,基准日往来账处理!AB91)</f>
        <v>3149.93044</v>
      </c>
      <c r="AC84" s="44">
        <f>AC76+IF(参数输入表!$I$721="手动输入",基准日往来账处理!AC13,基准日往来账处理!AC91)</f>
        <v>3135.145312</v>
      </c>
      <c r="AD84" s="44">
        <f>AD76+IF(参数输入表!$I$721="手动输入",基准日往来账处理!AD13,基准日往来账处理!AD91)</f>
        <v>3120.360184</v>
      </c>
      <c r="AE84" s="44">
        <f>AE76+IF(参数输入表!$I$721="手动输入",基准日往来账处理!AE13,基准日往来账处理!AE91)</f>
        <v>3105.574456</v>
      </c>
      <c r="AF84" s="336">
        <v>0</v>
      </c>
    </row>
    <row r="85" spans="2:32">
      <c r="B85" s="324">
        <v>1.2</v>
      </c>
      <c r="C85" s="290" t="s">
        <v>508</v>
      </c>
      <c r="D85" s="321"/>
      <c r="E85" s="322" t="s">
        <v>24</v>
      </c>
      <c r="F85" s="323"/>
      <c r="G85" s="323"/>
      <c r="H85" s="323"/>
      <c r="I85" s="43">
        <f>'表10-资产负债表(标准格式)'!H24-折现率、非经营、长投计算表!E31</f>
        <v>7.733813</v>
      </c>
      <c r="J85" s="44">
        <f>I85</f>
        <v>7.733813</v>
      </c>
      <c r="K85" s="44">
        <f t="shared" ref="K85:AE85" si="41">J85</f>
        <v>7.733813</v>
      </c>
      <c r="L85" s="44">
        <f t="shared" si="41"/>
        <v>7.733813</v>
      </c>
      <c r="M85" s="44">
        <f t="shared" si="41"/>
        <v>7.733813</v>
      </c>
      <c r="N85" s="44">
        <f t="shared" si="41"/>
        <v>7.733813</v>
      </c>
      <c r="O85" s="44">
        <f t="shared" si="41"/>
        <v>7.733813</v>
      </c>
      <c r="P85" s="44">
        <f t="shared" si="41"/>
        <v>7.733813</v>
      </c>
      <c r="Q85" s="44">
        <f t="shared" si="41"/>
        <v>7.733813</v>
      </c>
      <c r="R85" s="44">
        <f t="shared" si="41"/>
        <v>7.733813</v>
      </c>
      <c r="S85" s="44">
        <f t="shared" si="41"/>
        <v>7.733813</v>
      </c>
      <c r="T85" s="44">
        <f t="shared" si="41"/>
        <v>7.733813</v>
      </c>
      <c r="U85" s="44">
        <f t="shared" si="41"/>
        <v>7.733813</v>
      </c>
      <c r="V85" s="44">
        <f t="shared" si="41"/>
        <v>7.733813</v>
      </c>
      <c r="W85" s="44">
        <f t="shared" si="41"/>
        <v>7.733813</v>
      </c>
      <c r="X85" s="44">
        <f t="shared" si="41"/>
        <v>7.733813</v>
      </c>
      <c r="Y85" s="44">
        <f t="shared" si="41"/>
        <v>7.733813</v>
      </c>
      <c r="Z85" s="44">
        <f t="shared" si="41"/>
        <v>7.733813</v>
      </c>
      <c r="AA85" s="44">
        <f t="shared" si="41"/>
        <v>7.733813</v>
      </c>
      <c r="AB85" s="44">
        <f t="shared" si="41"/>
        <v>7.733813</v>
      </c>
      <c r="AC85" s="44">
        <f t="shared" si="41"/>
        <v>7.733813</v>
      </c>
      <c r="AD85" s="44">
        <f t="shared" si="41"/>
        <v>7.733813</v>
      </c>
      <c r="AE85" s="44">
        <f t="shared" si="41"/>
        <v>7.733813</v>
      </c>
      <c r="AF85" s="336">
        <v>0</v>
      </c>
    </row>
    <row r="86" spans="2:32">
      <c r="B86" s="324">
        <v>1.3</v>
      </c>
      <c r="C86" s="290" t="s">
        <v>707</v>
      </c>
      <c r="D86" s="321"/>
      <c r="E86" s="322" t="s">
        <v>24</v>
      </c>
      <c r="F86" s="323"/>
      <c r="G86" s="323"/>
      <c r="H86" s="323"/>
      <c r="I86" s="43">
        <f>IF(参数输入表!I722="自动计算",('表5-利润表-资本金(标准格式)'!I10-'表2-折旧摊销表'!I135+'表5-利润表-资本金(标准格式)'!I50)/MONTH(参数输入表!$I$8),'表10-资产负债表(标准格式)'!H7-参数输入表!I723)</f>
        <v>185.264964833333</v>
      </c>
      <c r="J86" s="43">
        <f ca="1">('表3-成本费用表'!J31-'表3-成本费用表'!J36-'表3-成本费用表'!J37+'表5-利润表-资本金(标准格式)'!J19+'表5-利润表-资本金(标准格式)'!J50+'表5-利润表-资本金(标准格式)'!J23)/(12-MONTH(参数输入表!$I$8))</f>
        <v>160.21309831063</v>
      </c>
      <c r="K86" s="43">
        <f ca="1">('表3-成本费用表'!K31-'表3-成本费用表'!K36-'表3-成本费用表'!K37+'表5-利润表-资本金(标准格式)'!K19+'表5-利润表-资本金(标准格式)'!K50+'表5-利润表-资本金(标准格式)'!K23)/12</f>
        <v>467.813722317692</v>
      </c>
      <c r="L86" s="43">
        <f ca="1">('表3-成本费用表'!L31-'表3-成本费用表'!L36-'表3-成本费用表'!L37+'表5-利润表-资本金(标准格式)'!L19+'表5-利润表-资本金(标准格式)'!L50+'表5-利润表-资本金(标准格式)'!L23)/12</f>
        <v>667.889346545534</v>
      </c>
      <c r="M86" s="43">
        <f ca="1">('表3-成本费用表'!M31-'表3-成本费用表'!M36-'表3-成本费用表'!M37+'表5-利润表-资本金(标准格式)'!M19+'表5-利润表-资本金(标准格式)'!M50+'表5-利润表-资本金(标准格式)'!M23)/12</f>
        <v>681.095560839525</v>
      </c>
      <c r="N86" s="43">
        <f ca="1">('表3-成本费用表'!N31-'表3-成本费用表'!N36-'表3-成本费用表'!N37+'表5-利润表-资本金(标准格式)'!N19+'表5-利润表-资本金(标准格式)'!N50+'表5-利润表-资本金(标准格式)'!N23)/12</f>
        <v>659.011605496923</v>
      </c>
      <c r="O86" s="43">
        <f ca="1">('表3-成本费用表'!O31-'表3-成本费用表'!O36-'表3-成本费用表'!O37+'表5-利润表-资本金(标准格式)'!O19+'表5-利润表-资本金(标准格式)'!O50+'表5-利润表-资本金(标准格式)'!O23)/12</f>
        <v>637.521977274664</v>
      </c>
      <c r="P86" s="43">
        <f ca="1">('表3-成本费用表'!P31-'表3-成本费用表'!P36-'表3-成本费用表'!P37+'表5-利润表-资本金(标准格式)'!P19+'表5-利润表-资本金(标准格式)'!P50+'表5-利润表-资本金(标准格式)'!P23)/12</f>
        <v>615.303904261414</v>
      </c>
      <c r="Q86" s="43">
        <f ca="1">('表3-成本费用表'!Q31-'表3-成本费用表'!Q36-'表3-成本费用表'!Q37+'表5-利润表-资本金(标准格式)'!Q19+'表5-利润表-资本金(标准格式)'!Q50+'表5-利润表-资本金(标准格式)'!Q23)/12</f>
        <v>592.326131129833</v>
      </c>
      <c r="R86" s="43">
        <f ca="1">('表3-成本费用表'!R31-'表3-成本费用表'!R36-'表3-成本费用表'!R37+'表5-利润表-资本金(标准格式)'!R19+'表5-利润表-资本金(标准格式)'!R50+'表5-利润表-资本金(标准格式)'!R23)/12</f>
        <v>620.623636412358</v>
      </c>
      <c r="S86" s="43">
        <f ca="1">('表3-成本费用表'!S31-'表3-成本费用表'!S36-'表3-成本费用表'!S37+'表5-利润表-资本金(标准格式)'!S19+'表5-利润表-资本金(标准格式)'!S50+'表5-利润表-资本金(标准格式)'!S23)/12</f>
        <v>598.778898091354</v>
      </c>
      <c r="T86" s="43">
        <f ca="1">('表3-成本费用表'!T31-'表3-成本费用表'!T36-'表3-成本费用表'!T37+'表5-利润表-资本金(标准格式)'!T19+'表5-利润表-资本金(标准格式)'!T50+'表5-利润表-资本金(标准格式)'!T23)/12</f>
        <v>575.412661583282</v>
      </c>
      <c r="U86" s="43">
        <f ca="1">('表3-成本费用表'!U31-'表3-成本费用表'!U36-'表3-成本费用表'!U37+'表5-利润表-资本金(标准格式)'!U19+'表5-利润表-资本金(标准格式)'!U50+'表5-利润表-资本金(标准格式)'!U23)/12</f>
        <v>551.253061182033</v>
      </c>
      <c r="V86" s="43">
        <f ca="1">('表3-成本费用表'!V31-'表3-成本费用表'!V36-'表3-成本费用表'!V37+'表5-利润表-资本金(标准格式)'!V19+'表5-利润表-资本金(标准格式)'!V50+'表5-利润表-资本金(标准格式)'!V23)/12</f>
        <v>531.125598426284</v>
      </c>
      <c r="W86" s="43">
        <f ca="1">('表3-成本费用表'!W31-'表3-成本费用表'!W36-'表3-成本费用表'!W37+'表5-利润表-资本金(标准格式)'!W19+'表5-利润表-资本金(标准格式)'!W50+'表5-利润表-资本金(标准格式)'!W23)/12</f>
        <v>521.296219621374</v>
      </c>
      <c r="X86" s="43">
        <f ca="1">('表3-成本费用表'!X31-'表3-成本费用表'!X36-'表3-成本费用表'!X37+'表5-利润表-资本金(标准格式)'!X19+'表5-利润表-资本金(标准格式)'!X50+'表5-利润表-资本金(标准格式)'!X23)/12</f>
        <v>521.566405420211</v>
      </c>
      <c r="Y86" s="43">
        <f ca="1">('表3-成本费用表'!Y31-'表3-成本费用表'!Y36-'表3-成本费用表'!Y37+'表5-利润表-资本金(标准格式)'!Y19+'表5-利润表-资本金(标准格式)'!Y50+'表5-利润表-资本金(标准格式)'!Y23)/12</f>
        <v>520.588147623067</v>
      </c>
      <c r="Z86" s="43">
        <f ca="1">('表3-成本费用表'!Z31-'表3-成本费用表'!Z36-'表3-成本费用表'!Z37+'表5-利润表-资本金(标准格式)'!Z19+'表5-利润表-资本金(标准格式)'!Z50+'表5-利润表-资本金(标准格式)'!Z23)/12</f>
        <v>440.667710790597</v>
      </c>
      <c r="AA86" s="43">
        <f ca="1">('表3-成本费用表'!AA31-'表3-成本费用表'!AA36-'表3-成本费用表'!AA37+'表5-利润表-资本金(标准格式)'!AA19+'表5-利润表-资本金(标准格式)'!AA50+'表5-利润表-资本金(标准格式)'!AA23)/12</f>
        <v>384.352636071367</v>
      </c>
      <c r="AB86" s="43">
        <f ca="1">('表3-成本费用表'!AB31-'表3-成本费用表'!AB36-'表3-成本费用表'!AB37+'表5-利润表-资本金(标准格式)'!AB19+'表5-利润表-资本金(标准格式)'!AB50+'表5-利润表-资本金(标准格式)'!AB23)/12</f>
        <v>417.64991634618</v>
      </c>
      <c r="AC86" s="43">
        <f ca="1">('表3-成本费用表'!AC31-'表3-成本费用表'!AC36-'表3-成本费用表'!AC37+'表5-利润表-资本金(标准格式)'!AC19+'表5-利润表-资本金(标准格式)'!AC50+'表5-利润表-资本金(标准格式)'!AC23)/12</f>
        <v>501.804663783442</v>
      </c>
      <c r="AD86" s="43">
        <f ca="1">('表3-成本费用表'!AD31-'表3-成本费用表'!AD36-'表3-成本费用表'!AD37+'表5-利润表-资本金(标准格式)'!AD19+'表5-利润表-资本金(标准格式)'!AD50+'表5-利润表-资本金(标准格式)'!AD23)/12</f>
        <v>516.686556164544</v>
      </c>
      <c r="AE86" s="43">
        <f ca="1">('表3-成本费用表'!AE31-'表3-成本费用表'!AE36-'表3-成本费用表'!AE37+'表5-利润表-资本金(标准格式)'!AE19+'表5-利润表-资本金(标准格式)'!AE50+'表5-利润表-资本金(标准格式)'!AE23)/12</f>
        <v>517.059777028261</v>
      </c>
      <c r="AF86" s="336">
        <v>0</v>
      </c>
    </row>
    <row r="87" spans="2:32">
      <c r="B87" s="324">
        <v>1.4</v>
      </c>
      <c r="C87" s="290" t="s">
        <v>708</v>
      </c>
      <c r="D87" s="321"/>
      <c r="E87" s="322" t="s">
        <v>24</v>
      </c>
      <c r="F87" s="323"/>
      <c r="G87" s="323"/>
      <c r="H87" s="323"/>
      <c r="I87" s="43">
        <f>'表10-资产负债表(标准格式)'!H16-折现率、非经营、长投计算表!E27</f>
        <v>300</v>
      </c>
      <c r="J87" s="44">
        <f>IF(参数输入表!$I$721="手动输入",基准日往来账处理!J17,基准日往来账处理!J95)</f>
        <v>200</v>
      </c>
      <c r="K87" s="44">
        <f>IF(参数输入表!$I$721="手动输入",基准日往来账处理!K17,基准日往来账处理!K95)</f>
        <v>100</v>
      </c>
      <c r="L87" s="44">
        <f>IF(参数输入表!$I$721="手动输入",基准日往来账处理!L17,基准日往来账处理!L95)</f>
        <v>0</v>
      </c>
      <c r="M87" s="44">
        <f>IF(参数输入表!$I$721="手动输入",基准日往来账处理!M17,基准日往来账处理!M95)</f>
        <v>0</v>
      </c>
      <c r="N87" s="44">
        <f>IF(参数输入表!$I$721="手动输入",基准日往来账处理!N17,基准日往来账处理!N95)</f>
        <v>0</v>
      </c>
      <c r="O87" s="44">
        <f>IF(参数输入表!$I$721="手动输入",基准日往来账处理!O17,基准日往来账处理!O95)</f>
        <v>0</v>
      </c>
      <c r="P87" s="44">
        <f>IF(参数输入表!$I$721="手动输入",基准日往来账处理!P17,基准日往来账处理!P95)</f>
        <v>0</v>
      </c>
      <c r="Q87" s="44">
        <f>IF(参数输入表!$I$721="手动输入",基准日往来账处理!Q17,基准日往来账处理!Q95)</f>
        <v>0</v>
      </c>
      <c r="R87" s="44">
        <f>IF(参数输入表!$I$721="手动输入",基准日往来账处理!R17,基准日往来账处理!R95)</f>
        <v>0</v>
      </c>
      <c r="S87" s="44">
        <f>IF(参数输入表!$I$721="手动输入",基准日往来账处理!S17,基准日往来账处理!S95)</f>
        <v>0</v>
      </c>
      <c r="T87" s="44">
        <f>IF(参数输入表!$I$721="手动输入",基准日往来账处理!T17,基准日往来账处理!T95)</f>
        <v>0</v>
      </c>
      <c r="U87" s="44">
        <f>IF(参数输入表!$I$721="手动输入",基准日往来账处理!U17,基准日往来账处理!U95)</f>
        <v>0</v>
      </c>
      <c r="V87" s="44">
        <f>IF(参数输入表!$I$721="手动输入",基准日往来账处理!V17,基准日往来账处理!V95)</f>
        <v>0</v>
      </c>
      <c r="W87" s="44">
        <f>IF(参数输入表!$I$721="手动输入",基准日往来账处理!W17,基准日往来账处理!W95)</f>
        <v>0</v>
      </c>
      <c r="X87" s="44">
        <f>IF(参数输入表!$I$721="手动输入",基准日往来账处理!X17,基准日往来账处理!X95)</f>
        <v>0</v>
      </c>
      <c r="Y87" s="44">
        <f>IF(参数输入表!$I$721="手动输入",基准日往来账处理!Y17,基准日往来账处理!Y95)</f>
        <v>0</v>
      </c>
      <c r="Z87" s="44">
        <f>IF(参数输入表!$I$721="手动输入",基准日往来账处理!Z17,基准日往来账处理!Z95)</f>
        <v>0</v>
      </c>
      <c r="AA87" s="44">
        <f>IF(参数输入表!$I$721="手动输入",基准日往来账处理!AA17,基准日往来账处理!AA95)</f>
        <v>0</v>
      </c>
      <c r="AB87" s="44">
        <f>IF(参数输入表!$I$721="手动输入",基准日往来账处理!AB17,基准日往来账处理!AB95)</f>
        <v>0</v>
      </c>
      <c r="AC87" s="44">
        <f>IF(参数输入表!$I$721="手动输入",基准日往来账处理!AC17,基准日往来账处理!AC95)</f>
        <v>0</v>
      </c>
      <c r="AD87" s="44">
        <f>IF(参数输入表!$I$721="手动输入",基准日往来账处理!AD17,基准日往来账处理!AD95)</f>
        <v>0</v>
      </c>
      <c r="AE87" s="44">
        <f>IF(参数输入表!$I$721="手动输入",基准日往来账处理!AE17,基准日往来账处理!AE95)</f>
        <v>0</v>
      </c>
      <c r="AF87" s="336">
        <v>0</v>
      </c>
    </row>
    <row r="88" spans="2:32">
      <c r="B88" s="324">
        <v>1.5</v>
      </c>
      <c r="C88" s="290" t="s">
        <v>709</v>
      </c>
      <c r="D88" s="321"/>
      <c r="E88" s="322" t="s">
        <v>24</v>
      </c>
      <c r="F88" s="323"/>
      <c r="G88" s="323"/>
      <c r="H88" s="323"/>
      <c r="I88" s="43">
        <f>'表10-资产负债表(标准格式)'!H13-折现率、非经营、长投计算表!E25</f>
        <v>46.642216</v>
      </c>
      <c r="J88" s="44">
        <f>IF(参数输入表!$I$721="手动输入",基准日往来账处理!J9,基准日往来账处理!J87)</f>
        <v>26.642216</v>
      </c>
      <c r="K88" s="44">
        <f>IF(参数输入表!$I$721="手动输入",基准日往来账处理!K9,基准日往来账处理!K87)</f>
        <v>0</v>
      </c>
      <c r="L88" s="44">
        <f>IF(参数输入表!$I$721="手动输入",基准日往来账处理!L9,基准日往来账处理!L87)</f>
        <v>0</v>
      </c>
      <c r="M88" s="44">
        <f>IF(参数输入表!$I$721="手动输入",基准日往来账处理!M9,基准日往来账处理!M87)</f>
        <v>0</v>
      </c>
      <c r="N88" s="44">
        <f>IF(参数输入表!$I$721="手动输入",基准日往来账处理!N9,基准日往来账处理!N87)</f>
        <v>0</v>
      </c>
      <c r="O88" s="44">
        <f>IF(参数输入表!$I$721="手动输入",基准日往来账处理!O9,基准日往来账处理!O87)</f>
        <v>0</v>
      </c>
      <c r="P88" s="44">
        <f>IF(参数输入表!$I$721="手动输入",基准日往来账处理!P9,基准日往来账处理!P87)</f>
        <v>0</v>
      </c>
      <c r="Q88" s="44">
        <f>IF(参数输入表!$I$721="手动输入",基准日往来账处理!Q9,基准日往来账处理!Q87)</f>
        <v>0</v>
      </c>
      <c r="R88" s="44">
        <f>IF(参数输入表!$I$721="手动输入",基准日往来账处理!R9,基准日往来账处理!R87)</f>
        <v>0</v>
      </c>
      <c r="S88" s="44">
        <f>IF(参数输入表!$I$721="手动输入",基准日往来账处理!S9,基准日往来账处理!S87)</f>
        <v>0</v>
      </c>
      <c r="T88" s="44">
        <f>IF(参数输入表!$I$721="手动输入",基准日往来账处理!T9,基准日往来账处理!T87)</f>
        <v>0</v>
      </c>
      <c r="U88" s="44">
        <f>IF(参数输入表!$I$721="手动输入",基准日往来账处理!U9,基准日往来账处理!U87)</f>
        <v>0</v>
      </c>
      <c r="V88" s="44">
        <f>IF(参数输入表!$I$721="手动输入",基准日往来账处理!V9,基准日往来账处理!V87)</f>
        <v>0</v>
      </c>
      <c r="W88" s="44">
        <f>IF(参数输入表!$I$721="手动输入",基准日往来账处理!W9,基准日往来账处理!W87)</f>
        <v>0</v>
      </c>
      <c r="X88" s="44">
        <f>IF(参数输入表!$I$721="手动输入",基准日往来账处理!X9,基准日往来账处理!X87)</f>
        <v>0</v>
      </c>
      <c r="Y88" s="44">
        <f>IF(参数输入表!$I$721="手动输入",基准日往来账处理!Y9,基准日往来账处理!Y87)</f>
        <v>0</v>
      </c>
      <c r="Z88" s="44">
        <f>IF(参数输入表!$I$721="手动输入",基准日往来账处理!Z9,基准日往来账处理!Z87)</f>
        <v>0</v>
      </c>
      <c r="AA88" s="44">
        <f>IF(参数输入表!$I$721="手动输入",基准日往来账处理!AA9,基准日往来账处理!AA87)</f>
        <v>0</v>
      </c>
      <c r="AB88" s="44">
        <f>IF(参数输入表!$I$721="手动输入",基准日往来账处理!AB9,基准日往来账处理!AB87)</f>
        <v>0</v>
      </c>
      <c r="AC88" s="44">
        <f>IF(参数输入表!$I$721="手动输入",基准日往来账处理!AC9,基准日往来账处理!AC87)</f>
        <v>0</v>
      </c>
      <c r="AD88" s="44">
        <f>IF(参数输入表!$I$721="手动输入",基准日往来账处理!AD9,基准日往来账处理!AD87)</f>
        <v>0</v>
      </c>
      <c r="AE88" s="44">
        <f>IF(参数输入表!$I$721="手动输入",基准日往来账处理!AE9,基准日往来账处理!AE87)</f>
        <v>0</v>
      </c>
      <c r="AF88" s="336">
        <v>0</v>
      </c>
    </row>
    <row r="89" customFormat="1" spans="2:32">
      <c r="B89" s="325">
        <v>1.6</v>
      </c>
      <c r="C89" s="326" t="s">
        <v>710</v>
      </c>
      <c r="D89" s="327"/>
      <c r="E89" s="328" t="s">
        <v>24</v>
      </c>
      <c r="F89" s="323"/>
      <c r="G89" s="323"/>
      <c r="H89" s="323"/>
      <c r="I89" s="43">
        <f>'表10-资产负债表(标准格式)'!H21-折现率、非经营、长投计算表!E28</f>
        <v>291.351116</v>
      </c>
      <c r="J89" s="43">
        <f>IF(参数输入表!$I$721="手动输入",基准日往来账处理!J21,基准日往来账处理!J99)</f>
        <v>0</v>
      </c>
      <c r="K89" s="43">
        <f>IF(参数输入表!$I$721="手动输入",基准日往来账处理!K21,基准日往来账处理!K99)</f>
        <v>0</v>
      </c>
      <c r="L89" s="43">
        <f>IF(参数输入表!$I$721="手动输入",基准日往来账处理!L21,基准日往来账处理!L99)</f>
        <v>0</v>
      </c>
      <c r="M89" s="43">
        <f>IF(参数输入表!$I$721="手动输入",基准日往来账处理!M21,基准日往来账处理!M99)</f>
        <v>0</v>
      </c>
      <c r="N89" s="43">
        <f>IF(参数输入表!$I$721="手动输入",基准日往来账处理!N21,基准日往来账处理!N99)</f>
        <v>0</v>
      </c>
      <c r="O89" s="43">
        <f>IF(参数输入表!$I$721="手动输入",基准日往来账处理!O21,基准日往来账处理!O99)</f>
        <v>0</v>
      </c>
      <c r="P89" s="43">
        <f>IF(参数输入表!$I$721="手动输入",基准日往来账处理!P21,基准日往来账处理!P99)</f>
        <v>0</v>
      </c>
      <c r="Q89" s="43">
        <f>IF(参数输入表!$I$721="手动输入",基准日往来账处理!Q21,基准日往来账处理!Q99)</f>
        <v>0</v>
      </c>
      <c r="R89" s="43">
        <f>IF(参数输入表!$I$721="手动输入",基准日往来账处理!R21,基准日往来账处理!R99)</f>
        <v>0</v>
      </c>
      <c r="S89" s="43">
        <f>IF(参数输入表!$I$721="手动输入",基准日往来账处理!S21,基准日往来账处理!S99)</f>
        <v>0</v>
      </c>
      <c r="T89" s="43">
        <f>IF(参数输入表!$I$721="手动输入",基准日往来账处理!T21,基准日往来账处理!T99)</f>
        <v>0</v>
      </c>
      <c r="U89" s="43">
        <f>IF(参数输入表!$I$721="手动输入",基准日往来账处理!U21,基准日往来账处理!U99)</f>
        <v>0</v>
      </c>
      <c r="V89" s="43">
        <f>IF(参数输入表!$I$721="手动输入",基准日往来账处理!V21,基准日往来账处理!V99)</f>
        <v>0</v>
      </c>
      <c r="W89" s="43">
        <f>IF(参数输入表!$I$721="手动输入",基准日往来账处理!W21,基准日往来账处理!W99)</f>
        <v>0</v>
      </c>
      <c r="X89" s="43">
        <f>IF(参数输入表!$I$721="手动输入",基准日往来账处理!X21,基准日往来账处理!X99)</f>
        <v>0</v>
      </c>
      <c r="Y89" s="43">
        <f>IF(参数输入表!$I$721="手动输入",基准日往来账处理!Y21,基准日往来账处理!Y99)</f>
        <v>0</v>
      </c>
      <c r="Z89" s="43">
        <f>IF(参数输入表!$I$721="手动输入",基准日往来账处理!Z21,基准日往来账处理!Z99)</f>
        <v>0</v>
      </c>
      <c r="AA89" s="43">
        <f>IF(参数输入表!$I$721="手动输入",基准日往来账处理!AA21,基准日往来账处理!AA99)</f>
        <v>0</v>
      </c>
      <c r="AB89" s="43">
        <f>IF(参数输入表!$I$721="手动输入",基准日往来账处理!AB21,基准日往来账处理!AB99)</f>
        <v>0</v>
      </c>
      <c r="AC89" s="43">
        <f>IF(参数输入表!$I$721="手动输入",基准日往来账处理!AC21,基准日往来账处理!AC99)</f>
        <v>0</v>
      </c>
      <c r="AD89" s="43">
        <f>IF(参数输入表!$I$721="手动输入",基准日往来账处理!AD21,基准日往来账处理!AD99)</f>
        <v>0</v>
      </c>
      <c r="AE89" s="43">
        <f>IF(参数输入表!$I$721="手动输入",基准日往来账处理!AE21,基准日往来账处理!AE99)</f>
        <v>0</v>
      </c>
      <c r="AF89" s="336">
        <v>0</v>
      </c>
    </row>
    <row r="90" customFormat="1" spans="2:32">
      <c r="B90" s="325">
        <v>1.7</v>
      </c>
      <c r="C90" s="326" t="s">
        <v>711</v>
      </c>
      <c r="D90" s="327"/>
      <c r="E90" s="328" t="s">
        <v>24</v>
      </c>
      <c r="F90" s="323"/>
      <c r="G90" s="323"/>
      <c r="H90" s="323"/>
      <c r="I90" s="43">
        <f>'表10-资产负债表(标准格式)'!H29-折现率、非经营、长投计算表!E32</f>
        <v>0</v>
      </c>
      <c r="J90" s="43">
        <f>I90</f>
        <v>0</v>
      </c>
      <c r="K90" s="43">
        <f t="shared" ref="K90:AE90" si="42">J90</f>
        <v>0</v>
      </c>
      <c r="L90" s="43">
        <f t="shared" si="42"/>
        <v>0</v>
      </c>
      <c r="M90" s="43">
        <f t="shared" si="42"/>
        <v>0</v>
      </c>
      <c r="N90" s="43">
        <f t="shared" si="42"/>
        <v>0</v>
      </c>
      <c r="O90" s="43">
        <f t="shared" si="42"/>
        <v>0</v>
      </c>
      <c r="P90" s="43">
        <f t="shared" si="42"/>
        <v>0</v>
      </c>
      <c r="Q90" s="43">
        <f t="shared" si="42"/>
        <v>0</v>
      </c>
      <c r="R90" s="43">
        <f t="shared" si="42"/>
        <v>0</v>
      </c>
      <c r="S90" s="43">
        <f t="shared" si="42"/>
        <v>0</v>
      </c>
      <c r="T90" s="43">
        <f t="shared" si="42"/>
        <v>0</v>
      </c>
      <c r="U90" s="43">
        <f t="shared" si="42"/>
        <v>0</v>
      </c>
      <c r="V90" s="43">
        <f t="shared" si="42"/>
        <v>0</v>
      </c>
      <c r="W90" s="43">
        <f t="shared" si="42"/>
        <v>0</v>
      </c>
      <c r="X90" s="43">
        <f t="shared" si="42"/>
        <v>0</v>
      </c>
      <c r="Y90" s="43">
        <f t="shared" si="42"/>
        <v>0</v>
      </c>
      <c r="Z90" s="43">
        <f t="shared" si="42"/>
        <v>0</v>
      </c>
      <c r="AA90" s="43">
        <f t="shared" si="42"/>
        <v>0</v>
      </c>
      <c r="AB90" s="43">
        <f t="shared" si="42"/>
        <v>0</v>
      </c>
      <c r="AC90" s="43">
        <f t="shared" si="42"/>
        <v>0</v>
      </c>
      <c r="AD90" s="43">
        <f t="shared" si="42"/>
        <v>0</v>
      </c>
      <c r="AE90" s="43">
        <f t="shared" si="42"/>
        <v>0</v>
      </c>
      <c r="AF90" s="336">
        <v>0</v>
      </c>
    </row>
    <row r="91" customFormat="1" spans="2:32">
      <c r="B91" s="325">
        <v>1.8</v>
      </c>
      <c r="C91" s="326" t="s">
        <v>712</v>
      </c>
      <c r="D91" s="327"/>
      <c r="E91" s="328" t="s">
        <v>24</v>
      </c>
      <c r="F91" s="323"/>
      <c r="G91" s="323"/>
      <c r="H91" s="323"/>
      <c r="I91" s="43">
        <f>'表10-资产负债表(标准格式)'!$H$27-折现率、非经营、长投计算表!$E$29</f>
        <v>0</v>
      </c>
      <c r="J91" s="43">
        <f>IF(参数输入表!$I$721="手动输入",基准日往来账处理!J29,基准日往来账处理!J107)</f>
        <v>0</v>
      </c>
      <c r="K91" s="43">
        <f>IF(参数输入表!$I$721="手动输入",基准日往来账处理!K29,基准日往来账处理!K107)</f>
        <v>0</v>
      </c>
      <c r="L91" s="43">
        <f>IF(参数输入表!$I$721="手动输入",基准日往来账处理!L29,基准日往来账处理!L107)</f>
        <v>0</v>
      </c>
      <c r="M91" s="43">
        <f>IF(参数输入表!$I$721="手动输入",基准日往来账处理!M29,基准日往来账处理!M107)</f>
        <v>0</v>
      </c>
      <c r="N91" s="43">
        <f>IF(参数输入表!$I$721="手动输入",基准日往来账处理!N29,基准日往来账处理!N107)</f>
        <v>0</v>
      </c>
      <c r="O91" s="43">
        <f>IF(参数输入表!$I$721="手动输入",基准日往来账处理!O29,基准日往来账处理!O107)</f>
        <v>0</v>
      </c>
      <c r="P91" s="43">
        <f>IF(参数输入表!$I$721="手动输入",基准日往来账处理!P29,基准日往来账处理!P107)</f>
        <v>0</v>
      </c>
      <c r="Q91" s="43">
        <f>IF(参数输入表!$I$721="手动输入",基准日往来账处理!Q29,基准日往来账处理!Q107)</f>
        <v>0</v>
      </c>
      <c r="R91" s="43">
        <f>IF(参数输入表!$I$721="手动输入",基准日往来账处理!R29,基准日往来账处理!R107)</f>
        <v>0</v>
      </c>
      <c r="S91" s="43">
        <f>IF(参数输入表!$I$721="手动输入",基准日往来账处理!S29,基准日往来账处理!S107)</f>
        <v>0</v>
      </c>
      <c r="T91" s="43">
        <f>IF(参数输入表!$I$721="手动输入",基准日往来账处理!T29,基准日往来账处理!T107)</f>
        <v>0</v>
      </c>
      <c r="U91" s="43">
        <f>IF(参数输入表!$I$721="手动输入",基准日往来账处理!U29,基准日往来账处理!U107)</f>
        <v>0</v>
      </c>
      <c r="V91" s="43">
        <f>IF(参数输入表!$I$721="手动输入",基准日往来账处理!V29,基准日往来账处理!V107)</f>
        <v>0</v>
      </c>
      <c r="W91" s="43">
        <f>IF(参数输入表!$I$721="手动输入",基准日往来账处理!W29,基准日往来账处理!W107)</f>
        <v>0</v>
      </c>
      <c r="X91" s="43">
        <f>IF(参数输入表!$I$721="手动输入",基准日往来账处理!X29,基准日往来账处理!X107)</f>
        <v>0</v>
      </c>
      <c r="Y91" s="43">
        <f>IF(参数输入表!$I$721="手动输入",基准日往来账处理!Y29,基准日往来账处理!Y107)</f>
        <v>0</v>
      </c>
      <c r="Z91" s="43">
        <f>IF(参数输入表!$I$721="手动输入",基准日往来账处理!Z29,基准日往来账处理!Z107)</f>
        <v>0</v>
      </c>
      <c r="AA91" s="43">
        <f>IF(参数输入表!$I$721="手动输入",基准日往来账处理!AA29,基准日往来账处理!AA107)</f>
        <v>0</v>
      </c>
      <c r="AB91" s="43">
        <f>IF(参数输入表!$I$721="手动输入",基准日往来账处理!AB29,基准日往来账处理!AB107)</f>
        <v>0</v>
      </c>
      <c r="AC91" s="43">
        <f>IF(参数输入表!$I$721="手动输入",基准日往来账处理!AC29,基准日往来账处理!AC107)</f>
        <v>0</v>
      </c>
      <c r="AD91" s="43">
        <f>IF(参数输入表!$I$721="手动输入",基准日往来账处理!AD29,基准日往来账处理!AD107)</f>
        <v>0</v>
      </c>
      <c r="AE91" s="43">
        <f>IF(参数输入表!$I$721="手动输入",基准日往来账处理!AE29,基准日往来账处理!AE107)</f>
        <v>0</v>
      </c>
      <c r="AF91" s="336">
        <v>0</v>
      </c>
    </row>
    <row r="92" customFormat="1" spans="2:32">
      <c r="B92" s="325">
        <v>1.9</v>
      </c>
      <c r="C92" s="326" t="s">
        <v>713</v>
      </c>
      <c r="D92" s="327"/>
      <c r="E92" s="328" t="s">
        <v>24</v>
      </c>
      <c r="F92" s="323"/>
      <c r="G92" s="323"/>
      <c r="H92" s="323"/>
      <c r="I92" s="43">
        <f>'表10-资产负债表(标准格式)'!H30-参数输入表!I644-折现率、非经营、长投计算表!$E$33</f>
        <v>0</v>
      </c>
      <c r="J92" s="43">
        <f>I92</f>
        <v>0</v>
      </c>
      <c r="K92" s="43">
        <f t="shared" ref="K92:AE92" si="43">J92</f>
        <v>0</v>
      </c>
      <c r="L92" s="43">
        <f t="shared" si="43"/>
        <v>0</v>
      </c>
      <c r="M92" s="43">
        <f t="shared" si="43"/>
        <v>0</v>
      </c>
      <c r="N92" s="43">
        <f t="shared" si="43"/>
        <v>0</v>
      </c>
      <c r="O92" s="43">
        <f t="shared" si="43"/>
        <v>0</v>
      </c>
      <c r="P92" s="43">
        <f t="shared" si="43"/>
        <v>0</v>
      </c>
      <c r="Q92" s="43">
        <f t="shared" si="43"/>
        <v>0</v>
      </c>
      <c r="R92" s="43">
        <f t="shared" si="43"/>
        <v>0</v>
      </c>
      <c r="S92" s="43">
        <f t="shared" si="43"/>
        <v>0</v>
      </c>
      <c r="T92" s="43">
        <f t="shared" si="43"/>
        <v>0</v>
      </c>
      <c r="U92" s="43">
        <f t="shared" si="43"/>
        <v>0</v>
      </c>
      <c r="V92" s="43">
        <f t="shared" si="43"/>
        <v>0</v>
      </c>
      <c r="W92" s="43">
        <f t="shared" si="43"/>
        <v>0</v>
      </c>
      <c r="X92" s="43">
        <f t="shared" si="43"/>
        <v>0</v>
      </c>
      <c r="Y92" s="43">
        <f t="shared" si="43"/>
        <v>0</v>
      </c>
      <c r="Z92" s="43">
        <f t="shared" si="43"/>
        <v>0</v>
      </c>
      <c r="AA92" s="43">
        <f t="shared" si="43"/>
        <v>0</v>
      </c>
      <c r="AB92" s="43">
        <f t="shared" si="43"/>
        <v>0</v>
      </c>
      <c r="AC92" s="43">
        <f t="shared" si="43"/>
        <v>0</v>
      </c>
      <c r="AD92" s="43">
        <f t="shared" si="43"/>
        <v>0</v>
      </c>
      <c r="AE92" s="43">
        <f t="shared" si="43"/>
        <v>0</v>
      </c>
      <c r="AF92" s="336">
        <v>0</v>
      </c>
    </row>
    <row r="93" s="229" customFormat="1" spans="2:32">
      <c r="B93" s="329" t="s">
        <v>629</v>
      </c>
      <c r="C93" s="35" t="s">
        <v>510</v>
      </c>
      <c r="D93" s="330"/>
      <c r="E93" s="245" t="s">
        <v>24</v>
      </c>
      <c r="F93" s="44"/>
      <c r="G93" s="44"/>
      <c r="H93" s="44"/>
      <c r="I93" s="334">
        <f>SUM(I94:I101)</f>
        <v>318.312234</v>
      </c>
      <c r="J93" s="334">
        <f t="shared" ref="J93:AF93" si="44">SUM(J94:J101)</f>
        <v>196.745052</v>
      </c>
      <c r="K93" s="334">
        <f t="shared" si="44"/>
        <v>44.426828</v>
      </c>
      <c r="L93" s="334">
        <f t="shared" si="44"/>
        <v>24.426828</v>
      </c>
      <c r="M93" s="334">
        <f t="shared" si="44"/>
        <v>0</v>
      </c>
      <c r="N93" s="334">
        <f t="shared" si="44"/>
        <v>0</v>
      </c>
      <c r="O93" s="334">
        <f t="shared" si="44"/>
        <v>0</v>
      </c>
      <c r="P93" s="334">
        <f t="shared" si="44"/>
        <v>0</v>
      </c>
      <c r="Q93" s="334">
        <f t="shared" si="44"/>
        <v>0</v>
      </c>
      <c r="R93" s="334">
        <f t="shared" si="44"/>
        <v>0</v>
      </c>
      <c r="S93" s="334">
        <f t="shared" si="44"/>
        <v>0</v>
      </c>
      <c r="T93" s="334">
        <f t="shared" si="44"/>
        <v>0</v>
      </c>
      <c r="U93" s="334">
        <f t="shared" si="44"/>
        <v>0</v>
      </c>
      <c r="V93" s="334">
        <f t="shared" si="44"/>
        <v>0</v>
      </c>
      <c r="W93" s="334">
        <f t="shared" si="44"/>
        <v>0</v>
      </c>
      <c r="X93" s="334">
        <f t="shared" si="44"/>
        <v>0</v>
      </c>
      <c r="Y93" s="334">
        <f t="shared" si="44"/>
        <v>0</v>
      </c>
      <c r="Z93" s="334">
        <f t="shared" si="44"/>
        <v>0</v>
      </c>
      <c r="AA93" s="334">
        <f t="shared" si="44"/>
        <v>0</v>
      </c>
      <c r="AB93" s="334">
        <f t="shared" si="44"/>
        <v>0</v>
      </c>
      <c r="AC93" s="334">
        <f t="shared" si="44"/>
        <v>0</v>
      </c>
      <c r="AD93" s="334">
        <f t="shared" si="44"/>
        <v>0</v>
      </c>
      <c r="AE93" s="334">
        <f t="shared" si="44"/>
        <v>0</v>
      </c>
      <c r="AF93" s="334">
        <f t="shared" si="44"/>
        <v>0</v>
      </c>
    </row>
    <row r="94" spans="2:32">
      <c r="B94" s="324">
        <v>2.1</v>
      </c>
      <c r="C94" s="290" t="s">
        <v>714</v>
      </c>
      <c r="D94" s="321"/>
      <c r="E94" s="322" t="s">
        <v>24</v>
      </c>
      <c r="F94" s="323"/>
      <c r="G94" s="323"/>
      <c r="H94" s="323"/>
      <c r="I94" s="43">
        <f>'表10-资产负债表(标准格式)'!H66-折现率、非经营、长投计算表!E44</f>
        <v>232.318224</v>
      </c>
      <c r="J94" s="44">
        <f>IF(参数输入表!$I$721="手动输入",基准日往来账处理!J42,基准日往来账处理!J120)</f>
        <v>132.318224</v>
      </c>
      <c r="K94" s="44">
        <f>IF(参数输入表!$I$721="手动输入",基准日往来账处理!K42,基准日往来账处理!K120)</f>
        <v>0</v>
      </c>
      <c r="L94" s="44">
        <f>IF(参数输入表!$I$721="手动输入",基准日往来账处理!L42,基准日往来账处理!L120)</f>
        <v>0</v>
      </c>
      <c r="M94" s="44">
        <f>IF(参数输入表!$I$721="手动输入",基准日往来账处理!M42,基准日往来账处理!M120)</f>
        <v>0</v>
      </c>
      <c r="N94" s="44">
        <f>IF(参数输入表!$I$721="手动输入",基准日往来账处理!N42,基准日往来账处理!N120)</f>
        <v>0</v>
      </c>
      <c r="O94" s="44">
        <f>IF(参数输入表!$I$721="手动输入",基准日往来账处理!O42,基准日往来账处理!O120)</f>
        <v>0</v>
      </c>
      <c r="P94" s="44">
        <f>IF(参数输入表!$I$721="手动输入",基准日往来账处理!P42,基准日往来账处理!P120)</f>
        <v>0</v>
      </c>
      <c r="Q94" s="44">
        <f>IF(参数输入表!$I$721="手动输入",基准日往来账处理!Q42,基准日往来账处理!Q120)</f>
        <v>0</v>
      </c>
      <c r="R94" s="44">
        <f>IF(参数输入表!$I$721="手动输入",基准日往来账处理!R42,基准日往来账处理!R120)</f>
        <v>0</v>
      </c>
      <c r="S94" s="44">
        <f>IF(参数输入表!$I$721="手动输入",基准日往来账处理!S42,基准日往来账处理!S120)</f>
        <v>0</v>
      </c>
      <c r="T94" s="44">
        <f>IF(参数输入表!$I$721="手动输入",基准日往来账处理!T42,基准日往来账处理!T120)</f>
        <v>0</v>
      </c>
      <c r="U94" s="44">
        <f>IF(参数输入表!$I$721="手动输入",基准日往来账处理!U42,基准日往来账处理!U120)</f>
        <v>0</v>
      </c>
      <c r="V94" s="44">
        <f>IF(参数输入表!$I$721="手动输入",基准日往来账处理!V42,基准日往来账处理!V120)</f>
        <v>0</v>
      </c>
      <c r="W94" s="44">
        <f>IF(参数输入表!$I$721="手动输入",基准日往来账处理!W42,基准日往来账处理!W120)</f>
        <v>0</v>
      </c>
      <c r="X94" s="44">
        <f>IF(参数输入表!$I$721="手动输入",基准日往来账处理!X42,基准日往来账处理!X120)</f>
        <v>0</v>
      </c>
      <c r="Y94" s="44">
        <f>IF(参数输入表!$I$721="手动输入",基准日往来账处理!Y42,基准日往来账处理!Y120)</f>
        <v>0</v>
      </c>
      <c r="Z94" s="44">
        <f>IF(参数输入表!$I$721="手动输入",基准日往来账处理!Z42,基准日往来账处理!Z120)</f>
        <v>0</v>
      </c>
      <c r="AA94" s="44">
        <f>IF(参数输入表!$I$721="手动输入",基准日往来账处理!AA42,基准日往来账处理!AA120)</f>
        <v>0</v>
      </c>
      <c r="AB94" s="44">
        <f>IF(参数输入表!$I$721="手动输入",基准日往来账处理!AB42,基准日往来账处理!AB120)</f>
        <v>0</v>
      </c>
      <c r="AC94" s="44">
        <f>IF(参数输入表!$I$721="手动输入",基准日往来账处理!AC42,基准日往来账处理!AC120)</f>
        <v>0</v>
      </c>
      <c r="AD94" s="44">
        <f>IF(参数输入表!$I$721="手动输入",基准日往来账处理!AD42,基准日往来账处理!AD120)</f>
        <v>0</v>
      </c>
      <c r="AE94" s="44">
        <f>IF(参数输入表!$I$721="手动输入",基准日往来账处理!AE42,基准日往来账处理!AE120)</f>
        <v>0</v>
      </c>
      <c r="AF94" s="336">
        <v>0</v>
      </c>
    </row>
    <row r="95" spans="2:32">
      <c r="B95" s="267">
        <v>2.2</v>
      </c>
      <c r="C95" s="290" t="s">
        <v>715</v>
      </c>
      <c r="D95" s="321"/>
      <c r="E95" s="322" t="s">
        <v>24</v>
      </c>
      <c r="F95" s="323"/>
      <c r="G95" s="323"/>
      <c r="H95" s="323"/>
      <c r="I95" s="43">
        <f>'表10-资产负债表(标准格式)'!H65-折现率、非经营、长投计算表!E43</f>
        <v>0</v>
      </c>
      <c r="J95" s="44">
        <f>IF(参数输入表!$I$721="手动输入",基准日往来账处理!J38,基准日往来账处理!J116)</f>
        <v>0</v>
      </c>
      <c r="K95" s="44">
        <f>IF(参数输入表!$I$721="手动输入",基准日往来账处理!K38,基准日往来账处理!K116)</f>
        <v>0</v>
      </c>
      <c r="L95" s="44">
        <f>IF(参数输入表!$I$721="手动输入",基准日往来账处理!L38,基准日往来账处理!L116)</f>
        <v>0</v>
      </c>
      <c r="M95" s="44">
        <f>IF(参数输入表!$I$721="手动输入",基准日往来账处理!M38,基准日往来账处理!M116)</f>
        <v>0</v>
      </c>
      <c r="N95" s="44">
        <f>IF(参数输入表!$I$721="手动输入",基准日往来账处理!N38,基准日往来账处理!N116)</f>
        <v>0</v>
      </c>
      <c r="O95" s="44">
        <f>IF(参数输入表!$I$721="手动输入",基准日往来账处理!O38,基准日往来账处理!O116)</f>
        <v>0</v>
      </c>
      <c r="P95" s="44">
        <f>IF(参数输入表!$I$721="手动输入",基准日往来账处理!P38,基准日往来账处理!P116)</f>
        <v>0</v>
      </c>
      <c r="Q95" s="44">
        <f>IF(参数输入表!$I$721="手动输入",基准日往来账处理!Q38,基准日往来账处理!Q116)</f>
        <v>0</v>
      </c>
      <c r="R95" s="44">
        <f>IF(参数输入表!$I$721="手动输入",基准日往来账处理!R38,基准日往来账处理!R116)</f>
        <v>0</v>
      </c>
      <c r="S95" s="44">
        <f>IF(参数输入表!$I$721="手动输入",基准日往来账处理!S38,基准日往来账处理!S116)</f>
        <v>0</v>
      </c>
      <c r="T95" s="44">
        <f>IF(参数输入表!$I$721="手动输入",基准日往来账处理!T38,基准日往来账处理!T116)</f>
        <v>0</v>
      </c>
      <c r="U95" s="44">
        <f>IF(参数输入表!$I$721="手动输入",基准日往来账处理!U38,基准日往来账处理!U116)</f>
        <v>0</v>
      </c>
      <c r="V95" s="44">
        <f>IF(参数输入表!$I$721="手动输入",基准日往来账处理!V38,基准日往来账处理!V116)</f>
        <v>0</v>
      </c>
      <c r="W95" s="44">
        <f>IF(参数输入表!$I$721="手动输入",基准日往来账处理!W38,基准日往来账处理!W116)</f>
        <v>0</v>
      </c>
      <c r="X95" s="44">
        <f>IF(参数输入表!$I$721="手动输入",基准日往来账处理!X38,基准日往来账处理!X116)</f>
        <v>0</v>
      </c>
      <c r="Y95" s="44">
        <f>IF(参数输入表!$I$721="手动输入",基准日往来账处理!Y38,基准日往来账处理!Y116)</f>
        <v>0</v>
      </c>
      <c r="Z95" s="44">
        <f>IF(参数输入表!$I$721="手动输入",基准日往来账处理!Z38,基准日往来账处理!Z116)</f>
        <v>0</v>
      </c>
      <c r="AA95" s="44">
        <f>IF(参数输入表!$I$721="手动输入",基准日往来账处理!AA38,基准日往来账处理!AA116)</f>
        <v>0</v>
      </c>
      <c r="AB95" s="44">
        <f>IF(参数输入表!$I$721="手动输入",基准日往来账处理!AB38,基准日往来账处理!AB116)</f>
        <v>0</v>
      </c>
      <c r="AC95" s="44">
        <f>IF(参数输入表!$I$721="手动输入",基准日往来账处理!AC38,基准日往来账处理!AC116)</f>
        <v>0</v>
      </c>
      <c r="AD95" s="44">
        <f>IF(参数输入表!$I$721="手动输入",基准日往来账处理!AD38,基准日往来账处理!AD116)</f>
        <v>0</v>
      </c>
      <c r="AE95" s="44">
        <f>IF(参数输入表!$I$721="手动输入",基准日往来账处理!AE38,基准日往来账处理!AE116)</f>
        <v>0</v>
      </c>
      <c r="AF95" s="336">
        <v>0</v>
      </c>
    </row>
    <row r="96" spans="2:32">
      <c r="B96" s="267">
        <v>2.3</v>
      </c>
      <c r="C96" s="290" t="s">
        <v>716</v>
      </c>
      <c r="D96" s="321"/>
      <c r="E96" s="322" t="s">
        <v>24</v>
      </c>
      <c r="F96" s="323"/>
      <c r="G96" s="323"/>
      <c r="H96" s="323"/>
      <c r="I96" s="43">
        <f>'表10-资产负债表(标准格式)'!H67-折现率、非经营、长投计算表!E45</f>
        <v>0</v>
      </c>
      <c r="J96" s="44">
        <f>IF(参数输入表!$I$721="手动输入",基准日往来账处理!J46,基准日往来账处理!J124)</f>
        <v>0</v>
      </c>
      <c r="K96" s="44">
        <f>IF(参数输入表!$I$721="手动输入",基准日往来账处理!K46,基准日往来账处理!K124)</f>
        <v>0</v>
      </c>
      <c r="L96" s="44">
        <f>IF(参数输入表!$I$721="手动输入",基准日往来账处理!L46,基准日往来账处理!L124)</f>
        <v>0</v>
      </c>
      <c r="M96" s="44">
        <f>IF(参数输入表!$I$721="手动输入",基准日往来账处理!M46,基准日往来账处理!M124)</f>
        <v>0</v>
      </c>
      <c r="N96" s="44">
        <f>IF(参数输入表!$I$721="手动输入",基准日往来账处理!N46,基准日往来账处理!N124)</f>
        <v>0</v>
      </c>
      <c r="O96" s="44">
        <f>IF(参数输入表!$I$721="手动输入",基准日往来账处理!O46,基准日往来账处理!O124)</f>
        <v>0</v>
      </c>
      <c r="P96" s="44">
        <f>IF(参数输入表!$I$721="手动输入",基准日往来账处理!P46,基准日往来账处理!P124)</f>
        <v>0</v>
      </c>
      <c r="Q96" s="44">
        <f>IF(参数输入表!$I$721="手动输入",基准日往来账处理!Q46,基准日往来账处理!Q124)</f>
        <v>0</v>
      </c>
      <c r="R96" s="44">
        <f>IF(参数输入表!$I$721="手动输入",基准日往来账处理!R46,基准日往来账处理!R124)</f>
        <v>0</v>
      </c>
      <c r="S96" s="44">
        <f>IF(参数输入表!$I$721="手动输入",基准日往来账处理!S46,基准日往来账处理!S124)</f>
        <v>0</v>
      </c>
      <c r="T96" s="44">
        <f>IF(参数输入表!$I$721="手动输入",基准日往来账处理!T46,基准日往来账处理!T124)</f>
        <v>0</v>
      </c>
      <c r="U96" s="44">
        <f>IF(参数输入表!$I$721="手动输入",基准日往来账处理!U46,基准日往来账处理!U124)</f>
        <v>0</v>
      </c>
      <c r="V96" s="44">
        <f>IF(参数输入表!$I$721="手动输入",基准日往来账处理!V46,基准日往来账处理!V124)</f>
        <v>0</v>
      </c>
      <c r="W96" s="44">
        <f>IF(参数输入表!$I$721="手动输入",基准日往来账处理!W46,基准日往来账处理!W124)</f>
        <v>0</v>
      </c>
      <c r="X96" s="44">
        <f>IF(参数输入表!$I$721="手动输入",基准日往来账处理!X46,基准日往来账处理!X124)</f>
        <v>0</v>
      </c>
      <c r="Y96" s="44">
        <f>IF(参数输入表!$I$721="手动输入",基准日往来账处理!Y46,基准日往来账处理!Y124)</f>
        <v>0</v>
      </c>
      <c r="Z96" s="44">
        <f>IF(参数输入表!$I$721="手动输入",基准日往来账处理!Z46,基准日往来账处理!Z124)</f>
        <v>0</v>
      </c>
      <c r="AA96" s="44">
        <f>IF(参数输入表!$I$721="手动输入",基准日往来账处理!AA46,基准日往来账处理!AA124)</f>
        <v>0</v>
      </c>
      <c r="AB96" s="44">
        <f>IF(参数输入表!$I$721="手动输入",基准日往来账处理!AB46,基准日往来账处理!AB124)</f>
        <v>0</v>
      </c>
      <c r="AC96" s="44">
        <f>IF(参数输入表!$I$721="手动输入",基准日往来账处理!AC46,基准日往来账处理!AC124)</f>
        <v>0</v>
      </c>
      <c r="AD96" s="44">
        <f>IF(参数输入表!$I$721="手动输入",基准日往来账处理!AD46,基准日往来账处理!AD124)</f>
        <v>0</v>
      </c>
      <c r="AE96" s="44">
        <f>IF(参数输入表!$I$721="手动输入",基准日往来账处理!AE46,基准日往来账处理!AE124)</f>
        <v>0</v>
      </c>
      <c r="AF96" s="336">
        <v>0</v>
      </c>
    </row>
    <row r="97" spans="2:32">
      <c r="B97" s="267">
        <v>2.4</v>
      </c>
      <c r="C97" s="290" t="s">
        <v>512</v>
      </c>
      <c r="D97" s="321"/>
      <c r="E97" s="322" t="s">
        <v>24</v>
      </c>
      <c r="F97" s="323"/>
      <c r="G97" s="323"/>
      <c r="H97" s="323"/>
      <c r="I97" s="43">
        <f>'表10-资产负债表(标准格式)'!H73-折现率、非经营、长投计算表!E47</f>
        <v>0.616196</v>
      </c>
      <c r="J97" s="44">
        <f>IF(参数输入表!$I$721="手动输入",基准日往来账处理!J50,基准日往来账处理!J128)</f>
        <v>0</v>
      </c>
      <c r="K97" s="44">
        <f>IF(参数输入表!$I$721="手动输入",基准日往来账处理!K50,基准日往来账处理!K128)</f>
        <v>0</v>
      </c>
      <c r="L97" s="44">
        <f>IF(参数输入表!$I$721="手动输入",基准日往来账处理!L50,基准日往来账处理!L128)</f>
        <v>0</v>
      </c>
      <c r="M97" s="44">
        <f>IF(参数输入表!$I$721="手动输入",基准日往来账处理!M50,基准日往来账处理!M128)</f>
        <v>0</v>
      </c>
      <c r="N97" s="44">
        <f>IF(参数输入表!$I$721="手动输入",基准日往来账处理!N50,基准日往来账处理!N128)</f>
        <v>0</v>
      </c>
      <c r="O97" s="44">
        <f>IF(参数输入表!$I$721="手动输入",基准日往来账处理!O50,基准日往来账处理!O128)</f>
        <v>0</v>
      </c>
      <c r="P97" s="44">
        <f>IF(参数输入表!$I$721="手动输入",基准日往来账处理!P50,基准日往来账处理!P128)</f>
        <v>0</v>
      </c>
      <c r="Q97" s="44">
        <f>IF(参数输入表!$I$721="手动输入",基准日往来账处理!Q50,基准日往来账处理!Q128)</f>
        <v>0</v>
      </c>
      <c r="R97" s="44">
        <f>IF(参数输入表!$I$721="手动输入",基准日往来账处理!R50,基准日往来账处理!R128)</f>
        <v>0</v>
      </c>
      <c r="S97" s="44">
        <f>IF(参数输入表!$I$721="手动输入",基准日往来账处理!S50,基准日往来账处理!S128)</f>
        <v>0</v>
      </c>
      <c r="T97" s="44">
        <f>IF(参数输入表!$I$721="手动输入",基准日往来账处理!T50,基准日往来账处理!T128)</f>
        <v>0</v>
      </c>
      <c r="U97" s="44">
        <f>IF(参数输入表!$I$721="手动输入",基准日往来账处理!U50,基准日往来账处理!U128)</f>
        <v>0</v>
      </c>
      <c r="V97" s="44">
        <f>IF(参数输入表!$I$721="手动输入",基准日往来账处理!V50,基准日往来账处理!V128)</f>
        <v>0</v>
      </c>
      <c r="W97" s="44">
        <f>IF(参数输入表!$I$721="手动输入",基准日往来账处理!W50,基准日往来账处理!W128)</f>
        <v>0</v>
      </c>
      <c r="X97" s="44">
        <f>IF(参数输入表!$I$721="手动输入",基准日往来账处理!X50,基准日往来账处理!X128)</f>
        <v>0</v>
      </c>
      <c r="Y97" s="44">
        <f>IF(参数输入表!$I$721="手动输入",基准日往来账处理!Y50,基准日往来账处理!Y128)</f>
        <v>0</v>
      </c>
      <c r="Z97" s="44">
        <f>IF(参数输入表!$I$721="手动输入",基准日往来账处理!Z50,基准日往来账处理!Z128)</f>
        <v>0</v>
      </c>
      <c r="AA97" s="44">
        <f>IF(参数输入表!$I$721="手动输入",基准日往来账处理!AA50,基准日往来账处理!AA128)</f>
        <v>0</v>
      </c>
      <c r="AB97" s="44">
        <f>IF(参数输入表!$I$721="手动输入",基准日往来账处理!AB50,基准日往来账处理!AB128)</f>
        <v>0</v>
      </c>
      <c r="AC97" s="44">
        <f>IF(参数输入表!$I$721="手动输入",基准日往来账处理!AC50,基准日往来账处理!AC128)</f>
        <v>0</v>
      </c>
      <c r="AD97" s="44">
        <f>IF(参数输入表!$I$721="手动输入",基准日往来账处理!AD50,基准日往来账处理!AD128)</f>
        <v>0</v>
      </c>
      <c r="AE97" s="44">
        <f>IF(参数输入表!$I$721="手动输入",基准日往来账处理!AE50,基准日往来账处理!AE128)</f>
        <v>0</v>
      </c>
      <c r="AF97" s="336">
        <v>0</v>
      </c>
    </row>
    <row r="98" spans="2:32">
      <c r="B98" s="267">
        <v>2.5</v>
      </c>
      <c r="C98" s="290" t="s">
        <v>513</v>
      </c>
      <c r="D98" s="321"/>
      <c r="E98" s="322" t="s">
        <v>24</v>
      </c>
      <c r="F98" s="323"/>
      <c r="G98" s="323"/>
      <c r="H98" s="323"/>
      <c r="I98" s="43">
        <f>'表10-资产负债表(标准格式)'!H77-折现率、非经营、长投计算表!E48</f>
        <v>0.950986</v>
      </c>
      <c r="J98" s="44">
        <f>IF(参数输入表!$I$721="手动输入",基准日往来账处理!J54,基准日往来账处理!J132)</f>
        <v>0</v>
      </c>
      <c r="K98" s="44">
        <f>IF(参数输入表!$I$721="手动输入",基准日往来账处理!K54,基准日往来账处理!K132)</f>
        <v>0</v>
      </c>
      <c r="L98" s="44">
        <f>IF(参数输入表!$I$721="手动输入",基准日往来账处理!L54,基准日往来账处理!L132)</f>
        <v>0</v>
      </c>
      <c r="M98" s="44">
        <f>IF(参数输入表!$I$721="手动输入",基准日往来账处理!M54,基准日往来账处理!M132)</f>
        <v>0</v>
      </c>
      <c r="N98" s="44">
        <f>IF(参数输入表!$I$721="手动输入",基准日往来账处理!N54,基准日往来账处理!N132)</f>
        <v>0</v>
      </c>
      <c r="O98" s="44">
        <f>IF(参数输入表!$I$721="手动输入",基准日往来账处理!O54,基准日往来账处理!O132)</f>
        <v>0</v>
      </c>
      <c r="P98" s="44">
        <f>IF(参数输入表!$I$721="手动输入",基准日往来账处理!P54,基准日往来账处理!P132)</f>
        <v>0</v>
      </c>
      <c r="Q98" s="44">
        <f>IF(参数输入表!$I$721="手动输入",基准日往来账处理!Q54,基准日往来账处理!Q132)</f>
        <v>0</v>
      </c>
      <c r="R98" s="44">
        <f>IF(参数输入表!$I$721="手动输入",基准日往来账处理!R54,基准日往来账处理!R132)</f>
        <v>0</v>
      </c>
      <c r="S98" s="44">
        <f>IF(参数输入表!$I$721="手动输入",基准日往来账处理!S54,基准日往来账处理!S132)</f>
        <v>0</v>
      </c>
      <c r="T98" s="44">
        <f>IF(参数输入表!$I$721="手动输入",基准日往来账处理!T54,基准日往来账处理!T132)</f>
        <v>0</v>
      </c>
      <c r="U98" s="44">
        <f>IF(参数输入表!$I$721="手动输入",基准日往来账处理!U54,基准日往来账处理!U132)</f>
        <v>0</v>
      </c>
      <c r="V98" s="44">
        <f>IF(参数输入表!$I$721="手动输入",基准日往来账处理!V54,基准日往来账处理!V132)</f>
        <v>0</v>
      </c>
      <c r="W98" s="44">
        <f>IF(参数输入表!$I$721="手动输入",基准日往来账处理!W54,基准日往来账处理!W132)</f>
        <v>0</v>
      </c>
      <c r="X98" s="44">
        <f>IF(参数输入表!$I$721="手动输入",基准日往来账处理!X54,基准日往来账处理!X132)</f>
        <v>0</v>
      </c>
      <c r="Y98" s="44">
        <f>IF(参数输入表!$I$721="手动输入",基准日往来账处理!Y54,基准日往来账处理!Y132)</f>
        <v>0</v>
      </c>
      <c r="Z98" s="44">
        <f>IF(参数输入表!$I$721="手动输入",基准日往来账处理!Z54,基准日往来账处理!Z132)</f>
        <v>0</v>
      </c>
      <c r="AA98" s="44">
        <f>IF(参数输入表!$I$721="手动输入",基准日往来账处理!AA54,基准日往来账处理!AA132)</f>
        <v>0</v>
      </c>
      <c r="AB98" s="44">
        <f>IF(参数输入表!$I$721="手动输入",基准日往来账处理!AB54,基准日往来账处理!AB132)</f>
        <v>0</v>
      </c>
      <c r="AC98" s="44">
        <f>IF(参数输入表!$I$721="手动输入",基准日往来账处理!AC54,基准日往来账处理!AC132)</f>
        <v>0</v>
      </c>
      <c r="AD98" s="44">
        <f>IF(参数输入表!$I$721="手动输入",基准日往来账处理!AD54,基准日往来账处理!AD132)</f>
        <v>0</v>
      </c>
      <c r="AE98" s="44">
        <f>IF(参数输入表!$I$721="手动输入",基准日往来账处理!AE54,基准日往来账处理!AE132)</f>
        <v>0</v>
      </c>
      <c r="AF98" s="336">
        <v>0</v>
      </c>
    </row>
    <row r="99" spans="2:32">
      <c r="B99" s="325">
        <v>2.6</v>
      </c>
      <c r="C99" s="326" t="s">
        <v>717</v>
      </c>
      <c r="D99" s="327"/>
      <c r="E99" s="328" t="s">
        <v>24</v>
      </c>
      <c r="F99" s="323"/>
      <c r="G99" s="323"/>
      <c r="H99" s="323"/>
      <c r="I99" s="43">
        <f>'表10-资产负债表(标准格式)'!H79-折现率、非经营、长投计算表!E49</f>
        <v>84.426828</v>
      </c>
      <c r="J99" s="43">
        <f>IF(参数输入表!$I$721="手动输入",基准日往来账处理!J58,基准日往来账处理!J136)</f>
        <v>64.426828</v>
      </c>
      <c r="K99" s="43">
        <f>IF(参数输入表!$I$721="手动输入",基准日往来账处理!K58,基准日往来账处理!K136)</f>
        <v>44.426828</v>
      </c>
      <c r="L99" s="43">
        <f>IF(参数输入表!$I$721="手动输入",基准日往来账处理!L58,基准日往来账处理!L136)</f>
        <v>24.426828</v>
      </c>
      <c r="M99" s="43">
        <f>IF(参数输入表!$I$721="手动输入",基准日往来账处理!M58,基准日往来账处理!M136)</f>
        <v>0</v>
      </c>
      <c r="N99" s="43">
        <f>IF(参数输入表!$I$721="手动输入",基准日往来账处理!N58,基准日往来账处理!N136)</f>
        <v>0</v>
      </c>
      <c r="O99" s="43">
        <f>IF(参数输入表!$I$721="手动输入",基准日往来账处理!O58,基准日往来账处理!O136)</f>
        <v>0</v>
      </c>
      <c r="P99" s="43">
        <f>IF(参数输入表!$I$721="手动输入",基准日往来账处理!P58,基准日往来账处理!P136)</f>
        <v>0</v>
      </c>
      <c r="Q99" s="43">
        <f>IF(参数输入表!$I$721="手动输入",基准日往来账处理!Q58,基准日往来账处理!Q136)</f>
        <v>0</v>
      </c>
      <c r="R99" s="43">
        <f>IF(参数输入表!$I$721="手动输入",基准日往来账处理!R58,基准日往来账处理!R136)</f>
        <v>0</v>
      </c>
      <c r="S99" s="43">
        <f>IF(参数输入表!$I$721="手动输入",基准日往来账处理!S58,基准日往来账处理!S136)</f>
        <v>0</v>
      </c>
      <c r="T99" s="43">
        <f>IF(参数输入表!$I$721="手动输入",基准日往来账处理!T58,基准日往来账处理!T136)</f>
        <v>0</v>
      </c>
      <c r="U99" s="43">
        <f>IF(参数输入表!$I$721="手动输入",基准日往来账处理!U58,基准日往来账处理!U136)</f>
        <v>0</v>
      </c>
      <c r="V99" s="43">
        <f>IF(参数输入表!$I$721="手动输入",基准日往来账处理!V58,基准日往来账处理!V136)</f>
        <v>0</v>
      </c>
      <c r="W99" s="43">
        <f>IF(参数输入表!$I$721="手动输入",基准日往来账处理!W58,基准日往来账处理!W136)</f>
        <v>0</v>
      </c>
      <c r="X99" s="43">
        <f>IF(参数输入表!$I$721="手动输入",基准日往来账处理!X58,基准日往来账处理!X136)</f>
        <v>0</v>
      </c>
      <c r="Y99" s="43">
        <f>IF(参数输入表!$I$721="手动输入",基准日往来账处理!Y58,基准日往来账处理!Y136)</f>
        <v>0</v>
      </c>
      <c r="Z99" s="43">
        <f>IF(参数输入表!$I$721="手动输入",基准日往来账处理!Z58,基准日往来账处理!Z136)</f>
        <v>0</v>
      </c>
      <c r="AA99" s="43">
        <f>IF(参数输入表!$I$721="手动输入",基准日往来账处理!AA58,基准日往来账处理!AA136)</f>
        <v>0</v>
      </c>
      <c r="AB99" s="43">
        <f>IF(参数输入表!$I$721="手动输入",基准日往来账处理!AB58,基准日往来账处理!AB136)</f>
        <v>0</v>
      </c>
      <c r="AC99" s="43">
        <f>IF(参数输入表!$I$721="手动输入",基准日往来账处理!AC58,基准日往来账处理!AC136)</f>
        <v>0</v>
      </c>
      <c r="AD99" s="43">
        <f>IF(参数输入表!$I$721="手动输入",基准日往来账处理!AD58,基准日往来账处理!AD136)</f>
        <v>0</v>
      </c>
      <c r="AE99" s="43">
        <f>IF(参数输入表!$I$721="手动输入",基准日往来账处理!AE58,基准日往来账处理!AE136)</f>
        <v>0</v>
      </c>
      <c r="AF99" s="336">
        <v>0</v>
      </c>
    </row>
    <row r="100" spans="2:32">
      <c r="B100" s="325">
        <v>2.7</v>
      </c>
      <c r="C100" s="326" t="s">
        <v>718</v>
      </c>
      <c r="D100" s="327"/>
      <c r="E100" s="328" t="s">
        <v>24</v>
      </c>
      <c r="F100" s="323"/>
      <c r="G100" s="323"/>
      <c r="H100" s="323"/>
      <c r="I100" s="43">
        <f>'表10-资产负债表(标准格式)'!$H$68-折现率、非经营、长投计算表!$E$46</f>
        <v>0</v>
      </c>
      <c r="J100" s="43">
        <f>IF(参数输入表!$I$721="手动输入",基准日往来账处理!J66,基准日往来账处理!J144)</f>
        <v>0</v>
      </c>
      <c r="K100" s="43">
        <f>IF(参数输入表!$I$721="手动输入",基准日往来账处理!K66,基准日往来账处理!K144)</f>
        <v>0</v>
      </c>
      <c r="L100" s="43">
        <f>IF(参数输入表!$I$721="手动输入",基准日往来账处理!L66,基准日往来账处理!L144)</f>
        <v>0</v>
      </c>
      <c r="M100" s="43">
        <f>IF(参数输入表!$I$721="手动输入",基准日往来账处理!M66,基准日往来账处理!M144)</f>
        <v>0</v>
      </c>
      <c r="N100" s="43">
        <f>IF(参数输入表!$I$721="手动输入",基准日往来账处理!N66,基准日往来账处理!N144)</f>
        <v>0</v>
      </c>
      <c r="O100" s="43">
        <f>IF(参数输入表!$I$721="手动输入",基准日往来账处理!O66,基准日往来账处理!O144)</f>
        <v>0</v>
      </c>
      <c r="P100" s="43">
        <f>IF(参数输入表!$I$721="手动输入",基准日往来账处理!P66,基准日往来账处理!P144)</f>
        <v>0</v>
      </c>
      <c r="Q100" s="43">
        <f>IF(参数输入表!$I$721="手动输入",基准日往来账处理!Q66,基准日往来账处理!Q144)</f>
        <v>0</v>
      </c>
      <c r="R100" s="43">
        <f>IF(参数输入表!$I$721="手动输入",基准日往来账处理!R66,基准日往来账处理!R144)</f>
        <v>0</v>
      </c>
      <c r="S100" s="43">
        <f>IF(参数输入表!$I$721="手动输入",基准日往来账处理!S66,基准日往来账处理!S144)</f>
        <v>0</v>
      </c>
      <c r="T100" s="43">
        <f>IF(参数输入表!$I$721="手动输入",基准日往来账处理!T66,基准日往来账处理!T144)</f>
        <v>0</v>
      </c>
      <c r="U100" s="43">
        <f>IF(参数输入表!$I$721="手动输入",基准日往来账处理!U66,基准日往来账处理!U144)</f>
        <v>0</v>
      </c>
      <c r="V100" s="43">
        <f>IF(参数输入表!$I$721="手动输入",基准日往来账处理!V66,基准日往来账处理!V144)</f>
        <v>0</v>
      </c>
      <c r="W100" s="43">
        <f>IF(参数输入表!$I$721="手动输入",基准日往来账处理!W66,基准日往来账处理!W144)</f>
        <v>0</v>
      </c>
      <c r="X100" s="43">
        <f>IF(参数输入表!$I$721="手动输入",基准日往来账处理!X66,基准日往来账处理!X144)</f>
        <v>0</v>
      </c>
      <c r="Y100" s="43">
        <f>IF(参数输入表!$I$721="手动输入",基准日往来账处理!Y66,基准日往来账处理!Y144)</f>
        <v>0</v>
      </c>
      <c r="Z100" s="43">
        <f>IF(参数输入表!$I$721="手动输入",基准日往来账处理!Z66,基准日往来账处理!Z144)</f>
        <v>0</v>
      </c>
      <c r="AA100" s="43">
        <f>IF(参数输入表!$I$721="手动输入",基准日往来账处理!AA66,基准日往来账处理!AA144)</f>
        <v>0</v>
      </c>
      <c r="AB100" s="43">
        <f>IF(参数输入表!$I$721="手动输入",基准日往来账处理!AB66,基准日往来账处理!AB144)</f>
        <v>0</v>
      </c>
      <c r="AC100" s="43">
        <f>IF(参数输入表!$I$721="手动输入",基准日往来账处理!AC66,基准日往来账处理!AC144)</f>
        <v>0</v>
      </c>
      <c r="AD100" s="43">
        <f>IF(参数输入表!$I$721="手动输入",基准日往来账处理!AD66,基准日往来账处理!AD144)</f>
        <v>0</v>
      </c>
      <c r="AE100" s="43">
        <f>IF(参数输入表!$I$721="手动输入",基准日往来账处理!AE66,基准日往来账处理!AE144)</f>
        <v>0</v>
      </c>
      <c r="AF100" s="336">
        <v>0</v>
      </c>
    </row>
    <row r="101" spans="2:32">
      <c r="B101" s="325">
        <v>2.8</v>
      </c>
      <c r="C101" s="326" t="s">
        <v>515</v>
      </c>
      <c r="D101" s="327"/>
      <c r="E101" s="328" t="s">
        <v>24</v>
      </c>
      <c r="F101" s="323"/>
      <c r="G101" s="323"/>
      <c r="H101" s="323"/>
      <c r="I101" s="43">
        <f>'表10-资产负债表(标准格式)'!H85-折现率、非经营、长投计算表!E52</f>
        <v>0</v>
      </c>
      <c r="J101" s="43">
        <f>I101</f>
        <v>0</v>
      </c>
      <c r="K101" s="43">
        <f t="shared" ref="K101:AE101" si="45">J101</f>
        <v>0</v>
      </c>
      <c r="L101" s="43">
        <f t="shared" si="45"/>
        <v>0</v>
      </c>
      <c r="M101" s="43">
        <f t="shared" si="45"/>
        <v>0</v>
      </c>
      <c r="N101" s="43">
        <f t="shared" si="45"/>
        <v>0</v>
      </c>
      <c r="O101" s="43">
        <f t="shared" si="45"/>
        <v>0</v>
      </c>
      <c r="P101" s="43">
        <f t="shared" si="45"/>
        <v>0</v>
      </c>
      <c r="Q101" s="43">
        <f t="shared" si="45"/>
        <v>0</v>
      </c>
      <c r="R101" s="43">
        <f t="shared" si="45"/>
        <v>0</v>
      </c>
      <c r="S101" s="43">
        <f t="shared" si="45"/>
        <v>0</v>
      </c>
      <c r="T101" s="43">
        <f t="shared" si="45"/>
        <v>0</v>
      </c>
      <c r="U101" s="43">
        <f t="shared" si="45"/>
        <v>0</v>
      </c>
      <c r="V101" s="43">
        <f t="shared" si="45"/>
        <v>0</v>
      </c>
      <c r="W101" s="43">
        <f t="shared" si="45"/>
        <v>0</v>
      </c>
      <c r="X101" s="43">
        <f t="shared" si="45"/>
        <v>0</v>
      </c>
      <c r="Y101" s="43">
        <f t="shared" si="45"/>
        <v>0</v>
      </c>
      <c r="Z101" s="43">
        <f t="shared" si="45"/>
        <v>0</v>
      </c>
      <c r="AA101" s="43">
        <f t="shared" si="45"/>
        <v>0</v>
      </c>
      <c r="AB101" s="43">
        <f t="shared" si="45"/>
        <v>0</v>
      </c>
      <c r="AC101" s="43">
        <f t="shared" si="45"/>
        <v>0</v>
      </c>
      <c r="AD101" s="43">
        <f t="shared" si="45"/>
        <v>0</v>
      </c>
      <c r="AE101" s="43">
        <f t="shared" si="45"/>
        <v>0</v>
      </c>
      <c r="AF101" s="336">
        <v>0</v>
      </c>
    </row>
    <row r="102" spans="2:32">
      <c r="B102" s="320" t="s">
        <v>719</v>
      </c>
      <c r="C102" s="35" t="s">
        <v>720</v>
      </c>
      <c r="D102" s="321"/>
      <c r="E102" s="322" t="s">
        <v>24</v>
      </c>
      <c r="F102" s="323"/>
      <c r="G102" s="323"/>
      <c r="H102" s="323"/>
      <c r="I102" s="335">
        <f>I83-I93</f>
        <v>10330.3075208333</v>
      </c>
      <c r="J102" s="335">
        <f ca="1" t="shared" ref="J102:AF102" si="46">J83-J93</f>
        <v>7403.88866796063</v>
      </c>
      <c r="K102" s="335">
        <f ca="1" t="shared" si="46"/>
        <v>7668.36184506769</v>
      </c>
      <c r="L102" s="335">
        <f ca="1" t="shared" si="46"/>
        <v>5830.09314454553</v>
      </c>
      <c r="M102" s="335">
        <f ca="1" t="shared" si="46"/>
        <v>5030.84593383952</v>
      </c>
      <c r="N102" s="335">
        <f ca="1" t="shared" si="46"/>
        <v>4989.50997049692</v>
      </c>
      <c r="O102" s="335">
        <f ca="1" t="shared" si="46"/>
        <v>4948.76833427466</v>
      </c>
      <c r="P102" s="335">
        <f ca="1" t="shared" si="46"/>
        <v>4907.29765326141</v>
      </c>
      <c r="Q102" s="335">
        <f ca="1" t="shared" si="46"/>
        <v>4865.06787212983</v>
      </c>
      <c r="R102" s="335">
        <f ca="1" t="shared" si="46"/>
        <v>4874.11276941236</v>
      </c>
      <c r="S102" s="335">
        <f ca="1" t="shared" si="46"/>
        <v>4833.01602309135</v>
      </c>
      <c r="T102" s="335">
        <f ca="1" t="shared" si="46"/>
        <v>4790.39777858328</v>
      </c>
      <c r="U102" s="335">
        <f ca="1" t="shared" si="46"/>
        <v>4746.98557018203</v>
      </c>
      <c r="V102" s="335">
        <f ca="1" t="shared" si="46"/>
        <v>4707.60609942628</v>
      </c>
      <c r="W102" s="335">
        <f ca="1" t="shared" si="46"/>
        <v>4678.52411262137</v>
      </c>
      <c r="X102" s="335">
        <f ca="1" t="shared" si="46"/>
        <v>4659.54229042021</v>
      </c>
      <c r="Y102" s="335">
        <f ca="1" t="shared" si="46"/>
        <v>4639.31202462307</v>
      </c>
      <c r="Z102" s="335">
        <f ca="1" t="shared" si="46"/>
        <v>3958.6515357906</v>
      </c>
      <c r="AA102" s="335">
        <f ca="1" t="shared" si="46"/>
        <v>3556.80261707137</v>
      </c>
      <c r="AB102" s="335">
        <f ca="1" t="shared" si="46"/>
        <v>3575.31416934618</v>
      </c>
      <c r="AC102" s="335">
        <f ca="1" t="shared" si="46"/>
        <v>3644.68378878344</v>
      </c>
      <c r="AD102" s="335">
        <f ca="1" t="shared" si="46"/>
        <v>3644.78055316454</v>
      </c>
      <c r="AE102" s="335">
        <f ca="1" t="shared" si="46"/>
        <v>3630.36804602826</v>
      </c>
      <c r="AF102" s="335">
        <f t="shared" si="46"/>
        <v>0</v>
      </c>
    </row>
    <row r="103" ht="17.25" spans="2:32">
      <c r="B103" s="331" t="s">
        <v>721</v>
      </c>
      <c r="C103" s="332" t="s">
        <v>722</v>
      </c>
      <c r="D103" s="318"/>
      <c r="E103" s="322" t="s">
        <v>24</v>
      </c>
      <c r="F103" s="323"/>
      <c r="G103" s="323"/>
      <c r="H103" s="323"/>
      <c r="I103" s="323"/>
      <c r="J103" s="335">
        <f ca="1">J102-I102</f>
        <v>-2926.41885287271</v>
      </c>
      <c r="K103" s="335">
        <f ca="1" t="shared" ref="K103:AF103" si="47">K102-J102</f>
        <v>264.473177107061</v>
      </c>
      <c r="L103" s="335">
        <f ca="1" t="shared" si="47"/>
        <v>-1838.26870052216</v>
      </c>
      <c r="M103" s="335">
        <f ca="1" t="shared" si="47"/>
        <v>-799.24721070601</v>
      </c>
      <c r="N103" s="335">
        <f ca="1" t="shared" si="47"/>
        <v>-41.3359633426016</v>
      </c>
      <c r="O103" s="335">
        <f ca="1" t="shared" si="47"/>
        <v>-40.7416362222584</v>
      </c>
      <c r="P103" s="335">
        <f ca="1" t="shared" si="47"/>
        <v>-41.4706810132511</v>
      </c>
      <c r="Q103" s="335">
        <f ca="1" t="shared" si="47"/>
        <v>-42.2297811315811</v>
      </c>
      <c r="R103" s="335">
        <f ca="1" t="shared" si="47"/>
        <v>9.0448972825252</v>
      </c>
      <c r="S103" s="335">
        <f ca="1" t="shared" si="47"/>
        <v>-41.0967463210027</v>
      </c>
      <c r="T103" s="335">
        <f ca="1" t="shared" si="47"/>
        <v>-42.6182445080731</v>
      </c>
      <c r="U103" s="335">
        <f ca="1" t="shared" si="47"/>
        <v>-43.4122084012488</v>
      </c>
      <c r="V103" s="335">
        <f ca="1" t="shared" si="47"/>
        <v>-39.3794707557499</v>
      </c>
      <c r="W103" s="335">
        <f ca="1" t="shared" si="47"/>
        <v>-29.0819868049093</v>
      </c>
      <c r="X103" s="335">
        <f ca="1" t="shared" si="47"/>
        <v>-18.9818222011618</v>
      </c>
      <c r="Y103" s="335">
        <f ca="1" t="shared" si="47"/>
        <v>-20.230265797145</v>
      </c>
      <c r="Z103" s="335">
        <f ca="1" t="shared" si="47"/>
        <v>-680.660488832471</v>
      </c>
      <c r="AA103" s="335">
        <f ca="1" t="shared" si="47"/>
        <v>-401.84891871923</v>
      </c>
      <c r="AB103" s="335">
        <f ca="1" t="shared" si="47"/>
        <v>18.5115522748133</v>
      </c>
      <c r="AC103" s="335">
        <f ca="1" t="shared" si="47"/>
        <v>69.3696194372624</v>
      </c>
      <c r="AD103" s="335">
        <f ca="1" t="shared" si="47"/>
        <v>0.0967643811018206</v>
      </c>
      <c r="AE103" s="335">
        <f ca="1" t="shared" si="47"/>
        <v>-14.4125071362823</v>
      </c>
      <c r="AF103" s="335">
        <f ca="1" t="shared" si="47"/>
        <v>-3630.36804602826</v>
      </c>
    </row>
    <row r="105" ht="21.5" spans="3:3">
      <c r="C105" s="333"/>
    </row>
  </sheetData>
  <mergeCells count="16">
    <mergeCell ref="B3:B4"/>
    <mergeCell ref="B30:B31"/>
    <mergeCell ref="B74:B75"/>
    <mergeCell ref="B81:B82"/>
    <mergeCell ref="C3:C4"/>
    <mergeCell ref="C30:C31"/>
    <mergeCell ref="C74:C75"/>
    <mergeCell ref="C81:C82"/>
    <mergeCell ref="D3:D4"/>
    <mergeCell ref="D30:D31"/>
    <mergeCell ref="D74:D75"/>
    <mergeCell ref="D81:D82"/>
    <mergeCell ref="E3:E4"/>
    <mergeCell ref="E30:E31"/>
    <mergeCell ref="E74:E75"/>
    <mergeCell ref="E81:E82"/>
  </mergeCells>
  <pageMargins left="0.7" right="0.7" top="0.75" bottom="0.75" header="0.3" footer="0.3"/>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rgb="FF0070C0"/>
  </sheetPr>
  <dimension ref="B1:AF101"/>
  <sheetViews>
    <sheetView showGridLines="0" zoomScale="70" zoomScaleNormal="70" topLeftCell="A61" workbookViewId="0">
      <selection activeCell="F51" sqref="F51"/>
    </sheetView>
  </sheetViews>
  <sheetFormatPr defaultColWidth="9" defaultRowHeight="16.5"/>
  <cols>
    <col min="1" max="1" width="2.89090909090909" style="4" customWidth="1"/>
    <col min="2" max="2" width="7.10909090909091" style="5" customWidth="1"/>
    <col min="3" max="3" width="56.6636363636364" style="4" customWidth="1"/>
    <col min="4" max="4" width="14.5545454545455" style="5"/>
    <col min="5" max="5" width="9" style="5"/>
    <col min="6" max="7" width="10.5545454545455" style="4" customWidth="1"/>
    <col min="8" max="9" width="12.8909090909091" style="4" customWidth="1"/>
    <col min="10" max="10" width="13.5545454545455" style="4" customWidth="1"/>
    <col min="11" max="32" width="12.8909090909091" style="4" customWidth="1"/>
    <col min="33" max="16384" width="9" style="4"/>
  </cols>
  <sheetData>
    <row r="1" ht="7.95" customHeight="1"/>
    <row r="2" ht="24" customHeight="1" spans="2:2">
      <c r="B2" s="6" t="s">
        <v>723</v>
      </c>
    </row>
    <row r="3" spans="2:32">
      <c r="B3" s="7" t="s">
        <v>15</v>
      </c>
      <c r="C3" s="8" t="s">
        <v>463</v>
      </c>
      <c r="D3" s="9" t="s">
        <v>17</v>
      </c>
      <c r="E3" s="9" t="s">
        <v>18</v>
      </c>
      <c r="F3" s="10" t="s">
        <v>464</v>
      </c>
      <c r="G3" s="10" t="s">
        <v>465</v>
      </c>
      <c r="H3" s="10" t="s">
        <v>466</v>
      </c>
      <c r="I3" s="37">
        <v>45107</v>
      </c>
      <c r="J3" s="37">
        <v>45261</v>
      </c>
      <c r="K3" s="10" t="s">
        <v>20</v>
      </c>
      <c r="L3" s="10" t="s">
        <v>467</v>
      </c>
      <c r="M3" s="10" t="s">
        <v>468</v>
      </c>
      <c r="N3" s="10" t="s">
        <v>469</v>
      </c>
      <c r="O3" s="10" t="s">
        <v>470</v>
      </c>
      <c r="P3" s="10" t="s">
        <v>471</v>
      </c>
      <c r="Q3" s="10" t="s">
        <v>472</v>
      </c>
      <c r="R3" s="10" t="s">
        <v>473</v>
      </c>
      <c r="S3" s="10" t="s">
        <v>474</v>
      </c>
      <c r="T3" s="10" t="s">
        <v>475</v>
      </c>
      <c r="U3" s="10" t="s">
        <v>476</v>
      </c>
      <c r="V3" s="10" t="s">
        <v>477</v>
      </c>
      <c r="W3" s="10" t="s">
        <v>478</v>
      </c>
      <c r="X3" s="10" t="s">
        <v>479</v>
      </c>
      <c r="Y3" s="10" t="s">
        <v>480</v>
      </c>
      <c r="Z3" s="10" t="s">
        <v>481</v>
      </c>
      <c r="AA3" s="10" t="s">
        <v>482</v>
      </c>
      <c r="AB3" s="10" t="s">
        <v>483</v>
      </c>
      <c r="AC3" s="10" t="s">
        <v>484</v>
      </c>
      <c r="AD3" s="10" t="s">
        <v>485</v>
      </c>
      <c r="AE3" s="10" t="s">
        <v>486</v>
      </c>
      <c r="AF3" s="37">
        <v>53051</v>
      </c>
    </row>
    <row r="4" spans="2:32">
      <c r="B4" s="11"/>
      <c r="C4" s="12"/>
      <c r="D4" s="13"/>
      <c r="E4" s="13"/>
      <c r="F4" s="14">
        <v>1</v>
      </c>
      <c r="G4" s="14">
        <v>2</v>
      </c>
      <c r="H4" s="14">
        <v>3</v>
      </c>
      <c r="I4" s="14">
        <v>4</v>
      </c>
      <c r="J4" s="38">
        <v>5</v>
      </c>
      <c r="K4" s="38">
        <v>6</v>
      </c>
      <c r="L4" s="38">
        <v>7</v>
      </c>
      <c r="M4" s="38">
        <v>8</v>
      </c>
      <c r="N4" s="38">
        <v>9</v>
      </c>
      <c r="O4" s="38">
        <v>10</v>
      </c>
      <c r="P4" s="38">
        <v>11</v>
      </c>
      <c r="Q4" s="38">
        <v>12</v>
      </c>
      <c r="R4" s="38">
        <v>13</v>
      </c>
      <c r="S4" s="38">
        <v>14</v>
      </c>
      <c r="T4" s="38">
        <v>15</v>
      </c>
      <c r="U4" s="38">
        <v>16</v>
      </c>
      <c r="V4" s="38">
        <v>17</v>
      </c>
      <c r="W4" s="38">
        <v>18</v>
      </c>
      <c r="X4" s="38">
        <v>19</v>
      </c>
      <c r="Y4" s="38">
        <v>20</v>
      </c>
      <c r="Z4" s="38">
        <v>21</v>
      </c>
      <c r="AA4" s="38">
        <v>22</v>
      </c>
      <c r="AB4" s="38">
        <v>23</v>
      </c>
      <c r="AC4" s="38">
        <v>24</v>
      </c>
      <c r="AD4" s="38">
        <v>25</v>
      </c>
      <c r="AE4" s="38">
        <v>26</v>
      </c>
      <c r="AF4" s="38">
        <v>27</v>
      </c>
    </row>
    <row r="5" s="1" customFormat="1" spans="2:32">
      <c r="B5" s="15" t="s">
        <v>724</v>
      </c>
      <c r="C5" s="16" t="s">
        <v>725</v>
      </c>
      <c r="D5" s="17">
        <f>SUM(F5:AF5)</f>
        <v>354199.740125664</v>
      </c>
      <c r="E5" s="18" t="s">
        <v>24</v>
      </c>
      <c r="F5" s="31">
        <f>SUM(F6:F9)</f>
        <v>0</v>
      </c>
      <c r="G5" s="19">
        <f t="shared" ref="G5:N5" si="0">SUM(G6:G9)</f>
        <v>0</v>
      </c>
      <c r="H5" s="19">
        <f t="shared" si="0"/>
        <v>0</v>
      </c>
      <c r="I5" s="19">
        <f t="shared" si="0"/>
        <v>2000</v>
      </c>
      <c r="J5" s="39">
        <f t="shared" si="0"/>
        <v>1656.15906039823</v>
      </c>
      <c r="K5" s="39">
        <f t="shared" si="0"/>
        <v>14152.0508528761</v>
      </c>
      <c r="L5" s="39">
        <f t="shared" si="0"/>
        <v>18589.6865840708</v>
      </c>
      <c r="M5" s="39">
        <f t="shared" si="0"/>
        <v>18504.4980530973</v>
      </c>
      <c r="N5" s="39">
        <f t="shared" si="0"/>
        <v>18419.3121769912</v>
      </c>
      <c r="O5" s="39">
        <f t="shared" ref="O5:AF5" si="1">SUM(O6:O9)</f>
        <v>18334.126300885</v>
      </c>
      <c r="P5" s="39">
        <f t="shared" si="1"/>
        <v>18248.9377699115</v>
      </c>
      <c r="Q5" s="39">
        <f t="shared" si="1"/>
        <v>18163.7518938053</v>
      </c>
      <c r="R5" s="39">
        <f t="shared" si="1"/>
        <v>18078.5633628319</v>
      </c>
      <c r="S5" s="39">
        <f t="shared" si="1"/>
        <v>17993.3774867257</v>
      </c>
      <c r="T5" s="39">
        <f t="shared" si="1"/>
        <v>17908.1916106195</v>
      </c>
      <c r="U5" s="39">
        <f t="shared" si="1"/>
        <v>17823.003079646</v>
      </c>
      <c r="V5" s="39">
        <f t="shared" si="1"/>
        <v>17737.8172035398</v>
      </c>
      <c r="W5" s="39">
        <f t="shared" si="1"/>
        <v>17652.6286725664</v>
      </c>
      <c r="X5" s="39">
        <f t="shared" si="1"/>
        <v>17567.4427964602</v>
      </c>
      <c r="Y5" s="39">
        <f t="shared" si="1"/>
        <v>17482.256920354</v>
      </c>
      <c r="Z5" s="39">
        <f t="shared" si="1"/>
        <v>14824.1150973451</v>
      </c>
      <c r="AA5" s="39">
        <f t="shared" si="1"/>
        <v>13295.2042831858</v>
      </c>
      <c r="AB5" s="39">
        <f t="shared" si="1"/>
        <v>13229.7807079646</v>
      </c>
      <c r="AC5" s="39">
        <f t="shared" si="1"/>
        <v>13164.3597876106</v>
      </c>
      <c r="AD5" s="39">
        <f t="shared" si="1"/>
        <v>13098.9388672566</v>
      </c>
      <c r="AE5" s="39">
        <f t="shared" si="1"/>
        <v>13033.5152920354</v>
      </c>
      <c r="AF5" s="39">
        <f t="shared" si="1"/>
        <v>3242.02226548672</v>
      </c>
    </row>
    <row r="6" spans="2:32">
      <c r="B6" s="20"/>
      <c r="C6" s="21" t="s">
        <v>726</v>
      </c>
      <c r="D6" s="22">
        <f>SUM(F6:AF6)</f>
        <v>354199.740125664</v>
      </c>
      <c r="E6" s="18" t="s">
        <v>24</v>
      </c>
      <c r="F6" s="23"/>
      <c r="G6" s="23"/>
      <c r="H6" s="23"/>
      <c r="I6" s="23">
        <v>2000</v>
      </c>
      <c r="J6" s="22">
        <f>'表4-收入税金表'!J6</f>
        <v>1656.15906039823</v>
      </c>
      <c r="K6" s="22">
        <f>'表4-收入税金表'!K6</f>
        <v>14152.0508528761</v>
      </c>
      <c r="L6" s="22">
        <f>'表4-收入税金表'!L6</f>
        <v>18589.6865840708</v>
      </c>
      <c r="M6" s="22">
        <f>'表4-收入税金表'!M6</f>
        <v>18504.4980530973</v>
      </c>
      <c r="N6" s="22">
        <f>'表4-收入税金表'!N6</f>
        <v>18419.3121769912</v>
      </c>
      <c r="O6" s="22">
        <f>'表4-收入税金表'!O6</f>
        <v>18334.126300885</v>
      </c>
      <c r="P6" s="22">
        <f>'表4-收入税金表'!P6</f>
        <v>18248.9377699115</v>
      </c>
      <c r="Q6" s="22">
        <f>'表4-收入税金表'!Q6</f>
        <v>18163.7518938053</v>
      </c>
      <c r="R6" s="22">
        <f>'表4-收入税金表'!R6</f>
        <v>18078.5633628319</v>
      </c>
      <c r="S6" s="22">
        <f>'表4-收入税金表'!S6</f>
        <v>17993.3774867257</v>
      </c>
      <c r="T6" s="22">
        <f>'表4-收入税金表'!T6</f>
        <v>17908.1916106195</v>
      </c>
      <c r="U6" s="22">
        <f>'表4-收入税金表'!U6</f>
        <v>17823.003079646</v>
      </c>
      <c r="V6" s="22">
        <f>'表4-收入税金表'!V6</f>
        <v>17737.8172035398</v>
      </c>
      <c r="W6" s="22">
        <f>'表4-收入税金表'!W6</f>
        <v>17652.6286725664</v>
      </c>
      <c r="X6" s="22">
        <f>'表4-收入税金表'!X6</f>
        <v>17567.4427964602</v>
      </c>
      <c r="Y6" s="22">
        <f>'表4-收入税金表'!Y6</f>
        <v>17482.256920354</v>
      </c>
      <c r="Z6" s="22">
        <f>'表4-收入税金表'!Z6</f>
        <v>14824.1150973451</v>
      </c>
      <c r="AA6" s="22">
        <f>'表4-收入税金表'!AA6</f>
        <v>13295.2042831858</v>
      </c>
      <c r="AB6" s="22">
        <f>'表4-收入税金表'!AB6</f>
        <v>13229.7807079646</v>
      </c>
      <c r="AC6" s="22">
        <f>'表4-收入税金表'!AC6</f>
        <v>13164.3597876106</v>
      </c>
      <c r="AD6" s="22">
        <f>'表4-收入税金表'!AD6</f>
        <v>13098.9388672566</v>
      </c>
      <c r="AE6" s="22">
        <f>'表4-收入税金表'!AE6</f>
        <v>13033.5152920354</v>
      </c>
      <c r="AF6" s="22">
        <f>'表4-收入税金表'!AF6</f>
        <v>3242.02226548672</v>
      </c>
    </row>
    <row r="7" spans="2:32">
      <c r="B7" s="20"/>
      <c r="C7" s="24" t="s">
        <v>727</v>
      </c>
      <c r="D7" s="22"/>
      <c r="E7" s="18" t="s">
        <v>24</v>
      </c>
      <c r="F7" s="23"/>
      <c r="G7" s="23"/>
      <c r="H7" s="23"/>
      <c r="I7" s="23"/>
      <c r="J7" s="22"/>
      <c r="K7" s="22"/>
      <c r="L7" s="22"/>
      <c r="M7" s="22"/>
      <c r="N7" s="22"/>
      <c r="O7" s="22"/>
      <c r="P7" s="22"/>
      <c r="Q7" s="22"/>
      <c r="R7" s="22"/>
      <c r="S7" s="22"/>
      <c r="T7" s="22"/>
      <c r="U7" s="22"/>
      <c r="V7" s="22"/>
      <c r="W7" s="22"/>
      <c r="X7" s="22"/>
      <c r="Y7" s="22"/>
      <c r="Z7" s="22"/>
      <c r="AA7" s="22"/>
      <c r="AB7" s="22"/>
      <c r="AC7" s="22"/>
      <c r="AD7" s="22"/>
      <c r="AE7" s="22"/>
      <c r="AF7" s="22"/>
    </row>
    <row r="8" spans="2:32">
      <c r="B8" s="20"/>
      <c r="C8" s="24" t="s">
        <v>728</v>
      </c>
      <c r="D8" s="22"/>
      <c r="E8" s="18" t="s">
        <v>24</v>
      </c>
      <c r="F8" s="23"/>
      <c r="G8" s="23"/>
      <c r="H8" s="23"/>
      <c r="I8" s="23"/>
      <c r="J8" s="22"/>
      <c r="K8" s="22"/>
      <c r="L8" s="22"/>
      <c r="M8" s="22"/>
      <c r="N8" s="22"/>
      <c r="O8" s="22"/>
      <c r="P8" s="22"/>
      <c r="Q8" s="22"/>
      <c r="R8" s="22"/>
      <c r="S8" s="22"/>
      <c r="T8" s="22"/>
      <c r="U8" s="22"/>
      <c r="V8" s="22"/>
      <c r="W8" s="22"/>
      <c r="X8" s="22"/>
      <c r="Y8" s="22"/>
      <c r="Z8" s="22"/>
      <c r="AA8" s="22"/>
      <c r="AB8" s="22"/>
      <c r="AC8" s="22"/>
      <c r="AD8" s="22"/>
      <c r="AE8" s="22"/>
      <c r="AF8" s="22"/>
    </row>
    <row r="9" spans="2:32">
      <c r="B9" s="20"/>
      <c r="C9" s="24" t="s">
        <v>729</v>
      </c>
      <c r="D9" s="22"/>
      <c r="E9" s="18" t="s">
        <v>24</v>
      </c>
      <c r="F9" s="23"/>
      <c r="G9" s="23"/>
      <c r="H9" s="23"/>
      <c r="I9" s="23"/>
      <c r="J9" s="22"/>
      <c r="K9" s="22"/>
      <c r="L9" s="22"/>
      <c r="M9" s="22"/>
      <c r="N9" s="22"/>
      <c r="O9" s="22"/>
      <c r="P9" s="22"/>
      <c r="Q9" s="22"/>
      <c r="R9" s="22"/>
      <c r="S9" s="22"/>
      <c r="T9" s="22"/>
      <c r="U9" s="22"/>
      <c r="V9" s="22"/>
      <c r="W9" s="22"/>
      <c r="X9" s="22"/>
      <c r="Y9" s="22"/>
      <c r="Z9" s="22"/>
      <c r="AA9" s="22"/>
      <c r="AB9" s="22"/>
      <c r="AC9" s="22"/>
      <c r="AD9" s="22"/>
      <c r="AE9" s="22"/>
      <c r="AF9" s="22"/>
    </row>
    <row r="10" s="1" customFormat="1" spans="2:32">
      <c r="B10" s="15" t="s">
        <v>730</v>
      </c>
      <c r="C10" s="16" t="s">
        <v>731</v>
      </c>
      <c r="D10" s="17">
        <f ca="1">SUM(F10:AF10)</f>
        <v>284141.306764516</v>
      </c>
      <c r="E10" s="18" t="s">
        <v>24</v>
      </c>
      <c r="F10" s="19">
        <f>SUM(F11:F23)+F27</f>
        <v>0</v>
      </c>
      <c r="G10" s="19">
        <f t="shared" ref="G10:Q10" si="2">SUM(G11:G23)+G27</f>
        <v>0</v>
      </c>
      <c r="H10" s="19">
        <f t="shared" si="2"/>
        <v>0</v>
      </c>
      <c r="I10" s="19">
        <f t="shared" si="2"/>
        <v>2000</v>
      </c>
      <c r="J10" s="39">
        <f ca="1" t="shared" si="2"/>
        <v>3055.49656742155</v>
      </c>
      <c r="K10" s="39">
        <f ca="1" t="shared" si="2"/>
        <v>13980.6813452446</v>
      </c>
      <c r="L10" s="39">
        <f ca="1" t="shared" si="2"/>
        <v>17011.7992703252</v>
      </c>
      <c r="M10" s="39">
        <f ca="1" t="shared" si="2"/>
        <v>17068.9028193193</v>
      </c>
      <c r="N10" s="39">
        <f ca="1" t="shared" si="2"/>
        <v>16772.1621337954</v>
      </c>
      <c r="O10" s="39">
        <f ca="1" t="shared" si="2"/>
        <v>16483.811948794</v>
      </c>
      <c r="P10" s="39">
        <f ca="1" t="shared" si="2"/>
        <v>16185.1783058376</v>
      </c>
      <c r="Q10" s="39">
        <f ca="1" t="shared" si="2"/>
        <v>15875.819016234</v>
      </c>
      <c r="R10" s="39">
        <f ca="1" t="shared" ref="R10:AF10" si="3">SUM(R11:R23)+R27</f>
        <v>16012.8261153083</v>
      </c>
      <c r="S10" s="39">
        <f ca="1" t="shared" si="3"/>
        <v>15691.7055942076</v>
      </c>
      <c r="T10" s="39">
        <f ca="1" t="shared" si="3"/>
        <v>15345.2489677139</v>
      </c>
      <c r="U10" s="39">
        <f ca="1" t="shared" si="3"/>
        <v>14986.099403885</v>
      </c>
      <c r="V10" s="39">
        <f ca="1" t="shared" si="3"/>
        <v>14692.4552918285</v>
      </c>
      <c r="W10" s="39">
        <f ca="1" t="shared" si="3"/>
        <v>14563.581407941</v>
      </c>
      <c r="X10" s="39">
        <f ca="1" t="shared" si="3"/>
        <v>13197.8280778531</v>
      </c>
      <c r="Y10" s="39">
        <f ca="1" t="shared" si="3"/>
        <v>11812.0996502294</v>
      </c>
      <c r="Z10" s="39">
        <f ca="1" t="shared" si="3"/>
        <v>11419.4199352462</v>
      </c>
      <c r="AA10" s="39">
        <f ca="1" t="shared" si="3"/>
        <v>11028.0156777916</v>
      </c>
      <c r="AB10" s="39">
        <f ca="1" t="shared" si="3"/>
        <v>10189.7531131567</v>
      </c>
      <c r="AC10" s="39">
        <f ca="1" t="shared" si="3"/>
        <v>4593.90150840957</v>
      </c>
      <c r="AD10" s="39">
        <f ca="1" t="shared" si="3"/>
        <v>3925.26748833258</v>
      </c>
      <c r="AE10" s="39">
        <f ca="1" t="shared" si="3"/>
        <v>3953.04688055913</v>
      </c>
      <c r="AF10" s="39">
        <f ca="1" t="shared" si="3"/>
        <v>4296.20624508206</v>
      </c>
    </row>
    <row r="11" spans="2:32">
      <c r="B11" s="20"/>
      <c r="C11" s="21" t="s">
        <v>732</v>
      </c>
      <c r="D11" s="22">
        <f ca="1">SUM(F11:AF11)</f>
        <v>221338.953173349</v>
      </c>
      <c r="E11" s="18" t="s">
        <v>24</v>
      </c>
      <c r="F11" s="23"/>
      <c r="G11" s="23"/>
      <c r="H11" s="23"/>
      <c r="I11" s="23">
        <v>2000</v>
      </c>
      <c r="J11" s="22">
        <f ca="1">'表3-成本费用表'!J7</f>
        <v>2381.58547755777</v>
      </c>
      <c r="K11" s="22">
        <f ca="1">'表3-成本费用表'!K7</f>
        <v>10114.8166774323</v>
      </c>
      <c r="L11" s="22">
        <f ca="1">'表3-成本费用表'!L7</f>
        <v>11326.7301311518</v>
      </c>
      <c r="M11" s="22">
        <f ca="1">'表3-成本费用表'!M7</f>
        <v>11664.8703068924</v>
      </c>
      <c r="N11" s="22">
        <f ca="1">'表3-成本费用表'!N7</f>
        <v>11693.6703068924</v>
      </c>
      <c r="O11" s="22">
        <f ca="1">'表3-成本费用表'!O7</f>
        <v>11722.4703068924</v>
      </c>
      <c r="P11" s="22">
        <f ca="1">'表3-成本费用表'!P7</f>
        <v>11751.2703068924</v>
      </c>
      <c r="Q11" s="22">
        <f ca="1">'表3-成本费用表'!Q7</f>
        <v>11780.0703068924</v>
      </c>
      <c r="R11" s="22">
        <f ca="1">'表3-成本费用表'!R7</f>
        <v>11992.4026590506</v>
      </c>
      <c r="S11" s="22">
        <f ca="1">'表3-成本费用表'!S7</f>
        <v>12021.2026590506</v>
      </c>
      <c r="T11" s="22">
        <f ca="1">'表3-成本费用表'!T7</f>
        <v>12049.2585582506</v>
      </c>
      <c r="U11" s="22">
        <f ca="1">'表3-成本费用表'!U7</f>
        <v>12077.3144574506</v>
      </c>
      <c r="V11" s="22">
        <f ca="1">'表3-成本费用表'!V7</f>
        <v>12106.1144574506</v>
      </c>
      <c r="W11" s="22">
        <f ca="1">'表3-成本费用表'!W7</f>
        <v>12318.4468096088</v>
      </c>
      <c r="X11" s="22">
        <f ca="1">'表3-成本费用表'!X7</f>
        <v>11298.3931134302</v>
      </c>
      <c r="Y11" s="22">
        <f ca="1">'表3-成本费用表'!Y7</f>
        <v>10278.3394172516</v>
      </c>
      <c r="Z11" s="22">
        <f ca="1">'表3-成本费用表'!Z7</f>
        <v>10307.1394172516</v>
      </c>
      <c r="AA11" s="22">
        <f ca="1">'表3-成本费用表'!AA7</f>
        <v>10335.9394172516</v>
      </c>
      <c r="AB11" s="22">
        <f ca="1">'表3-成本费用表'!AB7</f>
        <v>9503.65158883061</v>
      </c>
      <c r="AC11" s="22">
        <f ca="1">'表3-成本费用表'!AC7</f>
        <v>4309.3506859346</v>
      </c>
      <c r="AD11" s="22">
        <f>'表3-成本费用表'!AD7</f>
        <v>3641.73723221513</v>
      </c>
      <c r="AE11" s="22">
        <f>'表3-成本费用表'!AE7</f>
        <v>3670.53723221513</v>
      </c>
      <c r="AF11" s="22">
        <f>'表3-成本费用表'!AF7</f>
        <v>993.641647503324</v>
      </c>
    </row>
    <row r="12" spans="2:32">
      <c r="B12" s="20"/>
      <c r="C12" s="24" t="s">
        <v>733</v>
      </c>
      <c r="D12" s="22"/>
      <c r="E12" s="18" t="s">
        <v>24</v>
      </c>
      <c r="F12" s="23"/>
      <c r="G12" s="23"/>
      <c r="H12" s="23"/>
      <c r="I12" s="23"/>
      <c r="J12" s="22"/>
      <c r="K12" s="22"/>
      <c r="L12" s="22"/>
      <c r="M12" s="22"/>
      <c r="N12" s="22"/>
      <c r="O12" s="22"/>
      <c r="P12" s="22"/>
      <c r="Q12" s="22"/>
      <c r="R12" s="22"/>
      <c r="S12" s="22"/>
      <c r="T12" s="22"/>
      <c r="U12" s="22"/>
      <c r="V12" s="22"/>
      <c r="W12" s="22"/>
      <c r="X12" s="22"/>
      <c r="Y12" s="22"/>
      <c r="Z12" s="22"/>
      <c r="AA12" s="22"/>
      <c r="AB12" s="22"/>
      <c r="AC12" s="22"/>
      <c r="AD12" s="22"/>
      <c r="AE12" s="22"/>
      <c r="AF12" s="22"/>
    </row>
    <row r="13" spans="2:32">
      <c r="B13" s="20"/>
      <c r="C13" s="24" t="s">
        <v>734</v>
      </c>
      <c r="D13" s="22"/>
      <c r="E13" s="18" t="s">
        <v>24</v>
      </c>
      <c r="F13" s="23"/>
      <c r="G13" s="23"/>
      <c r="H13" s="23"/>
      <c r="I13" s="23"/>
      <c r="J13" s="22"/>
      <c r="K13" s="22"/>
      <c r="L13" s="22"/>
      <c r="M13" s="22"/>
      <c r="N13" s="22"/>
      <c r="O13" s="22"/>
      <c r="P13" s="22"/>
      <c r="Q13" s="22"/>
      <c r="R13" s="22"/>
      <c r="S13" s="22"/>
      <c r="T13" s="22"/>
      <c r="U13" s="22"/>
      <c r="V13" s="22"/>
      <c r="W13" s="22"/>
      <c r="X13" s="22"/>
      <c r="Y13" s="22"/>
      <c r="Z13" s="22"/>
      <c r="AA13" s="22"/>
      <c r="AB13" s="22"/>
      <c r="AC13" s="22"/>
      <c r="AD13" s="22"/>
      <c r="AE13" s="22"/>
      <c r="AF13" s="22"/>
    </row>
    <row r="14" spans="2:32">
      <c r="B14" s="20"/>
      <c r="C14" s="24" t="s">
        <v>735</v>
      </c>
      <c r="D14" s="22"/>
      <c r="E14" s="18" t="s">
        <v>24</v>
      </c>
      <c r="F14" s="23"/>
      <c r="G14" s="23"/>
      <c r="H14" s="23"/>
      <c r="I14" s="23"/>
      <c r="J14" s="22"/>
      <c r="K14" s="22"/>
      <c r="L14" s="22"/>
      <c r="M14" s="22"/>
      <c r="N14" s="22"/>
      <c r="O14" s="22"/>
      <c r="P14" s="22"/>
      <c r="Q14" s="22"/>
      <c r="R14" s="22"/>
      <c r="S14" s="22"/>
      <c r="T14" s="22"/>
      <c r="U14" s="22"/>
      <c r="V14" s="22"/>
      <c r="W14" s="22"/>
      <c r="X14" s="22"/>
      <c r="Y14" s="22"/>
      <c r="Z14" s="22"/>
      <c r="AA14" s="22"/>
      <c r="AB14" s="22"/>
      <c r="AC14" s="22"/>
      <c r="AD14" s="22"/>
      <c r="AE14" s="22"/>
      <c r="AF14" s="22"/>
    </row>
    <row r="15" spans="2:32">
      <c r="B15" s="20"/>
      <c r="C15" s="24" t="s">
        <v>736</v>
      </c>
      <c r="D15" s="22"/>
      <c r="E15" s="18" t="s">
        <v>24</v>
      </c>
      <c r="F15" s="23"/>
      <c r="G15" s="23"/>
      <c r="H15" s="23"/>
      <c r="I15" s="23"/>
      <c r="J15" s="22"/>
      <c r="K15" s="22"/>
      <c r="L15" s="22"/>
      <c r="M15" s="22"/>
      <c r="N15" s="22"/>
      <c r="O15" s="22"/>
      <c r="P15" s="22"/>
      <c r="Q15" s="22"/>
      <c r="R15" s="22"/>
      <c r="S15" s="22"/>
      <c r="T15" s="22"/>
      <c r="U15" s="22"/>
      <c r="V15" s="22"/>
      <c r="W15" s="22"/>
      <c r="X15" s="22"/>
      <c r="Y15" s="22"/>
      <c r="Z15" s="22"/>
      <c r="AA15" s="22"/>
      <c r="AB15" s="22"/>
      <c r="AC15" s="22"/>
      <c r="AD15" s="22"/>
      <c r="AE15" s="22"/>
      <c r="AF15" s="22"/>
    </row>
    <row r="16" spans="2:32">
      <c r="B16" s="20"/>
      <c r="C16" s="24" t="s">
        <v>737</v>
      </c>
      <c r="D16" s="22"/>
      <c r="E16" s="18" t="s">
        <v>24</v>
      </c>
      <c r="F16" s="23"/>
      <c r="G16" s="23"/>
      <c r="H16" s="23"/>
      <c r="I16" s="23"/>
      <c r="J16" s="22"/>
      <c r="K16" s="22"/>
      <c r="L16" s="22"/>
      <c r="M16" s="22"/>
      <c r="N16" s="22"/>
      <c r="O16" s="22"/>
      <c r="P16" s="22"/>
      <c r="Q16" s="22"/>
      <c r="R16" s="22"/>
      <c r="S16" s="22"/>
      <c r="T16" s="22"/>
      <c r="U16" s="22"/>
      <c r="V16" s="22"/>
      <c r="W16" s="22"/>
      <c r="X16" s="22"/>
      <c r="Y16" s="22"/>
      <c r="Z16" s="22"/>
      <c r="AA16" s="22"/>
      <c r="AB16" s="22"/>
      <c r="AC16" s="22"/>
      <c r="AD16" s="22"/>
      <c r="AE16" s="22"/>
      <c r="AF16" s="22"/>
    </row>
    <row r="17" spans="2:32">
      <c r="B17" s="20"/>
      <c r="C17" s="24" t="s">
        <v>738</v>
      </c>
      <c r="D17" s="22"/>
      <c r="E17" s="18" t="s">
        <v>24</v>
      </c>
      <c r="F17" s="23"/>
      <c r="G17" s="23"/>
      <c r="H17" s="23"/>
      <c r="I17" s="23"/>
      <c r="J17" s="22"/>
      <c r="K17" s="22"/>
      <c r="L17" s="22"/>
      <c r="M17" s="22"/>
      <c r="N17" s="22"/>
      <c r="O17" s="22"/>
      <c r="P17" s="22"/>
      <c r="Q17" s="22"/>
      <c r="R17" s="22"/>
      <c r="S17" s="22"/>
      <c r="T17" s="22"/>
      <c r="U17" s="22"/>
      <c r="V17" s="22"/>
      <c r="W17" s="22"/>
      <c r="X17" s="22"/>
      <c r="Y17" s="22"/>
      <c r="Z17" s="22"/>
      <c r="AA17" s="22"/>
      <c r="AB17" s="22"/>
      <c r="AC17" s="22"/>
      <c r="AD17" s="22"/>
      <c r="AE17" s="22"/>
      <c r="AF17" s="22"/>
    </row>
    <row r="18" spans="2:32">
      <c r="B18" s="20"/>
      <c r="C18" s="24" t="s">
        <v>739</v>
      </c>
      <c r="D18" s="22"/>
      <c r="E18" s="18" t="s">
        <v>24</v>
      </c>
      <c r="F18" s="23"/>
      <c r="G18" s="23"/>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row>
    <row r="19" spans="2:32">
      <c r="B19" s="20"/>
      <c r="C19" s="25" t="s">
        <v>740</v>
      </c>
      <c r="D19" s="22">
        <f ca="1" t="shared" ref="D19:D24" si="4">SUM(F19:AF19)</f>
        <v>3568.26854587069</v>
      </c>
      <c r="E19" s="18" t="s">
        <v>24</v>
      </c>
      <c r="F19" s="23"/>
      <c r="G19" s="23"/>
      <c r="H19" s="23"/>
      <c r="I19" s="23"/>
      <c r="J19" s="22">
        <f>'表4-收入税金表'!J62+'表4-收入税金表'!J66</f>
        <v>0</v>
      </c>
      <c r="K19" s="22">
        <f>'表4-收入税金表'!K62+'表4-收入税金表'!K66</f>
        <v>0</v>
      </c>
      <c r="L19" s="22">
        <f>'表4-收入税金表'!L62+'表4-收入税金表'!L66</f>
        <v>0</v>
      </c>
      <c r="M19" s="22">
        <f>'表4-收入税金表'!M62+'表4-收入税金表'!M66</f>
        <v>0</v>
      </c>
      <c r="N19" s="22">
        <f>'表4-收入税金表'!N62+'表4-收入税金表'!N66</f>
        <v>0</v>
      </c>
      <c r="O19" s="22">
        <f>'表4-收入税金表'!O62+'表4-收入税金表'!O66</f>
        <v>0</v>
      </c>
      <c r="P19" s="22">
        <f>'表4-收入税金表'!P62+'表4-收入税金表'!P66</f>
        <v>0</v>
      </c>
      <c r="Q19" s="22">
        <f>'表4-收入税金表'!Q62+'表4-收入税金表'!Q66</f>
        <v>0</v>
      </c>
      <c r="R19" s="22">
        <f>'表4-收入税金表'!R62+'表4-收入税金表'!R66</f>
        <v>274.020885972662</v>
      </c>
      <c r="S19" s="22">
        <f>'表4-收入税金表'!S62+'表4-收入税金表'!S66</f>
        <v>285.114387907965</v>
      </c>
      <c r="T19" s="22">
        <f>'表4-收入税金表'!T62+'表4-收入税金表'!T66</f>
        <v>283.785488240708</v>
      </c>
      <c r="U19" s="22">
        <f>'表4-收入税金表'!U62+'表4-收入税金表'!U66</f>
        <v>282.456547157522</v>
      </c>
      <c r="V19" s="22">
        <f>'表4-收入税金表'!V62+'表4-收入税金表'!V66</f>
        <v>281.127647490266</v>
      </c>
      <c r="W19" s="22">
        <f>'表4-收入税金表'!W62+'表4-收入税金表'!W66</f>
        <v>274.844577966713</v>
      </c>
      <c r="X19" s="22">
        <f>'表4-收入税金表'!X62+'表4-收入税金表'!X66</f>
        <v>278.469806739823</v>
      </c>
      <c r="Y19" s="22">
        <f>'表4-收入税金表'!Y62+'表4-收入税金表'!Y66</f>
        <v>277.140907072566</v>
      </c>
      <c r="Z19" s="22">
        <f>'表4-收入税金表'!Z62+'表4-收入税金表'!Z66</f>
        <v>235.673894633628</v>
      </c>
      <c r="AA19" s="22">
        <f>'表4-收入税金表'!AA62+'表4-收入税金表'!AA66</f>
        <v>211.822885932743</v>
      </c>
      <c r="AB19" s="22">
        <f>'表4-收入税金表'!AB62+'表4-收入税金表'!AB66</f>
        <v>205.848149718925</v>
      </c>
      <c r="AC19" s="22">
        <f>'表4-收入税金表'!AC62+'表4-收入税金表'!AC66</f>
        <v>209.78171180177</v>
      </c>
      <c r="AD19" s="22">
        <f>'表4-收入税金表'!AD62+'表4-收入税金表'!AD66</f>
        <v>208.761145444248</v>
      </c>
      <c r="AE19" s="22">
        <f>'表4-收入税金表'!AE62+'表4-收入税金表'!AE66</f>
        <v>207.740537670796</v>
      </c>
      <c r="AF19" s="22">
        <f ca="1">'表4-收入税金表'!AF62+'表4-收入税金表'!AF66</f>
        <v>51.679972120354</v>
      </c>
    </row>
    <row r="20" spans="2:32">
      <c r="B20" s="20"/>
      <c r="C20" s="25" t="s">
        <v>621</v>
      </c>
      <c r="D20" s="22">
        <f t="shared" si="4"/>
        <v>0</v>
      </c>
      <c r="E20" s="18" t="s">
        <v>24</v>
      </c>
      <c r="F20" s="23"/>
      <c r="G20" s="23"/>
      <c r="H20" s="23"/>
      <c r="I20" s="23"/>
      <c r="J20" s="22">
        <f>'表3-成本费用表'!J16</f>
        <v>0</v>
      </c>
      <c r="K20" s="22">
        <f>'表3-成本费用表'!K16</f>
        <v>0</v>
      </c>
      <c r="L20" s="22">
        <f>'表3-成本费用表'!L16</f>
        <v>0</v>
      </c>
      <c r="M20" s="22">
        <f>'表3-成本费用表'!M16</f>
        <v>0</v>
      </c>
      <c r="N20" s="22">
        <f>'表3-成本费用表'!N16</f>
        <v>0</v>
      </c>
      <c r="O20" s="22">
        <f>'表3-成本费用表'!O16</f>
        <v>0</v>
      </c>
      <c r="P20" s="22">
        <f>'表3-成本费用表'!P16</f>
        <v>0</v>
      </c>
      <c r="Q20" s="22">
        <f>'表3-成本费用表'!Q16</f>
        <v>0</v>
      </c>
      <c r="R20" s="22">
        <f>'表3-成本费用表'!R16</f>
        <v>0</v>
      </c>
      <c r="S20" s="22">
        <f>'表3-成本费用表'!S16</f>
        <v>0</v>
      </c>
      <c r="T20" s="22">
        <f>'表3-成本费用表'!T16</f>
        <v>0</v>
      </c>
      <c r="U20" s="22">
        <f>'表3-成本费用表'!U16</f>
        <v>0</v>
      </c>
      <c r="V20" s="22">
        <f>'表3-成本费用表'!V16</f>
        <v>0</v>
      </c>
      <c r="W20" s="22">
        <f>'表3-成本费用表'!W16</f>
        <v>0</v>
      </c>
      <c r="X20" s="22">
        <f>'表3-成本费用表'!X16</f>
        <v>0</v>
      </c>
      <c r="Y20" s="22">
        <f>'表3-成本费用表'!Y16</f>
        <v>0</v>
      </c>
      <c r="Z20" s="22">
        <f>'表3-成本费用表'!Z16</f>
        <v>0</v>
      </c>
      <c r="AA20" s="22">
        <f>'表3-成本费用表'!AA16</f>
        <v>0</v>
      </c>
      <c r="AB20" s="22">
        <f>'表3-成本费用表'!AB16</f>
        <v>0</v>
      </c>
      <c r="AC20" s="22">
        <f>'表3-成本费用表'!AC16</f>
        <v>0</v>
      </c>
      <c r="AD20" s="22">
        <f>'表3-成本费用表'!AD16</f>
        <v>0</v>
      </c>
      <c r="AE20" s="22">
        <f>'表3-成本费用表'!AE16</f>
        <v>0</v>
      </c>
      <c r="AF20" s="22">
        <f>'表3-成本费用表'!AF16</f>
        <v>0</v>
      </c>
    </row>
    <row r="21" spans="2:32">
      <c r="B21" s="20"/>
      <c r="C21" s="25" t="s">
        <v>622</v>
      </c>
      <c r="D21" s="22">
        <f ca="1" t="shared" si="4"/>
        <v>4313.61685561129</v>
      </c>
      <c r="E21" s="18" t="s">
        <v>24</v>
      </c>
      <c r="F21" s="23"/>
      <c r="G21" s="23"/>
      <c r="H21" s="23"/>
      <c r="I21" s="23"/>
      <c r="J21" s="22">
        <f>'表3-成本费用表'!J17</f>
        <v>1.70189225218719</v>
      </c>
      <c r="K21" s="22">
        <f>'表3-成本费用表'!K17</f>
        <v>14.6091635807219</v>
      </c>
      <c r="L21" s="22">
        <f>'表3-成本费用表'!L17</f>
        <v>19.2780715292</v>
      </c>
      <c r="M21" s="22">
        <f>'表3-成本费用表'!M17</f>
        <v>54.3291106732</v>
      </c>
      <c r="N21" s="22">
        <f>'表3-成本费用表'!N17</f>
        <v>54.3291106732</v>
      </c>
      <c r="O21" s="22">
        <f>'表3-成本费用表'!O17</f>
        <v>54.3291106732</v>
      </c>
      <c r="P21" s="22">
        <f>'表3-成本费用表'!P17</f>
        <v>54.3291106732</v>
      </c>
      <c r="Q21" s="22">
        <f>'表3-成本费用表'!Q17</f>
        <v>54.3291106732</v>
      </c>
      <c r="R21" s="22">
        <f>'表3-成本费用表'!R17</f>
        <v>54.3291106732</v>
      </c>
      <c r="S21" s="22">
        <f>'表3-成本费用表'!S17</f>
        <v>54.3291106732</v>
      </c>
      <c r="T21" s="22">
        <f>'表3-成本费用表'!T17</f>
        <v>54.3291106732</v>
      </c>
      <c r="U21" s="22">
        <f>'表3-成本费用表'!U17</f>
        <v>54.3291106732</v>
      </c>
      <c r="V21" s="22">
        <f>'表3-成本费用表'!V17</f>
        <v>54.3291106732</v>
      </c>
      <c r="W21" s="22">
        <f>'表3-成本费用表'!W17</f>
        <v>54.3291106732</v>
      </c>
      <c r="X21" s="22">
        <f>'表3-成本费用表'!X17</f>
        <v>54.3291106732</v>
      </c>
      <c r="Y21" s="22">
        <f>'表3-成本费用表'!Y17</f>
        <v>54.3291106732</v>
      </c>
      <c r="Z21" s="22">
        <f>'表3-成本费用表'!Z17</f>
        <v>54.3291106732</v>
      </c>
      <c r="AA21" s="22">
        <f>'表3-成本费用表'!AA17</f>
        <v>54.3291106732</v>
      </c>
      <c r="AB21" s="22">
        <f>'表3-成本费用表'!AB17</f>
        <v>54.3291106732</v>
      </c>
      <c r="AC21" s="22">
        <f>'表3-成本费用表'!AC17</f>
        <v>54.3291106732</v>
      </c>
      <c r="AD21" s="22">
        <f>'表3-成本费用表'!AD17</f>
        <v>54.3291106732</v>
      </c>
      <c r="AE21" s="22">
        <f>'表3-成本费用表'!AE17</f>
        <v>54.3291106732</v>
      </c>
      <c r="AF21" s="22">
        <f ca="1">'表3-成本费用表'!AF17</f>
        <v>3245.77462545838</v>
      </c>
    </row>
    <row r="22" spans="2:32">
      <c r="B22" s="20"/>
      <c r="C22" s="25" t="s">
        <v>624</v>
      </c>
      <c r="D22" s="22">
        <f t="shared" si="4"/>
        <v>0</v>
      </c>
      <c r="E22" s="18" t="s">
        <v>24</v>
      </c>
      <c r="F22" s="23"/>
      <c r="G22" s="23"/>
      <c r="H22" s="23"/>
      <c r="I22" s="23"/>
      <c r="J22" s="22">
        <f>'表3-成本费用表'!J20</f>
        <v>0</v>
      </c>
      <c r="K22" s="22">
        <f>'表3-成本费用表'!K20</f>
        <v>0</v>
      </c>
      <c r="L22" s="22">
        <f>'表3-成本费用表'!L20</f>
        <v>0</v>
      </c>
      <c r="M22" s="22">
        <f>'表3-成本费用表'!M20</f>
        <v>0</v>
      </c>
      <c r="N22" s="22">
        <f>'表3-成本费用表'!N20</f>
        <v>0</v>
      </c>
      <c r="O22" s="22">
        <f>'表3-成本费用表'!O20</f>
        <v>0</v>
      </c>
      <c r="P22" s="22">
        <f>'表3-成本费用表'!P20</f>
        <v>0</v>
      </c>
      <c r="Q22" s="22">
        <f>'表3-成本费用表'!Q20</f>
        <v>0</v>
      </c>
      <c r="R22" s="22">
        <f>'表3-成本费用表'!R20</f>
        <v>0</v>
      </c>
      <c r="S22" s="22">
        <f>'表3-成本费用表'!S20</f>
        <v>0</v>
      </c>
      <c r="T22" s="22">
        <f>'表3-成本费用表'!T20</f>
        <v>0</v>
      </c>
      <c r="U22" s="22">
        <f>'表3-成本费用表'!U20</f>
        <v>0</v>
      </c>
      <c r="V22" s="22">
        <f>'表3-成本费用表'!V20</f>
        <v>0</v>
      </c>
      <c r="W22" s="22">
        <f>'表3-成本费用表'!W20</f>
        <v>0</v>
      </c>
      <c r="X22" s="22">
        <f>'表3-成本费用表'!X20</f>
        <v>0</v>
      </c>
      <c r="Y22" s="22">
        <f>'表3-成本费用表'!Y20</f>
        <v>0</v>
      </c>
      <c r="Z22" s="22">
        <f>'表3-成本费用表'!Z20</f>
        <v>0</v>
      </c>
      <c r="AA22" s="22">
        <f>'表3-成本费用表'!AA20</f>
        <v>0</v>
      </c>
      <c r="AB22" s="22">
        <f>'表3-成本费用表'!AB20</f>
        <v>0</v>
      </c>
      <c r="AC22" s="22">
        <f>'表3-成本费用表'!AC20</f>
        <v>0</v>
      </c>
      <c r="AD22" s="22">
        <f>'表3-成本费用表'!AD20</f>
        <v>0</v>
      </c>
      <c r="AE22" s="22">
        <f>'表3-成本费用表'!AE20</f>
        <v>0</v>
      </c>
      <c r="AF22" s="22">
        <f>'表3-成本费用表'!AF20</f>
        <v>0</v>
      </c>
    </row>
    <row r="23" spans="2:32">
      <c r="B23" s="20"/>
      <c r="C23" s="25" t="s">
        <v>625</v>
      </c>
      <c r="D23" s="22">
        <f ca="1" t="shared" si="4"/>
        <v>54920.4681896846</v>
      </c>
      <c r="E23" s="18" t="s">
        <v>24</v>
      </c>
      <c r="F23" s="23"/>
      <c r="G23" s="23"/>
      <c r="H23" s="23"/>
      <c r="I23" s="23"/>
      <c r="J23" s="22">
        <f ca="1" t="shared" ref="J23:S23" si="5">J24-J25+J26</f>
        <v>672.209197611594</v>
      </c>
      <c r="K23" s="22">
        <f ca="1" t="shared" si="5"/>
        <v>3851.25550423158</v>
      </c>
      <c r="L23" s="22">
        <f ca="1" t="shared" si="5"/>
        <v>5665.79106764422</v>
      </c>
      <c r="M23" s="22">
        <f ca="1" t="shared" si="5"/>
        <v>5349.70340175365</v>
      </c>
      <c r="N23" s="22">
        <f ca="1" t="shared" si="5"/>
        <v>5024.16271622978</v>
      </c>
      <c r="O23" s="22">
        <f ca="1" t="shared" si="5"/>
        <v>4707.01253122839</v>
      </c>
      <c r="P23" s="22">
        <f ca="1" t="shared" si="5"/>
        <v>4379.57888827194</v>
      </c>
      <c r="Q23" s="22">
        <f ca="1" t="shared" si="5"/>
        <v>4041.41959866836</v>
      </c>
      <c r="R23" s="22">
        <f ca="1" t="shared" si="5"/>
        <v>3692.07345961183</v>
      </c>
      <c r="S23" s="22">
        <f ca="1" t="shared" si="5"/>
        <v>3331.05943657587</v>
      </c>
      <c r="T23" s="22">
        <f ca="1" t="shared" ref="T23:AF23" si="6">T24-T25+T26</f>
        <v>2957.87581054936</v>
      </c>
      <c r="U23" s="22">
        <f ca="1" t="shared" si="6"/>
        <v>2571.99928860371</v>
      </c>
      <c r="V23" s="22">
        <f ca="1" t="shared" si="6"/>
        <v>2250.8840762144</v>
      </c>
      <c r="W23" s="22">
        <f ca="1" t="shared" si="6"/>
        <v>1915.96090969235</v>
      </c>
      <c r="X23" s="22">
        <f ca="1" t="shared" si="6"/>
        <v>1566.63604700984</v>
      </c>
      <c r="Y23" s="22">
        <f ca="1" t="shared" si="6"/>
        <v>1202.290215232</v>
      </c>
      <c r="Z23" s="22">
        <f ca="1" t="shared" si="6"/>
        <v>822.2775126877</v>
      </c>
      <c r="AA23" s="22">
        <f ca="1" t="shared" si="6"/>
        <v>425.924263933999</v>
      </c>
      <c r="AB23" s="22">
        <f ca="1" t="shared" si="6"/>
        <v>425.924263933999</v>
      </c>
      <c r="AC23" s="22">
        <f ca="1" t="shared" si="6"/>
        <v>20.4399999999993</v>
      </c>
      <c r="AD23" s="22">
        <f ca="1" t="shared" si="6"/>
        <v>20.4399999999993</v>
      </c>
      <c r="AE23" s="22">
        <f ca="1" t="shared" si="6"/>
        <v>20.4399999999993</v>
      </c>
      <c r="AF23" s="22">
        <f ca="1" t="shared" si="6"/>
        <v>5.10999999999981</v>
      </c>
    </row>
    <row r="24" spans="2:32">
      <c r="B24" s="20"/>
      <c r="C24" s="26" t="s">
        <v>741</v>
      </c>
      <c r="D24" s="22">
        <f ca="1" t="shared" si="4"/>
        <v>54920.4681896846</v>
      </c>
      <c r="E24" s="18" t="s">
        <v>24</v>
      </c>
      <c r="F24" s="23"/>
      <c r="G24" s="23"/>
      <c r="H24" s="23"/>
      <c r="I24" s="23"/>
      <c r="J24" s="22">
        <f ca="1">'表3-成本费用表'!J21</f>
        <v>672.209197611594</v>
      </c>
      <c r="K24" s="22">
        <f ca="1">'表3-成本费用表'!K21</f>
        <v>3851.25550423158</v>
      </c>
      <c r="L24" s="22">
        <f ca="1">'表3-成本费用表'!L21</f>
        <v>5665.79106764422</v>
      </c>
      <c r="M24" s="22">
        <f ca="1">'表3-成本费用表'!M21</f>
        <v>5349.70340175365</v>
      </c>
      <c r="N24" s="22">
        <f ca="1">'表3-成本费用表'!N21</f>
        <v>5024.16271622978</v>
      </c>
      <c r="O24" s="22">
        <f ca="1">'表3-成本费用表'!O21</f>
        <v>4707.01253122839</v>
      </c>
      <c r="P24" s="22">
        <f ca="1">'表3-成本费用表'!P21</f>
        <v>4379.57888827194</v>
      </c>
      <c r="Q24" s="22">
        <f ca="1">'表3-成本费用表'!Q21</f>
        <v>4041.41959866836</v>
      </c>
      <c r="R24" s="22">
        <f ca="1">'表3-成本费用表'!R21</f>
        <v>3692.07345961183</v>
      </c>
      <c r="S24" s="22">
        <f ca="1">'表3-成本费用表'!S21</f>
        <v>3331.05943657587</v>
      </c>
      <c r="T24" s="22">
        <f ca="1">'表3-成本费用表'!T21</f>
        <v>2957.87581054936</v>
      </c>
      <c r="U24" s="22">
        <f ca="1">'表3-成本费用表'!U21</f>
        <v>2571.99928860371</v>
      </c>
      <c r="V24" s="22">
        <f ca="1">'表3-成本费用表'!V21</f>
        <v>2250.8840762144</v>
      </c>
      <c r="W24" s="22">
        <f ca="1">'表3-成本费用表'!W21</f>
        <v>1915.96090969235</v>
      </c>
      <c r="X24" s="22">
        <f ca="1">'表3-成本费用表'!X21</f>
        <v>1566.63604700984</v>
      </c>
      <c r="Y24" s="22">
        <f ca="1">'表3-成本费用表'!Y21</f>
        <v>1202.290215232</v>
      </c>
      <c r="Z24" s="22">
        <f ca="1">'表3-成本费用表'!Z21</f>
        <v>822.2775126877</v>
      </c>
      <c r="AA24" s="22">
        <f ca="1">'表3-成本费用表'!AA21</f>
        <v>425.924263933999</v>
      </c>
      <c r="AB24" s="22">
        <f ca="1">'表3-成本费用表'!AB21</f>
        <v>425.924263933999</v>
      </c>
      <c r="AC24" s="22">
        <f ca="1">'表3-成本费用表'!AC21</f>
        <v>20.4399999999993</v>
      </c>
      <c r="AD24" s="22">
        <f ca="1">'表3-成本费用表'!AD21</f>
        <v>20.4399999999993</v>
      </c>
      <c r="AE24" s="22">
        <f ca="1">'表3-成本费用表'!AE21</f>
        <v>20.4399999999993</v>
      </c>
      <c r="AF24" s="22">
        <f ca="1">'表3-成本费用表'!AF21</f>
        <v>5.10999999999981</v>
      </c>
    </row>
    <row r="25" spans="2:32">
      <c r="B25" s="20"/>
      <c r="C25" s="27" t="s">
        <v>742</v>
      </c>
      <c r="D25" s="22"/>
      <c r="E25" s="18" t="s">
        <v>24</v>
      </c>
      <c r="F25" s="23"/>
      <c r="G25" s="23"/>
      <c r="H25" s="23"/>
      <c r="I25" s="23"/>
      <c r="J25" s="22"/>
      <c r="K25" s="22"/>
      <c r="L25" s="22"/>
      <c r="M25" s="22"/>
      <c r="N25" s="22"/>
      <c r="O25" s="22"/>
      <c r="P25" s="22"/>
      <c r="Q25" s="22"/>
      <c r="R25" s="22"/>
      <c r="S25" s="22"/>
      <c r="T25" s="22"/>
      <c r="U25" s="22"/>
      <c r="V25" s="22"/>
      <c r="W25" s="22"/>
      <c r="X25" s="22"/>
      <c r="Y25" s="22"/>
      <c r="Z25" s="22"/>
      <c r="AA25" s="22"/>
      <c r="AB25" s="22"/>
      <c r="AC25" s="22"/>
      <c r="AD25" s="22"/>
      <c r="AE25" s="22"/>
      <c r="AF25" s="22"/>
    </row>
    <row r="26" spans="2:32">
      <c r="B26" s="20"/>
      <c r="C26" s="27" t="s">
        <v>743</v>
      </c>
      <c r="D26" s="22"/>
      <c r="E26" s="18" t="s">
        <v>24</v>
      </c>
      <c r="F26" s="23"/>
      <c r="G26" s="23"/>
      <c r="H26" s="23"/>
      <c r="I26" s="23"/>
      <c r="J26" s="22"/>
      <c r="K26" s="22"/>
      <c r="L26" s="22"/>
      <c r="M26" s="22"/>
      <c r="N26" s="22"/>
      <c r="O26" s="22"/>
      <c r="P26" s="22"/>
      <c r="Q26" s="22"/>
      <c r="R26" s="22"/>
      <c r="S26" s="22"/>
      <c r="T26" s="22"/>
      <c r="U26" s="22"/>
      <c r="V26" s="22"/>
      <c r="W26" s="22"/>
      <c r="X26" s="22"/>
      <c r="Y26" s="22"/>
      <c r="Z26" s="22"/>
      <c r="AA26" s="22"/>
      <c r="AB26" s="22"/>
      <c r="AC26" s="22"/>
      <c r="AD26" s="22"/>
      <c r="AE26" s="22"/>
      <c r="AF26" s="22"/>
    </row>
    <row r="27" spans="2:32">
      <c r="B27" s="20"/>
      <c r="C27" s="25" t="s">
        <v>459</v>
      </c>
      <c r="D27" s="22"/>
      <c r="E27" s="18" t="s">
        <v>24</v>
      </c>
      <c r="F27" s="23"/>
      <c r="G27" s="23"/>
      <c r="H27" s="23"/>
      <c r="I27" s="23"/>
      <c r="J27" s="22"/>
      <c r="K27" s="22"/>
      <c r="L27" s="22"/>
      <c r="M27" s="22"/>
      <c r="N27" s="22"/>
      <c r="O27" s="22"/>
      <c r="P27" s="22"/>
      <c r="Q27" s="22"/>
      <c r="R27" s="22"/>
      <c r="S27" s="22"/>
      <c r="T27" s="22"/>
      <c r="U27" s="22"/>
      <c r="V27" s="22"/>
      <c r="W27" s="22"/>
      <c r="X27" s="22"/>
      <c r="Y27" s="22"/>
      <c r="Z27" s="22"/>
      <c r="AA27" s="22"/>
      <c r="AB27" s="22"/>
      <c r="AC27" s="22"/>
      <c r="AD27" s="22"/>
      <c r="AE27" s="22"/>
      <c r="AF27" s="22"/>
    </row>
    <row r="28" spans="2:32">
      <c r="B28" s="20"/>
      <c r="C28" s="21" t="s">
        <v>744</v>
      </c>
      <c r="D28" s="22">
        <f ca="1">SUM(F28:AF28)</f>
        <v>5974.11504424779</v>
      </c>
      <c r="E28" s="18" t="s">
        <v>24</v>
      </c>
      <c r="F28" s="23"/>
      <c r="G28" s="23"/>
      <c r="H28" s="23"/>
      <c r="I28" s="23"/>
      <c r="J28" s="22">
        <f>'表4-收入税金表'!J23</f>
        <v>25</v>
      </c>
      <c r="K28" s="22">
        <f>'表4-收入税金表'!K23</f>
        <v>214.601769911504</v>
      </c>
      <c r="L28" s="22">
        <f>'表4-收入税金表'!L23</f>
        <v>283.185840707965</v>
      </c>
      <c r="M28" s="22">
        <f>'表4-收入税金表'!M23</f>
        <v>283.185840707965</v>
      </c>
      <c r="N28" s="22">
        <f>'表4-收入税金表'!N23</f>
        <v>283.185840707965</v>
      </c>
      <c r="O28" s="22">
        <f>'表4-收入税金表'!O23</f>
        <v>283.185840707965</v>
      </c>
      <c r="P28" s="22">
        <f>'表4-收入税金表'!P23</f>
        <v>283.185840707965</v>
      </c>
      <c r="Q28" s="22">
        <f>'表4-收入税金表'!Q23</f>
        <v>283.185840707965</v>
      </c>
      <c r="R28" s="22">
        <f>'表4-收入税金表'!R23</f>
        <v>283.185840707965</v>
      </c>
      <c r="S28" s="22">
        <f>'表4-收入税金表'!S23</f>
        <v>283.185840707965</v>
      </c>
      <c r="T28" s="22">
        <f>'表4-收入税金表'!T23</f>
        <v>283.185840707965</v>
      </c>
      <c r="U28" s="22">
        <f>'表4-收入税金表'!U23</f>
        <v>283.185840707965</v>
      </c>
      <c r="V28" s="22">
        <f>'表4-收入税金表'!V23</f>
        <v>283.185840707965</v>
      </c>
      <c r="W28" s="22">
        <f>'表4-收入税金表'!W23</f>
        <v>283.185840707965</v>
      </c>
      <c r="X28" s="22">
        <f>'表4-收入税金表'!X23</f>
        <v>283.185840707965</v>
      </c>
      <c r="Y28" s="22">
        <f>'表4-收入税金表'!Y23</f>
        <v>283.185840707965</v>
      </c>
      <c r="Z28" s="22">
        <f>'表4-收入税金表'!Z23</f>
        <v>283.185840707965</v>
      </c>
      <c r="AA28" s="22">
        <f>'表4-收入税金表'!AA23</f>
        <v>283.185840707965</v>
      </c>
      <c r="AB28" s="22">
        <f>'表4-收入税金表'!AB23</f>
        <v>283.185840707965</v>
      </c>
      <c r="AC28" s="22">
        <f>'表4-收入税金表'!AC23</f>
        <v>283.185840707965</v>
      </c>
      <c r="AD28" s="22">
        <f>'表4-收入税金表'!AD23</f>
        <v>283.185840707965</v>
      </c>
      <c r="AE28" s="22">
        <f>'表4-收入税金表'!AE23</f>
        <v>283.185840707965</v>
      </c>
      <c r="AF28" s="22">
        <f ca="1">'表4-收入税金表'!AF23</f>
        <v>70.7964601769912</v>
      </c>
    </row>
    <row r="29" spans="2:32">
      <c r="B29" s="20"/>
      <c r="C29" s="25" t="s">
        <v>745</v>
      </c>
      <c r="D29" s="22"/>
      <c r="E29" s="18" t="s">
        <v>24</v>
      </c>
      <c r="F29" s="23"/>
      <c r="G29" s="23"/>
      <c r="H29" s="23"/>
      <c r="I29" s="23"/>
      <c r="J29" s="22"/>
      <c r="K29" s="22"/>
      <c r="L29" s="22"/>
      <c r="M29" s="22"/>
      <c r="N29" s="22"/>
      <c r="O29" s="22"/>
      <c r="P29" s="22"/>
      <c r="Q29" s="22"/>
      <c r="R29" s="22"/>
      <c r="S29" s="22"/>
      <c r="T29" s="22"/>
      <c r="U29" s="22"/>
      <c r="V29" s="22"/>
      <c r="W29" s="22"/>
      <c r="X29" s="22"/>
      <c r="Y29" s="22"/>
      <c r="Z29" s="22"/>
      <c r="AA29" s="22"/>
      <c r="AB29" s="22"/>
      <c r="AC29" s="22"/>
      <c r="AD29" s="22"/>
      <c r="AE29" s="22"/>
      <c r="AF29" s="22"/>
    </row>
    <row r="30" spans="2:32">
      <c r="B30" s="20"/>
      <c r="C30" s="26" t="s">
        <v>746</v>
      </c>
      <c r="D30" s="22"/>
      <c r="E30" s="18" t="s">
        <v>24</v>
      </c>
      <c r="F30" s="23"/>
      <c r="G30" s="23"/>
      <c r="H30" s="23"/>
      <c r="I30" s="23"/>
      <c r="J30" s="22"/>
      <c r="K30" s="22"/>
      <c r="L30" s="22"/>
      <c r="M30" s="22"/>
      <c r="N30" s="22"/>
      <c r="O30" s="22"/>
      <c r="P30" s="22"/>
      <c r="Q30" s="22"/>
      <c r="R30" s="22"/>
      <c r="S30" s="22"/>
      <c r="T30" s="22"/>
      <c r="U30" s="22"/>
      <c r="V30" s="22"/>
      <c r="W30" s="22"/>
      <c r="X30" s="22"/>
      <c r="Y30" s="22"/>
      <c r="Z30" s="22"/>
      <c r="AA30" s="22"/>
      <c r="AB30" s="22"/>
      <c r="AC30" s="22"/>
      <c r="AD30" s="22"/>
      <c r="AE30" s="22"/>
      <c r="AF30" s="22"/>
    </row>
    <row r="31" spans="2:32">
      <c r="B31" s="20"/>
      <c r="C31" s="27" t="s">
        <v>747</v>
      </c>
      <c r="D31" s="22"/>
      <c r="E31" s="18" t="s">
        <v>24</v>
      </c>
      <c r="F31" s="23"/>
      <c r="G31" s="23"/>
      <c r="H31" s="23"/>
      <c r="I31" s="23"/>
      <c r="J31" s="22"/>
      <c r="K31" s="22"/>
      <c r="L31" s="22"/>
      <c r="M31" s="22"/>
      <c r="N31" s="22"/>
      <c r="O31" s="22"/>
      <c r="P31" s="22"/>
      <c r="Q31" s="22"/>
      <c r="R31" s="22"/>
      <c r="S31" s="22"/>
      <c r="T31" s="22"/>
      <c r="U31" s="22"/>
      <c r="V31" s="22"/>
      <c r="W31" s="22"/>
      <c r="X31" s="22"/>
      <c r="Y31" s="22"/>
      <c r="Z31" s="22"/>
      <c r="AA31" s="22"/>
      <c r="AB31" s="22"/>
      <c r="AC31" s="22"/>
      <c r="AD31" s="22"/>
      <c r="AE31" s="22"/>
      <c r="AF31" s="22"/>
    </row>
    <row r="32" spans="2:32">
      <c r="B32" s="20"/>
      <c r="C32" s="24" t="s">
        <v>748</v>
      </c>
      <c r="D32" s="22"/>
      <c r="E32" s="18" t="s">
        <v>24</v>
      </c>
      <c r="F32" s="23"/>
      <c r="G32" s="23"/>
      <c r="H32" s="23"/>
      <c r="I32" s="23"/>
      <c r="J32" s="22"/>
      <c r="K32" s="22"/>
      <c r="L32" s="22"/>
      <c r="M32" s="22"/>
      <c r="N32" s="22"/>
      <c r="O32" s="22"/>
      <c r="P32" s="22"/>
      <c r="Q32" s="22"/>
      <c r="R32" s="22"/>
      <c r="S32" s="22"/>
      <c r="T32" s="22"/>
      <c r="U32" s="22"/>
      <c r="V32" s="22"/>
      <c r="W32" s="22"/>
      <c r="X32" s="22"/>
      <c r="Y32" s="22"/>
      <c r="Z32" s="22"/>
      <c r="AA32" s="22"/>
      <c r="AB32" s="22"/>
      <c r="AC32" s="22"/>
      <c r="AD32" s="22"/>
      <c r="AE32" s="22"/>
      <c r="AF32" s="22"/>
    </row>
    <row r="33" spans="2:32">
      <c r="B33" s="20"/>
      <c r="C33" s="25" t="s">
        <v>749</v>
      </c>
      <c r="D33" s="22"/>
      <c r="E33" s="18" t="s">
        <v>24</v>
      </c>
      <c r="F33" s="23"/>
      <c r="G33" s="23"/>
      <c r="H33" s="23"/>
      <c r="I33" s="23"/>
      <c r="J33" s="22"/>
      <c r="K33" s="22"/>
      <c r="L33" s="22"/>
      <c r="M33" s="22"/>
      <c r="N33" s="22"/>
      <c r="O33" s="22"/>
      <c r="P33" s="22"/>
      <c r="Q33" s="22"/>
      <c r="R33" s="22"/>
      <c r="S33" s="22"/>
      <c r="T33" s="22"/>
      <c r="U33" s="22"/>
      <c r="V33" s="22"/>
      <c r="W33" s="22"/>
      <c r="X33" s="22"/>
      <c r="Y33" s="22"/>
      <c r="Z33" s="22"/>
      <c r="AA33" s="22"/>
      <c r="AB33" s="22"/>
      <c r="AC33" s="22"/>
      <c r="AD33" s="22"/>
      <c r="AE33" s="22"/>
      <c r="AF33" s="22"/>
    </row>
    <row r="34" spans="2:32">
      <c r="B34" s="20"/>
      <c r="C34" s="25" t="s">
        <v>750</v>
      </c>
      <c r="D34" s="22"/>
      <c r="E34" s="18" t="s">
        <v>24</v>
      </c>
      <c r="F34" s="23"/>
      <c r="G34" s="23"/>
      <c r="H34" s="23"/>
      <c r="I34" s="23"/>
      <c r="J34" s="22"/>
      <c r="K34" s="22"/>
      <c r="L34" s="22"/>
      <c r="M34" s="22"/>
      <c r="N34" s="22"/>
      <c r="O34" s="22"/>
      <c r="P34" s="22"/>
      <c r="Q34" s="22"/>
      <c r="R34" s="22"/>
      <c r="S34" s="22"/>
      <c r="T34" s="22"/>
      <c r="U34" s="22"/>
      <c r="V34" s="22"/>
      <c r="W34" s="22"/>
      <c r="X34" s="22"/>
      <c r="Y34" s="22"/>
      <c r="Z34" s="22"/>
      <c r="AA34" s="22"/>
      <c r="AB34" s="22"/>
      <c r="AC34" s="22"/>
      <c r="AD34" s="22"/>
      <c r="AE34" s="22"/>
      <c r="AF34" s="22"/>
    </row>
    <row r="35" spans="2:32">
      <c r="B35" s="20"/>
      <c r="C35" s="25" t="s">
        <v>751</v>
      </c>
      <c r="D35" s="22"/>
      <c r="E35" s="18" t="s">
        <v>24</v>
      </c>
      <c r="F35" s="23"/>
      <c r="G35" s="23"/>
      <c r="H35" s="23"/>
      <c r="I35" s="23"/>
      <c r="J35" s="22"/>
      <c r="K35" s="22"/>
      <c r="L35" s="22"/>
      <c r="M35" s="22"/>
      <c r="N35" s="22"/>
      <c r="O35" s="22"/>
      <c r="P35" s="22"/>
      <c r="Q35" s="22"/>
      <c r="R35" s="22"/>
      <c r="S35" s="22"/>
      <c r="T35" s="22"/>
      <c r="U35" s="22"/>
      <c r="V35" s="22"/>
      <c r="W35" s="22"/>
      <c r="X35" s="22"/>
      <c r="Y35" s="22"/>
      <c r="Z35" s="22"/>
      <c r="AA35" s="22"/>
      <c r="AB35" s="22"/>
      <c r="AC35" s="22"/>
      <c r="AD35" s="22"/>
      <c r="AE35" s="22"/>
      <c r="AF35" s="22"/>
    </row>
    <row r="36" spans="2:32">
      <c r="B36" s="20"/>
      <c r="C36" s="25" t="s">
        <v>752</v>
      </c>
      <c r="D36" s="22"/>
      <c r="E36" s="18" t="s">
        <v>24</v>
      </c>
      <c r="F36" s="23"/>
      <c r="G36" s="23"/>
      <c r="H36" s="23"/>
      <c r="I36" s="23"/>
      <c r="J36" s="22"/>
      <c r="K36" s="22"/>
      <c r="L36" s="22"/>
      <c r="M36" s="22"/>
      <c r="N36" s="22"/>
      <c r="O36" s="22"/>
      <c r="P36" s="22"/>
      <c r="Q36" s="22"/>
      <c r="R36" s="22"/>
      <c r="S36" s="22"/>
      <c r="T36" s="22"/>
      <c r="U36" s="22"/>
      <c r="V36" s="22"/>
      <c r="W36" s="22"/>
      <c r="X36" s="22"/>
      <c r="Y36" s="22"/>
      <c r="Z36" s="22"/>
      <c r="AA36" s="22"/>
      <c r="AB36" s="22"/>
      <c r="AC36" s="22"/>
      <c r="AD36" s="22"/>
      <c r="AE36" s="22"/>
      <c r="AF36" s="22"/>
    </row>
    <row r="37" spans="2:32">
      <c r="B37" s="20"/>
      <c r="C37" s="25" t="s">
        <v>753</v>
      </c>
      <c r="D37" s="22"/>
      <c r="E37" s="18" t="s">
        <v>24</v>
      </c>
      <c r="F37" s="23"/>
      <c r="G37" s="23"/>
      <c r="H37" s="23"/>
      <c r="I37" s="23"/>
      <c r="J37" s="22"/>
      <c r="K37" s="22"/>
      <c r="L37" s="22"/>
      <c r="M37" s="22"/>
      <c r="N37" s="22"/>
      <c r="O37" s="22"/>
      <c r="P37" s="22"/>
      <c r="Q37" s="22"/>
      <c r="R37" s="22"/>
      <c r="S37" s="22"/>
      <c r="T37" s="22"/>
      <c r="U37" s="22"/>
      <c r="V37" s="22"/>
      <c r="W37" s="22"/>
      <c r="X37" s="22"/>
      <c r="Y37" s="22"/>
      <c r="Z37" s="22"/>
      <c r="AA37" s="22"/>
      <c r="AB37" s="22"/>
      <c r="AC37" s="22"/>
      <c r="AD37" s="22"/>
      <c r="AE37" s="22"/>
      <c r="AF37" s="22"/>
    </row>
    <row r="38" s="1" customFormat="1" spans="2:32">
      <c r="B38" s="15" t="s">
        <v>754</v>
      </c>
      <c r="C38" s="16" t="s">
        <v>755</v>
      </c>
      <c r="D38" s="17">
        <f ca="1" t="shared" ref="D38:D43" si="7">SUM(F38:AF38)</f>
        <v>76032.5484053954</v>
      </c>
      <c r="E38" s="18" t="s">
        <v>24</v>
      </c>
      <c r="F38" s="19">
        <f t="shared" ref="F38:I38" si="8">F5-F10+F28+F29+SUM(F32:F37)</f>
        <v>0</v>
      </c>
      <c r="G38" s="19">
        <f t="shared" si="8"/>
        <v>0</v>
      </c>
      <c r="H38" s="19">
        <f t="shared" si="8"/>
        <v>0</v>
      </c>
      <c r="I38" s="19">
        <f t="shared" si="8"/>
        <v>0</v>
      </c>
      <c r="J38" s="39">
        <f ca="1" t="shared" ref="J38:R38" si="9">J5-J10+J28+J29+SUM(J32:J37)</f>
        <v>-1374.33750702332</v>
      </c>
      <c r="K38" s="39">
        <f ca="1" t="shared" si="9"/>
        <v>385.971277542962</v>
      </c>
      <c r="L38" s="39">
        <f ca="1" t="shared" si="9"/>
        <v>1861.07315445353</v>
      </c>
      <c r="M38" s="39">
        <f ca="1" t="shared" si="9"/>
        <v>1718.78107448606</v>
      </c>
      <c r="N38" s="39">
        <f ca="1" t="shared" si="9"/>
        <v>1930.33588390373</v>
      </c>
      <c r="O38" s="39">
        <f ca="1" t="shared" si="9"/>
        <v>2133.50019279892</v>
      </c>
      <c r="P38" s="39">
        <f ca="1" t="shared" si="9"/>
        <v>2346.94530478192</v>
      </c>
      <c r="Q38" s="39">
        <f ca="1" t="shared" si="9"/>
        <v>2571.1187182793</v>
      </c>
      <c r="R38" s="39">
        <f ca="1" t="shared" si="9"/>
        <v>2348.92308823154</v>
      </c>
      <c r="S38" s="39">
        <f ca="1" t="shared" ref="S38:AF38" si="10">S5-S10+S28+S29+SUM(S32:S37)</f>
        <v>2584.85773322601</v>
      </c>
      <c r="T38" s="39">
        <f ca="1" t="shared" si="10"/>
        <v>2846.12848361358</v>
      </c>
      <c r="U38" s="39">
        <f ca="1" t="shared" si="10"/>
        <v>3120.08951646896</v>
      </c>
      <c r="V38" s="39">
        <f ca="1" t="shared" si="10"/>
        <v>3328.54775241933</v>
      </c>
      <c r="W38" s="39">
        <f ca="1" t="shared" si="10"/>
        <v>3372.23310533331</v>
      </c>
      <c r="X38" s="39">
        <f ca="1" t="shared" si="10"/>
        <v>4652.80055931509</v>
      </c>
      <c r="Y38" s="39">
        <f ca="1" t="shared" si="10"/>
        <v>5953.34311083256</v>
      </c>
      <c r="Z38" s="39">
        <f ca="1" t="shared" si="10"/>
        <v>3687.88100280694</v>
      </c>
      <c r="AA38" s="39">
        <f ca="1" t="shared" si="10"/>
        <v>2550.37444610224</v>
      </c>
      <c r="AB38" s="39">
        <f ca="1" t="shared" si="10"/>
        <v>3323.21343551584</v>
      </c>
      <c r="AC38" s="39">
        <f ca="1" t="shared" si="10"/>
        <v>8853.64411990902</v>
      </c>
      <c r="AD38" s="39">
        <f ca="1" t="shared" si="10"/>
        <v>9456.85721963202</v>
      </c>
      <c r="AE38" s="39">
        <f ca="1" t="shared" si="10"/>
        <v>9363.65425218424</v>
      </c>
      <c r="AF38" s="39">
        <f ca="1" t="shared" si="10"/>
        <v>-983.387519418344</v>
      </c>
    </row>
    <row r="39" spans="2:32">
      <c r="B39" s="20"/>
      <c r="C39" s="21" t="s">
        <v>756</v>
      </c>
      <c r="D39" s="22">
        <f t="shared" si="7"/>
        <v>200</v>
      </c>
      <c r="E39" s="18" t="s">
        <v>24</v>
      </c>
      <c r="F39" s="23"/>
      <c r="G39" s="23"/>
      <c r="H39" s="23"/>
      <c r="I39" s="23"/>
      <c r="J39" s="22">
        <f>'表4-收入税金表'!J26</f>
        <v>0</v>
      </c>
      <c r="K39" s="22">
        <f>'表4-收入税金表'!K26</f>
        <v>0</v>
      </c>
      <c r="L39" s="22">
        <f>'表4-收入税金表'!L26</f>
        <v>10</v>
      </c>
      <c r="M39" s="22">
        <f>'表4-收入税金表'!M26</f>
        <v>10</v>
      </c>
      <c r="N39" s="22">
        <f>'表4-收入税金表'!N26</f>
        <v>10</v>
      </c>
      <c r="O39" s="22">
        <f>'表4-收入税金表'!O26</f>
        <v>10</v>
      </c>
      <c r="P39" s="22">
        <f>'表4-收入税金表'!P26</f>
        <v>10</v>
      </c>
      <c r="Q39" s="22">
        <f>'表4-收入税金表'!Q26</f>
        <v>10</v>
      </c>
      <c r="R39" s="22">
        <f>'表4-收入税金表'!R26</f>
        <v>10</v>
      </c>
      <c r="S39" s="22">
        <f>'表4-收入税金表'!S26</f>
        <v>10</v>
      </c>
      <c r="T39" s="22">
        <f>'表4-收入税金表'!T26</f>
        <v>10</v>
      </c>
      <c r="U39" s="22">
        <f>'表4-收入税金表'!U26</f>
        <v>10</v>
      </c>
      <c r="V39" s="22">
        <f>'表4-收入税金表'!V26</f>
        <v>10</v>
      </c>
      <c r="W39" s="22">
        <f>'表4-收入税金表'!W26</f>
        <v>10</v>
      </c>
      <c r="X39" s="22">
        <f>'表4-收入税金表'!X26</f>
        <v>10</v>
      </c>
      <c r="Y39" s="22">
        <f>'表4-收入税金表'!Y26</f>
        <v>10</v>
      </c>
      <c r="Z39" s="22">
        <f>'表4-收入税金表'!Z26</f>
        <v>10</v>
      </c>
      <c r="AA39" s="22">
        <f>'表4-收入税金表'!AA26</f>
        <v>10</v>
      </c>
      <c r="AB39" s="22">
        <f>'表4-收入税金表'!AB26</f>
        <v>10</v>
      </c>
      <c r="AC39" s="22">
        <f>'表4-收入税金表'!AC26</f>
        <v>10</v>
      </c>
      <c r="AD39" s="22">
        <f>'表4-收入税金表'!AD26</f>
        <v>10</v>
      </c>
      <c r="AE39" s="22">
        <f>'表4-收入税金表'!AE26</f>
        <v>10</v>
      </c>
      <c r="AF39" s="22">
        <f>'表4-收入税金表'!AF26</f>
        <v>0</v>
      </c>
    </row>
    <row r="40" spans="2:32">
      <c r="B40" s="20"/>
      <c r="C40" s="25" t="s">
        <v>757</v>
      </c>
      <c r="D40" s="22">
        <f t="shared" si="7"/>
        <v>200</v>
      </c>
      <c r="E40" s="18" t="s">
        <v>24</v>
      </c>
      <c r="F40" s="23"/>
      <c r="G40" s="23"/>
      <c r="H40" s="23"/>
      <c r="I40" s="23"/>
      <c r="J40" s="22">
        <f>'表4-收入税金表'!J27</f>
        <v>0</v>
      </c>
      <c r="K40" s="22">
        <f>'表4-收入税金表'!K27</f>
        <v>0</v>
      </c>
      <c r="L40" s="22">
        <f>'表4-收入税金表'!L27</f>
        <v>10</v>
      </c>
      <c r="M40" s="22">
        <f>'表4-收入税金表'!M27</f>
        <v>10</v>
      </c>
      <c r="N40" s="22">
        <f>'表4-收入税金表'!N27</f>
        <v>10</v>
      </c>
      <c r="O40" s="22">
        <f>'表4-收入税金表'!O27</f>
        <v>10</v>
      </c>
      <c r="P40" s="22">
        <f>'表4-收入税金表'!P27</f>
        <v>10</v>
      </c>
      <c r="Q40" s="22">
        <f>'表4-收入税金表'!Q27</f>
        <v>10</v>
      </c>
      <c r="R40" s="22">
        <f>'表4-收入税金表'!R27</f>
        <v>10</v>
      </c>
      <c r="S40" s="22">
        <f>'表4-收入税金表'!S27</f>
        <v>10</v>
      </c>
      <c r="T40" s="22">
        <f>'表4-收入税金表'!T27</f>
        <v>10</v>
      </c>
      <c r="U40" s="22">
        <f>'表4-收入税金表'!U27</f>
        <v>10</v>
      </c>
      <c r="V40" s="22">
        <f>'表4-收入税金表'!V27</f>
        <v>10</v>
      </c>
      <c r="W40" s="22">
        <f>'表4-收入税金表'!W27</f>
        <v>10</v>
      </c>
      <c r="X40" s="22">
        <f>'表4-收入税金表'!X27</f>
        <v>10</v>
      </c>
      <c r="Y40" s="22">
        <f>'表4-收入税金表'!Y27</f>
        <v>10</v>
      </c>
      <c r="Z40" s="22">
        <f>'表4-收入税金表'!Z27</f>
        <v>10</v>
      </c>
      <c r="AA40" s="22">
        <f>'表4-收入税金表'!AA27</f>
        <v>10</v>
      </c>
      <c r="AB40" s="22">
        <f>'表4-收入税金表'!AB27</f>
        <v>10</v>
      </c>
      <c r="AC40" s="22">
        <f>'表4-收入税金表'!AC27</f>
        <v>10</v>
      </c>
      <c r="AD40" s="22">
        <f>'表4-收入税金表'!AD27</f>
        <v>10</v>
      </c>
      <c r="AE40" s="22">
        <f>'表4-收入税金表'!AE27</f>
        <v>10</v>
      </c>
      <c r="AF40" s="22">
        <f>'表4-收入税金表'!AF27</f>
        <v>0</v>
      </c>
    </row>
    <row r="41" spans="2:32">
      <c r="B41" s="20"/>
      <c r="C41" s="21" t="s">
        <v>758</v>
      </c>
      <c r="D41" s="22">
        <f t="shared" si="7"/>
        <v>0</v>
      </c>
      <c r="E41" s="18" t="s">
        <v>24</v>
      </c>
      <c r="F41" s="23"/>
      <c r="G41" s="23"/>
      <c r="H41" s="23"/>
      <c r="I41" s="23"/>
      <c r="J41" s="22">
        <f>'表3-成本费用表'!J25</f>
        <v>0</v>
      </c>
      <c r="K41" s="22">
        <f>'表3-成本费用表'!K25</f>
        <v>0</v>
      </c>
      <c r="L41" s="22">
        <f>'表3-成本费用表'!L25</f>
        <v>0</v>
      </c>
      <c r="M41" s="22">
        <f>'表3-成本费用表'!M25</f>
        <v>0</v>
      </c>
      <c r="N41" s="22">
        <f>'表3-成本费用表'!N25</f>
        <v>0</v>
      </c>
      <c r="O41" s="22">
        <f>'表3-成本费用表'!O25</f>
        <v>0</v>
      </c>
      <c r="P41" s="22">
        <f>'表3-成本费用表'!P25</f>
        <v>0</v>
      </c>
      <c r="Q41" s="22">
        <f>'表3-成本费用表'!Q25</f>
        <v>0</v>
      </c>
      <c r="R41" s="22">
        <f>'表3-成本费用表'!R25</f>
        <v>0</v>
      </c>
      <c r="S41" s="22">
        <f>'表3-成本费用表'!S25</f>
        <v>0</v>
      </c>
      <c r="T41" s="22">
        <f>'表3-成本费用表'!T25</f>
        <v>0</v>
      </c>
      <c r="U41" s="22">
        <f>'表3-成本费用表'!U25</f>
        <v>0</v>
      </c>
      <c r="V41" s="22">
        <f>'表3-成本费用表'!V25</f>
        <v>0</v>
      </c>
      <c r="W41" s="22">
        <f>'表3-成本费用表'!W25</f>
        <v>0</v>
      </c>
      <c r="X41" s="22">
        <f>'表3-成本费用表'!X25</f>
        <v>0</v>
      </c>
      <c r="Y41" s="22">
        <f>'表3-成本费用表'!Y25</f>
        <v>0</v>
      </c>
      <c r="Z41" s="22">
        <f>'表3-成本费用表'!Z25</f>
        <v>0</v>
      </c>
      <c r="AA41" s="22">
        <f>'表3-成本费用表'!AA25</f>
        <v>0</v>
      </c>
      <c r="AB41" s="22">
        <f>'表3-成本费用表'!AB25</f>
        <v>0</v>
      </c>
      <c r="AC41" s="22">
        <f>'表3-成本费用表'!AC25</f>
        <v>0</v>
      </c>
      <c r="AD41" s="22">
        <f>'表3-成本费用表'!AD25</f>
        <v>0</v>
      </c>
      <c r="AE41" s="22">
        <f>'表3-成本费用表'!AE25</f>
        <v>0</v>
      </c>
      <c r="AF41" s="22">
        <f>'表3-成本费用表'!AF25</f>
        <v>0</v>
      </c>
    </row>
    <row r="42" s="1" customFormat="1" spans="2:32">
      <c r="B42" s="15" t="s">
        <v>759</v>
      </c>
      <c r="C42" s="16" t="s">
        <v>760</v>
      </c>
      <c r="D42" s="17">
        <f ca="1" t="shared" si="7"/>
        <v>76232.5484053954</v>
      </c>
      <c r="E42" s="18" t="s">
        <v>24</v>
      </c>
      <c r="F42" s="19">
        <f t="shared" ref="F42:I42" si="11">F38+F39-F41</f>
        <v>0</v>
      </c>
      <c r="G42" s="19">
        <f t="shared" si="11"/>
        <v>0</v>
      </c>
      <c r="H42" s="19">
        <f t="shared" si="11"/>
        <v>0</v>
      </c>
      <c r="I42" s="19">
        <f t="shared" si="11"/>
        <v>0</v>
      </c>
      <c r="J42" s="39">
        <f ca="1" t="shared" ref="J42:R42" si="12">J38+J39-J41</f>
        <v>-1374.33750702332</v>
      </c>
      <c r="K42" s="39">
        <f ca="1" t="shared" si="12"/>
        <v>385.971277542962</v>
      </c>
      <c r="L42" s="39">
        <f ca="1" t="shared" si="12"/>
        <v>1871.07315445353</v>
      </c>
      <c r="M42" s="39">
        <f ca="1" t="shared" si="12"/>
        <v>1728.78107448606</v>
      </c>
      <c r="N42" s="39">
        <f ca="1" t="shared" si="12"/>
        <v>1940.33588390373</v>
      </c>
      <c r="O42" s="39">
        <f ca="1" t="shared" si="12"/>
        <v>2143.50019279892</v>
      </c>
      <c r="P42" s="39">
        <f ca="1" t="shared" si="12"/>
        <v>2356.94530478192</v>
      </c>
      <c r="Q42" s="39">
        <f ca="1" t="shared" si="12"/>
        <v>2581.1187182793</v>
      </c>
      <c r="R42" s="39">
        <f ca="1" t="shared" si="12"/>
        <v>2358.92308823154</v>
      </c>
      <c r="S42" s="39">
        <f ca="1" t="shared" ref="S42:AF42" si="13">S38+S39-S41</f>
        <v>2594.85773322601</v>
      </c>
      <c r="T42" s="39">
        <f ca="1" t="shared" si="13"/>
        <v>2856.12848361358</v>
      </c>
      <c r="U42" s="39">
        <f ca="1" t="shared" si="13"/>
        <v>3130.08951646896</v>
      </c>
      <c r="V42" s="39">
        <f ca="1" t="shared" si="13"/>
        <v>3338.54775241933</v>
      </c>
      <c r="W42" s="39">
        <f ca="1" t="shared" si="13"/>
        <v>3382.23310533331</v>
      </c>
      <c r="X42" s="39">
        <f ca="1" t="shared" si="13"/>
        <v>4662.80055931509</v>
      </c>
      <c r="Y42" s="39">
        <f ca="1" t="shared" si="13"/>
        <v>5963.34311083256</v>
      </c>
      <c r="Z42" s="39">
        <f ca="1" t="shared" si="13"/>
        <v>3697.88100280694</v>
      </c>
      <c r="AA42" s="39">
        <f ca="1" t="shared" si="13"/>
        <v>2560.37444610224</v>
      </c>
      <c r="AB42" s="39">
        <f ca="1" t="shared" si="13"/>
        <v>3333.21343551584</v>
      </c>
      <c r="AC42" s="39">
        <f ca="1" t="shared" si="13"/>
        <v>8863.64411990902</v>
      </c>
      <c r="AD42" s="39">
        <f ca="1" t="shared" si="13"/>
        <v>9466.85721963202</v>
      </c>
      <c r="AE42" s="39">
        <f ca="1" t="shared" si="13"/>
        <v>9373.65425218424</v>
      </c>
      <c r="AF42" s="39">
        <f ca="1" t="shared" si="13"/>
        <v>-983.387519418344</v>
      </c>
    </row>
    <row r="43" s="1" customFormat="1" spans="2:32">
      <c r="B43" s="15"/>
      <c r="C43" s="29" t="s">
        <v>761</v>
      </c>
      <c r="D43" s="17">
        <f ca="1" t="shared" si="7"/>
        <v>1374.33750702332</v>
      </c>
      <c r="E43" s="18" t="s">
        <v>24</v>
      </c>
      <c r="F43" s="31">
        <f>SUM(F44:F48)</f>
        <v>0</v>
      </c>
      <c r="G43" s="31">
        <f t="shared" ref="G43:Q43" si="14">SUM(G44:G48)</f>
        <v>0</v>
      </c>
      <c r="H43" s="31">
        <f t="shared" si="14"/>
        <v>0</v>
      </c>
      <c r="I43" s="31">
        <f t="shared" si="14"/>
        <v>0</v>
      </c>
      <c r="J43" s="17">
        <f ca="1" t="shared" si="14"/>
        <v>0</v>
      </c>
      <c r="K43" s="17">
        <f ca="1" t="shared" si="14"/>
        <v>385.971277542962</v>
      </c>
      <c r="L43" s="17">
        <f ca="1" t="shared" si="14"/>
        <v>988.366229480361</v>
      </c>
      <c r="M43" s="17">
        <f ca="1" t="shared" si="14"/>
        <v>0</v>
      </c>
      <c r="N43" s="17">
        <f ca="1" t="shared" si="14"/>
        <v>0</v>
      </c>
      <c r="O43" s="17">
        <f ca="1" t="shared" si="14"/>
        <v>0</v>
      </c>
      <c r="P43" s="17">
        <f ca="1" t="shared" si="14"/>
        <v>0</v>
      </c>
      <c r="Q43" s="17">
        <f ca="1" t="shared" si="14"/>
        <v>0</v>
      </c>
      <c r="R43" s="17">
        <f ca="1" t="shared" ref="R43:AF43" si="15">SUM(R44:R48)</f>
        <v>0</v>
      </c>
      <c r="S43" s="17">
        <f ca="1" t="shared" si="15"/>
        <v>0</v>
      </c>
      <c r="T43" s="17">
        <f ca="1" t="shared" si="15"/>
        <v>0</v>
      </c>
      <c r="U43" s="17">
        <f ca="1" t="shared" si="15"/>
        <v>0</v>
      </c>
      <c r="V43" s="17">
        <f ca="1" t="shared" si="15"/>
        <v>0</v>
      </c>
      <c r="W43" s="17">
        <f ca="1" t="shared" si="15"/>
        <v>0</v>
      </c>
      <c r="X43" s="17">
        <f ca="1" t="shared" si="15"/>
        <v>0</v>
      </c>
      <c r="Y43" s="17">
        <f ca="1" t="shared" si="15"/>
        <v>0</v>
      </c>
      <c r="Z43" s="17">
        <f ca="1" t="shared" si="15"/>
        <v>0</v>
      </c>
      <c r="AA43" s="17">
        <f ca="1" t="shared" si="15"/>
        <v>0</v>
      </c>
      <c r="AB43" s="17">
        <f ca="1" t="shared" si="15"/>
        <v>0</v>
      </c>
      <c r="AC43" s="17">
        <f ca="1" t="shared" si="15"/>
        <v>0</v>
      </c>
      <c r="AD43" s="17">
        <f ca="1" t="shared" si="15"/>
        <v>0</v>
      </c>
      <c r="AE43" s="17">
        <f ca="1" t="shared" si="15"/>
        <v>0</v>
      </c>
      <c r="AF43" s="17">
        <f ca="1" t="shared" si="15"/>
        <v>0</v>
      </c>
    </row>
    <row r="44" s="1" customFormat="1" spans="2:32">
      <c r="B44" s="15"/>
      <c r="C44" s="30" t="s">
        <v>762</v>
      </c>
      <c r="D44" s="17"/>
      <c r="E44" s="18" t="s">
        <v>24</v>
      </c>
      <c r="F44" s="31"/>
      <c r="G44" s="31"/>
      <c r="H44" s="31"/>
      <c r="I44" s="31"/>
      <c r="J44" s="41">
        <f ca="1" t="shared" ref="J44:O44" si="16">IF(I42&gt;0,0,IF(J42&lt;0,0,MIN(J42-SUM(J45:J48),-I42)))</f>
        <v>0</v>
      </c>
      <c r="K44" s="41">
        <f ca="1" t="shared" si="16"/>
        <v>385.971277542962</v>
      </c>
      <c r="L44" s="41">
        <f ca="1" t="shared" si="16"/>
        <v>0</v>
      </c>
      <c r="M44" s="41">
        <f ca="1" t="shared" si="16"/>
        <v>0</v>
      </c>
      <c r="N44" s="41">
        <f ca="1" t="shared" si="16"/>
        <v>0</v>
      </c>
      <c r="O44" s="41">
        <f ca="1" t="shared" si="16"/>
        <v>0</v>
      </c>
      <c r="P44" s="41">
        <f ca="1" t="shared" ref="P44:AF44" si="17">IF(O42&gt;0,0,IF(P42&lt;0,0,MIN(P42-SUM(P45:P48),-O42)))</f>
        <v>0</v>
      </c>
      <c r="Q44" s="41">
        <f ca="1" t="shared" si="17"/>
        <v>0</v>
      </c>
      <c r="R44" s="41">
        <f ca="1" t="shared" si="17"/>
        <v>0</v>
      </c>
      <c r="S44" s="41">
        <f ca="1" t="shared" si="17"/>
        <v>0</v>
      </c>
      <c r="T44" s="41">
        <f ca="1" t="shared" si="17"/>
        <v>0</v>
      </c>
      <c r="U44" s="41">
        <f ca="1" t="shared" si="17"/>
        <v>0</v>
      </c>
      <c r="V44" s="41">
        <f ca="1" t="shared" si="17"/>
        <v>0</v>
      </c>
      <c r="W44" s="41">
        <f ca="1" t="shared" si="17"/>
        <v>0</v>
      </c>
      <c r="X44" s="41">
        <f ca="1" t="shared" si="17"/>
        <v>0</v>
      </c>
      <c r="Y44" s="41">
        <f ca="1" t="shared" si="17"/>
        <v>0</v>
      </c>
      <c r="Z44" s="41">
        <f ca="1" t="shared" si="17"/>
        <v>0</v>
      </c>
      <c r="AA44" s="41">
        <f ca="1" t="shared" si="17"/>
        <v>0</v>
      </c>
      <c r="AB44" s="41">
        <f ca="1" t="shared" si="17"/>
        <v>0</v>
      </c>
      <c r="AC44" s="41">
        <f ca="1" t="shared" si="17"/>
        <v>0</v>
      </c>
      <c r="AD44" s="41">
        <f ca="1" t="shared" si="17"/>
        <v>0</v>
      </c>
      <c r="AE44" s="41">
        <f ca="1" t="shared" si="17"/>
        <v>0</v>
      </c>
      <c r="AF44" s="41">
        <f ca="1" t="shared" si="17"/>
        <v>0</v>
      </c>
    </row>
    <row r="45" s="1" customFormat="1" spans="2:32">
      <c r="B45" s="15"/>
      <c r="C45" s="30" t="s">
        <v>763</v>
      </c>
      <c r="D45" s="17"/>
      <c r="E45" s="18" t="s">
        <v>24</v>
      </c>
      <c r="F45" s="31"/>
      <c r="G45" s="31"/>
      <c r="H45" s="31"/>
      <c r="I45" s="31"/>
      <c r="J45" s="42">
        <f ca="1">IF(H42&gt;0,0,IF(J42&lt;0,0,MIN(J42-SUM(J46:J48),-H42-I44)))</f>
        <v>0</v>
      </c>
      <c r="K45" s="41">
        <f ca="1" t="shared" ref="K45:P45" si="18">IF(I42&gt;0,0,IF(K42&lt;0,0,MIN(K42-SUM(K46:K48),-I42-J44)))</f>
        <v>0</v>
      </c>
      <c r="L45" s="41">
        <f ca="1" t="shared" si="18"/>
        <v>988.366229480361</v>
      </c>
      <c r="M45" s="41">
        <f ca="1" t="shared" si="18"/>
        <v>0</v>
      </c>
      <c r="N45" s="41">
        <f ca="1" t="shared" si="18"/>
        <v>0</v>
      </c>
      <c r="O45" s="41">
        <f ca="1" t="shared" si="18"/>
        <v>0</v>
      </c>
      <c r="P45" s="41">
        <f ca="1" t="shared" si="18"/>
        <v>0</v>
      </c>
      <c r="Q45" s="41">
        <f ca="1" t="shared" ref="Q45:AF45" si="19">IF(O42&gt;0,0,IF(Q42&lt;0,0,MIN(Q42-SUM(Q46:Q48),-O42-P44)))</f>
        <v>0</v>
      </c>
      <c r="R45" s="41">
        <f ca="1" t="shared" si="19"/>
        <v>0</v>
      </c>
      <c r="S45" s="41">
        <f ca="1" t="shared" si="19"/>
        <v>0</v>
      </c>
      <c r="T45" s="41">
        <f ca="1" t="shared" si="19"/>
        <v>0</v>
      </c>
      <c r="U45" s="41">
        <f ca="1" t="shared" si="19"/>
        <v>0</v>
      </c>
      <c r="V45" s="41">
        <f ca="1" t="shared" si="19"/>
        <v>0</v>
      </c>
      <c r="W45" s="41">
        <f ca="1" t="shared" si="19"/>
        <v>0</v>
      </c>
      <c r="X45" s="41">
        <f ca="1" t="shared" si="19"/>
        <v>0</v>
      </c>
      <c r="Y45" s="41">
        <f ca="1" t="shared" si="19"/>
        <v>0</v>
      </c>
      <c r="Z45" s="41">
        <f ca="1" t="shared" si="19"/>
        <v>0</v>
      </c>
      <c r="AA45" s="41">
        <f ca="1" t="shared" si="19"/>
        <v>0</v>
      </c>
      <c r="AB45" s="41">
        <f ca="1" t="shared" si="19"/>
        <v>0</v>
      </c>
      <c r="AC45" s="41">
        <f ca="1" t="shared" si="19"/>
        <v>0</v>
      </c>
      <c r="AD45" s="41">
        <f ca="1" t="shared" si="19"/>
        <v>0</v>
      </c>
      <c r="AE45" s="41">
        <f ca="1" t="shared" si="19"/>
        <v>0</v>
      </c>
      <c r="AF45" s="41">
        <f ca="1" t="shared" si="19"/>
        <v>0</v>
      </c>
    </row>
    <row r="46" s="1" customFormat="1" spans="2:32">
      <c r="B46" s="15"/>
      <c r="C46" s="30" t="s">
        <v>764</v>
      </c>
      <c r="D46" s="17"/>
      <c r="E46" s="18" t="s">
        <v>24</v>
      </c>
      <c r="F46" s="31"/>
      <c r="G46" s="31"/>
      <c r="H46" s="31"/>
      <c r="I46" s="31"/>
      <c r="J46" s="42">
        <f ca="1">IF(G42&gt;0,0,IF(J42&lt;0,0,MIN(J42-SUM(J47:J48),-G42-H44-I45)))</f>
        <v>0</v>
      </c>
      <c r="K46" s="42">
        <f ca="1">IF(H42&gt;0,0,IF(K42&lt;0,0,MIN(K42-SUM(K47:K48),-H42-I44-J45)))</f>
        <v>0</v>
      </c>
      <c r="L46" s="41">
        <f ca="1" t="shared" ref="L46:Q46" si="20">IF(I42&gt;0,0,IF(L42&lt;0,0,MIN(L42-SUM(L47:L48),-I42-J44-K45)))</f>
        <v>0</v>
      </c>
      <c r="M46" s="41">
        <f ca="1" t="shared" si="20"/>
        <v>0</v>
      </c>
      <c r="N46" s="41">
        <f ca="1" t="shared" si="20"/>
        <v>0</v>
      </c>
      <c r="O46" s="41">
        <f ca="1" t="shared" si="20"/>
        <v>0</v>
      </c>
      <c r="P46" s="41">
        <f ca="1" t="shared" si="20"/>
        <v>0</v>
      </c>
      <c r="Q46" s="41">
        <f ca="1" t="shared" si="20"/>
        <v>0</v>
      </c>
      <c r="R46" s="41">
        <f ca="1" t="shared" ref="R46:AF46" si="21">IF(O42&gt;0,0,IF(R42&lt;0,0,MIN(R42-SUM(R47:R48),-O42-P44-Q45)))</f>
        <v>0</v>
      </c>
      <c r="S46" s="41">
        <f ca="1" t="shared" si="21"/>
        <v>0</v>
      </c>
      <c r="T46" s="41">
        <f ca="1" t="shared" si="21"/>
        <v>0</v>
      </c>
      <c r="U46" s="41">
        <f ca="1" t="shared" si="21"/>
        <v>0</v>
      </c>
      <c r="V46" s="41">
        <f ca="1" t="shared" si="21"/>
        <v>0</v>
      </c>
      <c r="W46" s="41">
        <f ca="1" t="shared" si="21"/>
        <v>0</v>
      </c>
      <c r="X46" s="41">
        <f ca="1" t="shared" si="21"/>
        <v>0</v>
      </c>
      <c r="Y46" s="41">
        <f ca="1" t="shared" si="21"/>
        <v>0</v>
      </c>
      <c r="Z46" s="41">
        <f ca="1" t="shared" si="21"/>
        <v>0</v>
      </c>
      <c r="AA46" s="41">
        <f ca="1" t="shared" si="21"/>
        <v>0</v>
      </c>
      <c r="AB46" s="41">
        <f ca="1" t="shared" si="21"/>
        <v>0</v>
      </c>
      <c r="AC46" s="41">
        <f ca="1" t="shared" si="21"/>
        <v>0</v>
      </c>
      <c r="AD46" s="41">
        <f ca="1" t="shared" si="21"/>
        <v>0</v>
      </c>
      <c r="AE46" s="41">
        <f ca="1" t="shared" si="21"/>
        <v>0</v>
      </c>
      <c r="AF46" s="41">
        <f ca="1" t="shared" si="21"/>
        <v>0</v>
      </c>
    </row>
    <row r="47" s="1" customFormat="1" spans="2:32">
      <c r="B47" s="15"/>
      <c r="C47" s="30" t="s">
        <v>765</v>
      </c>
      <c r="D47" s="17"/>
      <c r="E47" s="18" t="s">
        <v>24</v>
      </c>
      <c r="F47" s="31"/>
      <c r="G47" s="31"/>
      <c r="H47" s="31"/>
      <c r="I47" s="31"/>
      <c r="J47" s="42">
        <f ca="1">IF(F42&gt;0,0,IF(J42&lt;0,0,MIN(J42-J48,-F42-G44-H45-I46)))</f>
        <v>0</v>
      </c>
      <c r="K47" s="42">
        <f ca="1" t="shared" ref="K47:L47" si="22">IF(G42&gt;0,0,IF(K42&lt;0,0,MIN(K42-K48,-G42-H44-I45-J46)))</f>
        <v>0</v>
      </c>
      <c r="L47" s="42">
        <f ca="1" t="shared" si="22"/>
        <v>0</v>
      </c>
      <c r="M47" s="41">
        <f ca="1" t="shared" ref="M47:R47" si="23">IF(I42&gt;0,0,IF(M42&lt;0,0,MIN(M42-M48,-I42-J44-K45-L46)))</f>
        <v>0</v>
      </c>
      <c r="N47" s="41">
        <f ca="1" t="shared" si="23"/>
        <v>0</v>
      </c>
      <c r="O47" s="41">
        <f ca="1" t="shared" si="23"/>
        <v>0</v>
      </c>
      <c r="P47" s="41">
        <f ca="1" t="shared" si="23"/>
        <v>0</v>
      </c>
      <c r="Q47" s="41">
        <f ca="1" t="shared" si="23"/>
        <v>0</v>
      </c>
      <c r="R47" s="41">
        <f ca="1" t="shared" si="23"/>
        <v>0</v>
      </c>
      <c r="S47" s="41">
        <f ca="1" t="shared" ref="S47:AF47" si="24">IF(O42&gt;0,0,IF(S42&lt;0,0,MIN(S42-S48,-O42-P44-Q45-R46)))</f>
        <v>0</v>
      </c>
      <c r="T47" s="41">
        <f ca="1" t="shared" si="24"/>
        <v>0</v>
      </c>
      <c r="U47" s="41">
        <f ca="1" t="shared" si="24"/>
        <v>0</v>
      </c>
      <c r="V47" s="41">
        <f ca="1" t="shared" si="24"/>
        <v>0</v>
      </c>
      <c r="W47" s="41">
        <f ca="1" t="shared" si="24"/>
        <v>0</v>
      </c>
      <c r="X47" s="41">
        <f ca="1" t="shared" si="24"/>
        <v>0</v>
      </c>
      <c r="Y47" s="41">
        <f ca="1" t="shared" si="24"/>
        <v>0</v>
      </c>
      <c r="Z47" s="41">
        <f ca="1" t="shared" si="24"/>
        <v>0</v>
      </c>
      <c r="AA47" s="41">
        <f ca="1" t="shared" si="24"/>
        <v>0</v>
      </c>
      <c r="AB47" s="41">
        <f ca="1" t="shared" si="24"/>
        <v>0</v>
      </c>
      <c r="AC47" s="41">
        <f ca="1" t="shared" si="24"/>
        <v>0</v>
      </c>
      <c r="AD47" s="41">
        <f ca="1" t="shared" si="24"/>
        <v>0</v>
      </c>
      <c r="AE47" s="41">
        <f ca="1" t="shared" si="24"/>
        <v>0</v>
      </c>
      <c r="AF47" s="41">
        <f ca="1" t="shared" si="24"/>
        <v>0</v>
      </c>
    </row>
    <row r="48" s="1" customFormat="1" spans="2:32">
      <c r="B48" s="15"/>
      <c r="C48" s="30" t="s">
        <v>766</v>
      </c>
      <c r="D48" s="17"/>
      <c r="E48" s="18" t="s">
        <v>24</v>
      </c>
      <c r="F48" s="31"/>
      <c r="G48" s="31"/>
      <c r="H48" s="31"/>
      <c r="I48" s="31"/>
      <c r="J48" s="17"/>
      <c r="K48" s="42">
        <f ca="1">IF(F42&gt;0,0,IF(K42&lt;0,0,MIN(K42,-F42-G44-H45-I46-J47)))</f>
        <v>0</v>
      </c>
      <c r="L48" s="42">
        <f ca="1" t="shared" ref="L48:M48" si="25">IF(G42&gt;0,0,IF(L42&lt;0,0,MIN(L42,-G42-H44-I45-J46-K47)))</f>
        <v>0</v>
      </c>
      <c r="M48" s="42">
        <f ca="1" t="shared" si="25"/>
        <v>0</v>
      </c>
      <c r="N48" s="41">
        <f ca="1" t="shared" ref="N48:S48" si="26">IF(I42&gt;0,0,IF(N42&lt;0,0,MIN(N42,-I42-J44-K45-L46-M47)))</f>
        <v>0</v>
      </c>
      <c r="O48" s="41">
        <f ca="1" t="shared" si="26"/>
        <v>0</v>
      </c>
      <c r="P48" s="41">
        <f ca="1" t="shared" si="26"/>
        <v>0</v>
      </c>
      <c r="Q48" s="41">
        <f ca="1" t="shared" si="26"/>
        <v>0</v>
      </c>
      <c r="R48" s="41">
        <f ca="1" t="shared" si="26"/>
        <v>0</v>
      </c>
      <c r="S48" s="41">
        <f ca="1" t="shared" si="26"/>
        <v>0</v>
      </c>
      <c r="T48" s="41">
        <f ca="1" t="shared" ref="T48:AF48" si="27">IF(O42&gt;0,0,IF(T42&lt;0,0,MIN(T42,-O42-P44-Q45-R46-S47)))</f>
        <v>0</v>
      </c>
      <c r="U48" s="41">
        <f ca="1" t="shared" si="27"/>
        <v>0</v>
      </c>
      <c r="V48" s="41">
        <f ca="1" t="shared" si="27"/>
        <v>0</v>
      </c>
      <c r="W48" s="41">
        <f ca="1" t="shared" si="27"/>
        <v>0</v>
      </c>
      <c r="X48" s="41">
        <f ca="1" t="shared" si="27"/>
        <v>0</v>
      </c>
      <c r="Y48" s="41">
        <f ca="1" t="shared" si="27"/>
        <v>0</v>
      </c>
      <c r="Z48" s="41">
        <f ca="1" t="shared" si="27"/>
        <v>0</v>
      </c>
      <c r="AA48" s="41">
        <f ca="1" t="shared" si="27"/>
        <v>0</v>
      </c>
      <c r="AB48" s="41">
        <f ca="1" t="shared" si="27"/>
        <v>0</v>
      </c>
      <c r="AC48" s="41">
        <f ca="1" t="shared" si="27"/>
        <v>0</v>
      </c>
      <c r="AD48" s="41">
        <f ca="1" t="shared" si="27"/>
        <v>0</v>
      </c>
      <c r="AE48" s="41">
        <f ca="1" t="shared" si="27"/>
        <v>0</v>
      </c>
      <c r="AF48" s="41">
        <f ca="1" t="shared" si="27"/>
        <v>0</v>
      </c>
    </row>
    <row r="49" s="1" customFormat="1" spans="2:32">
      <c r="B49" s="15"/>
      <c r="C49" s="29" t="s">
        <v>767</v>
      </c>
      <c r="D49" s="17">
        <f ca="1" t="shared" ref="D49:D54" si="28">SUM(F49:AF49)</f>
        <v>77215.9359248138</v>
      </c>
      <c r="E49" s="18" t="s">
        <v>24</v>
      </c>
      <c r="F49" s="19">
        <f>IF(F42-F43&gt;0,F42-F43,0)</f>
        <v>0</v>
      </c>
      <c r="G49" s="19">
        <f>IF(G42-G43&gt;0,G42-G43,0)</f>
        <v>0</v>
      </c>
      <c r="H49" s="19">
        <f t="shared" ref="H49:O49" si="29">IF(H42-H43&gt;0,H42-H43,0)</f>
        <v>0</v>
      </c>
      <c r="I49" s="19">
        <f t="shared" si="29"/>
        <v>0</v>
      </c>
      <c r="J49" s="39">
        <f ca="1" t="shared" si="29"/>
        <v>0</v>
      </c>
      <c r="K49" s="39">
        <f ca="1" t="shared" si="29"/>
        <v>0</v>
      </c>
      <c r="L49" s="39">
        <f ca="1" t="shared" si="29"/>
        <v>882.70692497317</v>
      </c>
      <c r="M49" s="39">
        <f ca="1" t="shared" si="29"/>
        <v>1728.78107448606</v>
      </c>
      <c r="N49" s="39">
        <f ca="1" t="shared" si="29"/>
        <v>1940.33588390373</v>
      </c>
      <c r="O49" s="39">
        <f ca="1" t="shared" si="29"/>
        <v>2143.50019279892</v>
      </c>
      <c r="P49" s="39">
        <f ca="1" t="shared" ref="P49:AF49" si="30">IF(P42-P43&gt;0,P42-P43,0)</f>
        <v>2356.94530478192</v>
      </c>
      <c r="Q49" s="39">
        <f ca="1" t="shared" si="30"/>
        <v>2581.1187182793</v>
      </c>
      <c r="R49" s="39">
        <f ca="1" t="shared" si="30"/>
        <v>2358.92308823154</v>
      </c>
      <c r="S49" s="39">
        <f ca="1" t="shared" si="30"/>
        <v>2594.85773322601</v>
      </c>
      <c r="T49" s="39">
        <f ca="1" t="shared" si="30"/>
        <v>2856.12848361358</v>
      </c>
      <c r="U49" s="39">
        <f ca="1" t="shared" si="30"/>
        <v>3130.08951646896</v>
      </c>
      <c r="V49" s="39">
        <f ca="1" t="shared" si="30"/>
        <v>3338.54775241933</v>
      </c>
      <c r="W49" s="39">
        <f ca="1" t="shared" si="30"/>
        <v>3382.23310533331</v>
      </c>
      <c r="X49" s="39">
        <f ca="1" t="shared" si="30"/>
        <v>4662.80055931509</v>
      </c>
      <c r="Y49" s="39">
        <f ca="1" t="shared" si="30"/>
        <v>5963.34311083256</v>
      </c>
      <c r="Z49" s="39">
        <f ca="1" t="shared" si="30"/>
        <v>3697.88100280694</v>
      </c>
      <c r="AA49" s="39">
        <f ca="1" t="shared" si="30"/>
        <v>2560.37444610224</v>
      </c>
      <c r="AB49" s="39">
        <f ca="1" t="shared" si="30"/>
        <v>3333.21343551584</v>
      </c>
      <c r="AC49" s="39">
        <f ca="1" t="shared" si="30"/>
        <v>8863.64411990902</v>
      </c>
      <c r="AD49" s="39">
        <f ca="1" t="shared" si="30"/>
        <v>9466.85721963202</v>
      </c>
      <c r="AE49" s="39">
        <f ca="1" t="shared" si="30"/>
        <v>9373.65425218424</v>
      </c>
      <c r="AF49" s="39">
        <f ca="1" t="shared" si="30"/>
        <v>0</v>
      </c>
    </row>
    <row r="50" spans="2:32">
      <c r="B50" s="20"/>
      <c r="C50" s="21" t="s">
        <v>768</v>
      </c>
      <c r="D50" s="22">
        <f ca="1" t="shared" si="28"/>
        <v>18074.4421519081</v>
      </c>
      <c r="E50" s="18" t="s">
        <v>24</v>
      </c>
      <c r="F50" s="31"/>
      <c r="G50" s="31"/>
      <c r="H50" s="31"/>
      <c r="I50" s="31"/>
      <c r="J50" s="23">
        <f ca="1">J49*参数输入表!$I657</f>
        <v>0</v>
      </c>
      <c r="K50" s="23">
        <f ca="1">K49*参数输入表!$I658</f>
        <v>0</v>
      </c>
      <c r="L50" s="23">
        <f ca="1">L49*参数输入表!$I659</f>
        <v>66.2030193729878</v>
      </c>
      <c r="M50" s="23">
        <f ca="1">M49*参数输入表!$I660</f>
        <v>259.317161172908</v>
      </c>
      <c r="N50" s="23">
        <f ca="1">N49*参数输入表!$I661</f>
        <v>291.050382585559</v>
      </c>
      <c r="O50" s="23">
        <f ca="1">O49*参数输入表!$I662</f>
        <v>321.525028919838</v>
      </c>
      <c r="P50" s="23">
        <f ca="1">P49*参数输入表!$I663</f>
        <v>353.541795717288</v>
      </c>
      <c r="Q50" s="23">
        <f ca="1">Q49*参数输入表!$I664</f>
        <v>387.167807741895</v>
      </c>
      <c r="R50" s="23">
        <f ca="1">R49*参数输入表!$I665</f>
        <v>589.730772057886</v>
      </c>
      <c r="S50" s="23">
        <f ca="1">S49*参数输入表!$I666</f>
        <v>648.714433306502</v>
      </c>
      <c r="T50" s="23">
        <f ca="1">T49*参数输入表!$I667</f>
        <v>714.032120903394</v>
      </c>
      <c r="U50" s="23">
        <f ca="1">U49*参数输入表!$I668</f>
        <v>782.52237911724</v>
      </c>
      <c r="V50" s="23">
        <f ca="1">V49*参数输入表!$I669</f>
        <v>834.636938104833</v>
      </c>
      <c r="W50" s="23">
        <f ca="1">W49*参数输入表!$I670</f>
        <v>845.558276333328</v>
      </c>
      <c r="X50" s="23">
        <f ca="1">X49*参数输入表!$I671</f>
        <v>1165.70013982877</v>
      </c>
      <c r="Y50" s="23">
        <f ca="1">Y49*参数输入表!$I672</f>
        <v>1490.83577770814</v>
      </c>
      <c r="Z50" s="23">
        <f ca="1">Z49*参数输入表!$I673</f>
        <v>924.470250701735</v>
      </c>
      <c r="AA50" s="23">
        <f ca="1">AA49*参数输入表!$I674</f>
        <v>640.09361152556</v>
      </c>
      <c r="AB50" s="23">
        <f ca="1">AB49*参数输入表!$I675</f>
        <v>833.303358878959</v>
      </c>
      <c r="AC50" s="23">
        <f ca="1">AC49*参数输入表!$I676</f>
        <v>2215.91102997725</v>
      </c>
      <c r="AD50" s="23">
        <f ca="1">AD49*参数输入表!$I677</f>
        <v>2366.71430490801</v>
      </c>
      <c r="AE50" s="23">
        <f ca="1">AE49*参数输入表!$I678</f>
        <v>2343.41356304606</v>
      </c>
      <c r="AF50" s="23">
        <f ca="1">AF49*参数输入表!$I679</f>
        <v>0</v>
      </c>
    </row>
    <row r="51" s="1" customFormat="1" spans="2:32">
      <c r="B51" s="15" t="s">
        <v>769</v>
      </c>
      <c r="C51" s="16" t="s">
        <v>770</v>
      </c>
      <c r="D51" s="17">
        <f ca="1" t="shared" si="28"/>
        <v>58158.1062534873</v>
      </c>
      <c r="E51" s="18" t="s">
        <v>24</v>
      </c>
      <c r="F51" s="19">
        <f>F42-F50</f>
        <v>0</v>
      </c>
      <c r="G51" s="19">
        <f t="shared" ref="G51:P51" si="31">G42-G50</f>
        <v>0</v>
      </c>
      <c r="H51" s="19">
        <f t="shared" si="31"/>
        <v>0</v>
      </c>
      <c r="I51" s="19">
        <f t="shared" si="31"/>
        <v>0</v>
      </c>
      <c r="J51" s="39">
        <f ca="1" t="shared" si="31"/>
        <v>-1374.33750702332</v>
      </c>
      <c r="K51" s="39">
        <f ca="1" t="shared" si="31"/>
        <v>385.971277542962</v>
      </c>
      <c r="L51" s="39">
        <f ca="1" t="shared" si="31"/>
        <v>1804.87013508054</v>
      </c>
      <c r="M51" s="39">
        <f ca="1" t="shared" si="31"/>
        <v>1469.46391331315</v>
      </c>
      <c r="N51" s="39">
        <f ca="1" t="shared" si="31"/>
        <v>1649.28550131817</v>
      </c>
      <c r="O51" s="39">
        <f ca="1" t="shared" si="31"/>
        <v>1821.97516387908</v>
      </c>
      <c r="P51" s="39">
        <f ca="1" t="shared" si="31"/>
        <v>2003.40350906463</v>
      </c>
      <c r="Q51" s="39">
        <f ca="1" t="shared" ref="Q51:AF51" si="32">Q42-Q50</f>
        <v>2193.95091053741</v>
      </c>
      <c r="R51" s="39">
        <f ca="1" t="shared" si="32"/>
        <v>1769.19231617366</v>
      </c>
      <c r="S51" s="39">
        <f ca="1" t="shared" si="32"/>
        <v>1946.14329991951</v>
      </c>
      <c r="T51" s="39">
        <f ca="1" t="shared" si="32"/>
        <v>2142.09636271018</v>
      </c>
      <c r="U51" s="39">
        <f ca="1" t="shared" si="32"/>
        <v>2347.56713735172</v>
      </c>
      <c r="V51" s="39">
        <f ca="1" t="shared" si="32"/>
        <v>2503.9108143145</v>
      </c>
      <c r="W51" s="39">
        <f ca="1" t="shared" si="32"/>
        <v>2536.67482899998</v>
      </c>
      <c r="X51" s="39">
        <f ca="1" t="shared" si="32"/>
        <v>3497.10041948631</v>
      </c>
      <c r="Y51" s="39">
        <f ca="1" t="shared" si="32"/>
        <v>4472.50733312442</v>
      </c>
      <c r="Z51" s="39">
        <f ca="1" t="shared" si="32"/>
        <v>2773.41075210521</v>
      </c>
      <c r="AA51" s="39">
        <f ca="1" t="shared" si="32"/>
        <v>1920.28083457668</v>
      </c>
      <c r="AB51" s="39">
        <f ca="1" t="shared" si="32"/>
        <v>2499.91007663688</v>
      </c>
      <c r="AC51" s="39">
        <f ca="1" t="shared" si="32"/>
        <v>6647.73308993176</v>
      </c>
      <c r="AD51" s="39">
        <f ca="1" t="shared" si="32"/>
        <v>7100.14291472402</v>
      </c>
      <c r="AE51" s="39">
        <f ca="1" t="shared" si="32"/>
        <v>7030.24068913818</v>
      </c>
      <c r="AF51" s="39">
        <f ca="1" t="shared" si="32"/>
        <v>-983.387519418344</v>
      </c>
    </row>
    <row r="52" s="1" customFormat="1" spans="2:32">
      <c r="B52" s="15"/>
      <c r="C52" s="268" t="s">
        <v>771</v>
      </c>
      <c r="D52" s="22">
        <f ca="1" t="shared" si="28"/>
        <v>-600.187344</v>
      </c>
      <c r="E52" s="18" t="s">
        <v>24</v>
      </c>
      <c r="F52" s="22"/>
      <c r="G52" s="34"/>
      <c r="H52" s="34"/>
      <c r="I52" s="34"/>
      <c r="J52" s="34">
        <f>I61</f>
        <v>-600.187344</v>
      </c>
      <c r="K52" s="34">
        <f ca="1">J61</f>
        <v>0</v>
      </c>
      <c r="L52" s="34">
        <f ca="1" t="shared" ref="L52:R52" si="33">K61</f>
        <v>0</v>
      </c>
      <c r="M52" s="34">
        <f ca="1" t="shared" si="33"/>
        <v>0</v>
      </c>
      <c r="N52" s="34">
        <f ca="1" t="shared" si="33"/>
        <v>0</v>
      </c>
      <c r="O52" s="34">
        <f ca="1" t="shared" si="33"/>
        <v>0</v>
      </c>
      <c r="P52" s="34">
        <f ca="1" t="shared" si="33"/>
        <v>0</v>
      </c>
      <c r="Q52" s="34">
        <f ca="1" t="shared" si="33"/>
        <v>0</v>
      </c>
      <c r="R52" s="34">
        <f ca="1" t="shared" si="33"/>
        <v>0</v>
      </c>
      <c r="S52" s="34">
        <f ca="1" t="shared" ref="S52:AF52" si="34">R61</f>
        <v>0</v>
      </c>
      <c r="T52" s="34">
        <f ca="1" t="shared" si="34"/>
        <v>0</v>
      </c>
      <c r="U52" s="34">
        <f ca="1" t="shared" si="34"/>
        <v>0</v>
      </c>
      <c r="V52" s="34">
        <f ca="1" t="shared" si="34"/>
        <v>0</v>
      </c>
      <c r="W52" s="34">
        <f ca="1" t="shared" si="34"/>
        <v>0</v>
      </c>
      <c r="X52" s="34">
        <f ca="1" t="shared" si="34"/>
        <v>0</v>
      </c>
      <c r="Y52" s="34">
        <f ca="1" t="shared" si="34"/>
        <v>0</v>
      </c>
      <c r="Z52" s="34">
        <f ca="1" t="shared" si="34"/>
        <v>0</v>
      </c>
      <c r="AA52" s="34">
        <f ca="1" t="shared" si="34"/>
        <v>0</v>
      </c>
      <c r="AB52" s="34">
        <f ca="1" t="shared" si="34"/>
        <v>0</v>
      </c>
      <c r="AC52" s="34">
        <f ca="1" t="shared" si="34"/>
        <v>0</v>
      </c>
      <c r="AD52" s="34">
        <f ca="1" t="shared" si="34"/>
        <v>0</v>
      </c>
      <c r="AE52" s="34">
        <f ca="1" t="shared" si="34"/>
        <v>0</v>
      </c>
      <c r="AF52" s="34">
        <f ca="1" t="shared" si="34"/>
        <v>0</v>
      </c>
    </row>
    <row r="53" s="1" customFormat="1" spans="2:32">
      <c r="B53" s="15"/>
      <c r="C53" s="268" t="s">
        <v>772</v>
      </c>
      <c r="D53" s="22">
        <f ca="1" t="shared" si="28"/>
        <v>57557.9189094873</v>
      </c>
      <c r="E53" s="18" t="s">
        <v>24</v>
      </c>
      <c r="F53" s="34"/>
      <c r="G53" s="34"/>
      <c r="H53" s="34"/>
      <c r="I53" s="34"/>
      <c r="J53" s="34">
        <f ca="1" t="shared" ref="J53:Q53" si="35">J51+J52</f>
        <v>-1974.52485102332</v>
      </c>
      <c r="K53" s="34">
        <f ca="1" t="shared" si="35"/>
        <v>385.971277542962</v>
      </c>
      <c r="L53" s="34">
        <f ca="1" t="shared" si="35"/>
        <v>1804.87013508054</v>
      </c>
      <c r="M53" s="34">
        <f ca="1" t="shared" si="35"/>
        <v>1469.46391331315</v>
      </c>
      <c r="N53" s="34">
        <f ca="1" t="shared" si="35"/>
        <v>1649.28550131817</v>
      </c>
      <c r="O53" s="34">
        <f ca="1" t="shared" si="35"/>
        <v>1821.97516387908</v>
      </c>
      <c r="P53" s="34">
        <f ca="1" t="shared" si="35"/>
        <v>2003.40350906463</v>
      </c>
      <c r="Q53" s="34">
        <f ca="1" t="shared" si="35"/>
        <v>2193.95091053741</v>
      </c>
      <c r="R53" s="34">
        <f ca="1" t="shared" ref="R53:AF53" si="36">R51+R52</f>
        <v>1769.19231617366</v>
      </c>
      <c r="S53" s="34">
        <f ca="1" t="shared" si="36"/>
        <v>1946.14329991951</v>
      </c>
      <c r="T53" s="34">
        <f ca="1" t="shared" si="36"/>
        <v>2142.09636271018</v>
      </c>
      <c r="U53" s="34">
        <f ca="1" t="shared" si="36"/>
        <v>2347.56713735172</v>
      </c>
      <c r="V53" s="34">
        <f ca="1" t="shared" si="36"/>
        <v>2503.9108143145</v>
      </c>
      <c r="W53" s="34">
        <f ca="1" t="shared" si="36"/>
        <v>2536.67482899998</v>
      </c>
      <c r="X53" s="34">
        <f ca="1" t="shared" si="36"/>
        <v>3497.10041948631</v>
      </c>
      <c r="Y53" s="34">
        <f ca="1" t="shared" si="36"/>
        <v>4472.50733312442</v>
      </c>
      <c r="Z53" s="34">
        <f ca="1" t="shared" si="36"/>
        <v>2773.41075210521</v>
      </c>
      <c r="AA53" s="34">
        <f ca="1" t="shared" si="36"/>
        <v>1920.28083457668</v>
      </c>
      <c r="AB53" s="34">
        <f ca="1" t="shared" si="36"/>
        <v>2499.91007663688</v>
      </c>
      <c r="AC53" s="34">
        <f ca="1" t="shared" si="36"/>
        <v>6647.73308993176</v>
      </c>
      <c r="AD53" s="34">
        <f ca="1" t="shared" si="36"/>
        <v>7100.14291472402</v>
      </c>
      <c r="AE53" s="34">
        <f ca="1" t="shared" si="36"/>
        <v>7030.24068913818</v>
      </c>
      <c r="AF53" s="34">
        <f ca="1" t="shared" si="36"/>
        <v>-983.387519418344</v>
      </c>
    </row>
    <row r="54" s="1" customFormat="1" spans="2:32">
      <c r="B54" s="15"/>
      <c r="C54" s="268" t="s">
        <v>773</v>
      </c>
      <c r="D54" s="22">
        <f ca="1" t="shared" si="28"/>
        <v>4974.875436</v>
      </c>
      <c r="E54" s="18" t="s">
        <v>24</v>
      </c>
      <c r="F54" s="34"/>
      <c r="G54" s="34"/>
      <c r="H54" s="34"/>
      <c r="I54" s="34"/>
      <c r="J54" s="34">
        <f ca="1">IF(I56&gt;=参数输入表!$I$226,0,IF(J53&lt;0,0,IF(J53*参数输入表!$I$227&gt;=J55,J55,J53*参数输入表!$I$227)))</f>
        <v>0</v>
      </c>
      <c r="K54" s="34">
        <f ca="1">IF(J56&gt;=参数输入表!$I$226,0,IF(K53&lt;0,0,IF(K53*参数输入表!$I$227&gt;=K55,K55,K53*参数输入表!$I$227)))</f>
        <v>38.5971277542962</v>
      </c>
      <c r="L54" s="34">
        <f ca="1">IF(K56&gt;=参数输入表!$I$226,0,IF(L53&lt;0,0,IF(L53*参数输入表!$I$227&gt;=L55,L55,L53*参数输入表!$I$227)))</f>
        <v>180.487013508054</v>
      </c>
      <c r="M54" s="34">
        <f ca="1">IF(L56&gt;=参数输入表!$I$226,0,IF(M53&lt;0,0,IF(M53*参数输入表!$I$227&gt;=M55,M55,M53*参数输入表!$I$227)))</f>
        <v>146.946391331315</v>
      </c>
      <c r="N54" s="34">
        <f ca="1">IF(M56&gt;=参数输入表!$I$226,0,IF(N53&lt;0,0,IF(N53*参数输入表!$I$227&gt;=N55,N55,N53*参数输入表!$I$227)))</f>
        <v>164.928550131817</v>
      </c>
      <c r="O54" s="34">
        <f ca="1">IF(N56&gt;=参数输入表!$I$226,0,IF(O53&lt;0,0,IF(O53*参数输入表!$I$227&gt;=O55,O55,O53*参数输入表!$I$227)))</f>
        <v>182.197516387908</v>
      </c>
      <c r="P54" s="34">
        <f ca="1">IF(O56&gt;=参数输入表!$I$226,0,IF(P53&lt;0,0,IF(P53*参数输入表!$I$227&gt;=P55,P55,P53*参数输入表!$I$227)))</f>
        <v>200.340350906463</v>
      </c>
      <c r="Q54" s="34">
        <f ca="1">IF(P56&gt;=参数输入表!$I$226,0,IF(Q53&lt;0,0,IF(Q53*参数输入表!$I$227&gt;=Q55,Q55,Q53*参数输入表!$I$227)))</f>
        <v>219.395091053741</v>
      </c>
      <c r="R54" s="34">
        <f ca="1">IF(Q56&gt;=参数输入表!$I$226,0,IF(R53&lt;0,0,IF(R53*参数输入表!$I$227&gt;=R55,R55,R53*参数输入表!$I$227)))</f>
        <v>176.919231617366</v>
      </c>
      <c r="S54" s="34">
        <f ca="1">IF(R56&gt;=参数输入表!$I$226,0,IF(S53&lt;0,0,IF(S53*参数输入表!$I$227&gt;=S55,S55,S53*参数输入表!$I$227)))</f>
        <v>194.614329991951</v>
      </c>
      <c r="T54" s="34">
        <f ca="1">IF(S56&gt;=参数输入表!$I$226,0,IF(T53&lt;0,0,IF(T53*参数输入表!$I$227&gt;=T55,T55,T53*参数输入表!$I$227)))</f>
        <v>214.209636271018</v>
      </c>
      <c r="U54" s="34">
        <f ca="1">IF(T56&gt;=参数输入表!$I$226,0,IF(U53&lt;0,0,IF(U53*参数输入表!$I$227&gt;=U55,U55,U53*参数输入表!$I$227)))</f>
        <v>234.756713735172</v>
      </c>
      <c r="V54" s="34">
        <f ca="1">IF(U56&gt;=参数输入表!$I$226,0,IF(V53&lt;0,0,IF(V53*参数输入表!$I$227&gt;=V55,V55,V53*参数输入表!$I$227)))</f>
        <v>250.39108143145</v>
      </c>
      <c r="W54" s="34">
        <f ca="1">IF(V56&gt;=参数输入表!$I$226,0,IF(W53&lt;0,0,IF(W53*参数输入表!$I$227&gt;=W55,W55,W53*参数输入表!$I$227)))</f>
        <v>253.667482899998</v>
      </c>
      <c r="X54" s="34">
        <f ca="1">IF(W56&gt;=参数输入表!$I$226,0,IF(X53&lt;0,0,IF(X53*参数输入表!$I$227&gt;=X55,X55,X53*参数输入表!$I$227)))</f>
        <v>349.710041948631</v>
      </c>
      <c r="Y54" s="34">
        <f ca="1">IF(X56&gt;=参数输入表!$I$226,0,IF(Y53&lt;0,0,IF(Y53*参数输入表!$I$227&gt;=Y55,Y55,Y53*参数输入表!$I$227)))</f>
        <v>447.250733312442</v>
      </c>
      <c r="Z54" s="34">
        <f ca="1">IF(Y56&gt;=参数输入表!$I$226,0,IF(Z53&lt;0,0,IF(Z53*参数输入表!$I$227&gt;=Z55,Z55,Z53*参数输入表!$I$227)))</f>
        <v>277.341075210521</v>
      </c>
      <c r="AA54" s="34">
        <f ca="1">IF(Z56&gt;=参数输入表!$I$226,0,IF(AA53&lt;0,0,IF(AA53*参数输入表!$I$227&gt;=AA55,AA55,AA53*参数输入表!$I$227)))</f>
        <v>192.028083457668</v>
      </c>
      <c r="AB54" s="34">
        <f ca="1">IF(AA56&gt;=参数输入表!$I$226,0,IF(AB53&lt;0,0,IF(AB53*参数输入表!$I$227&gt;=AB55,AB55,AB53*参数输入表!$I$227)))</f>
        <v>249.991007663688</v>
      </c>
      <c r="AC54" s="34">
        <f ca="1">IF(AB56&gt;=参数输入表!$I$226,0,IF(AC53&lt;0,0,IF(AC53*参数输入表!$I$227&gt;=AC55,AC55,AC53*参数输入表!$I$227)))</f>
        <v>664.773308993176</v>
      </c>
      <c r="AD54" s="34">
        <f ca="1">IF(AC56&gt;=参数输入表!$I$226,0,IF(AD53&lt;0,0,IF(AD53*参数输入表!$I$227&gt;=AD55,AD55,AD53*参数输入表!$I$227)))</f>
        <v>336.330668393324</v>
      </c>
      <c r="AE54" s="34">
        <f ca="1">IF(AD56&gt;=参数输入表!$I$226,0,IF(AE53&lt;0,0,IF(AE53*参数输入表!$I$227&gt;=AE55,AE55,AE53*参数输入表!$I$227)))</f>
        <v>0</v>
      </c>
      <c r="AF54" s="34">
        <f ca="1">IF(AE56&gt;=参数输入表!$I$226,0,IF(AF53&lt;0,0,IF(AF53*参数输入表!$I$227&gt;=AF55,AF55,AF53*参数输入表!$I$227)))</f>
        <v>0</v>
      </c>
    </row>
    <row r="55" s="1" customFormat="1" spans="2:32">
      <c r="B55" s="15"/>
      <c r="C55" s="30" t="s">
        <v>774</v>
      </c>
      <c r="D55" s="22"/>
      <c r="E55" s="18" t="s">
        <v>24</v>
      </c>
      <c r="F55" s="22"/>
      <c r="G55" s="34"/>
      <c r="H55" s="34"/>
      <c r="I55" s="34"/>
      <c r="J55" s="34">
        <f>参数输入表!$I$226-I56</f>
        <v>4974.875436</v>
      </c>
      <c r="K55" s="34">
        <f ca="1">参数输入表!$I$226-J56</f>
        <v>4974.875436</v>
      </c>
      <c r="L55" s="34">
        <f ca="1">参数输入表!$I$226-K56</f>
        <v>4936.2783082457</v>
      </c>
      <c r="M55" s="34">
        <f ca="1">参数输入表!$I$226-L56</f>
        <v>4755.79129473765</v>
      </c>
      <c r="N55" s="34">
        <f ca="1">参数输入表!$I$226-M56</f>
        <v>4608.84490340633</v>
      </c>
      <c r="O55" s="34">
        <f ca="1">参数输入表!$I$226-N56</f>
        <v>4443.91635327452</v>
      </c>
      <c r="P55" s="34">
        <f ca="1">参数输入表!$I$226-O56</f>
        <v>4261.71883688661</v>
      </c>
      <c r="Q55" s="34">
        <f ca="1">参数输入表!$I$226-P56</f>
        <v>4061.37848598015</v>
      </c>
      <c r="R55" s="34">
        <f ca="1">参数输入表!$I$226-Q56</f>
        <v>3841.98339492641</v>
      </c>
      <c r="S55" s="34">
        <f ca="1">参数输入表!$I$226-R56</f>
        <v>3665.06416330904</v>
      </c>
      <c r="T55" s="34">
        <f ca="1">参数输入表!$I$226-S56</f>
        <v>3470.44983331709</v>
      </c>
      <c r="U55" s="34">
        <f ca="1">参数输入表!$I$226-T56</f>
        <v>3256.24019704607</v>
      </c>
      <c r="V55" s="34">
        <f ca="1">参数输入表!$I$226-U56</f>
        <v>3021.4834833109</v>
      </c>
      <c r="W55" s="34">
        <f ca="1">参数输入表!$I$226-V56</f>
        <v>2771.09240187945</v>
      </c>
      <c r="X55" s="34">
        <f ca="1">参数输入表!$I$226-W56</f>
        <v>2517.42491897945</v>
      </c>
      <c r="Y55" s="34">
        <f ca="1">参数输入表!$I$226-X56</f>
        <v>2167.71487703082</v>
      </c>
      <c r="Z55" s="34">
        <f ca="1">参数输入表!$I$226-Y56</f>
        <v>1720.46414371838</v>
      </c>
      <c r="AA55" s="34">
        <f ca="1">参数输入表!$I$226-Z56</f>
        <v>1443.12306850786</v>
      </c>
      <c r="AB55" s="34">
        <f ca="1">参数输入表!$I$226-AA56</f>
        <v>1251.09498505019</v>
      </c>
      <c r="AC55" s="34">
        <f ca="1">参数输入表!$I$226-AB56</f>
        <v>1001.1039773865</v>
      </c>
      <c r="AD55" s="34">
        <f ca="1">参数输入表!$I$226-AC56</f>
        <v>336.330668393324</v>
      </c>
      <c r="AE55" s="34">
        <f ca="1">参数输入表!$I$226-AD56</f>
        <v>0</v>
      </c>
      <c r="AF55" s="34">
        <f ca="1">参数输入表!$I$226-AE56</f>
        <v>0</v>
      </c>
    </row>
    <row r="56" s="1" customFormat="1" spans="2:32">
      <c r="B56" s="15"/>
      <c r="C56" s="30" t="s">
        <v>775</v>
      </c>
      <c r="D56" s="22"/>
      <c r="E56" s="18" t="s">
        <v>24</v>
      </c>
      <c r="F56" s="34"/>
      <c r="G56" s="34"/>
      <c r="H56" s="34"/>
      <c r="I56" s="279">
        <f>'表10-资产负债表(标准格式)'!H120</f>
        <v>25.124564</v>
      </c>
      <c r="J56" s="34">
        <f ca="1">J54+I56</f>
        <v>25.124564</v>
      </c>
      <c r="K56" s="34">
        <f ca="1" t="shared" ref="K56:P56" si="37">K54+J56</f>
        <v>63.7216917542962</v>
      </c>
      <c r="L56" s="34">
        <f ca="1" t="shared" si="37"/>
        <v>244.208705262351</v>
      </c>
      <c r="M56" s="34">
        <f ca="1" t="shared" si="37"/>
        <v>391.155096593665</v>
      </c>
      <c r="N56" s="34">
        <f ca="1" t="shared" si="37"/>
        <v>556.083646725482</v>
      </c>
      <c r="O56" s="34">
        <f ca="1" t="shared" si="37"/>
        <v>738.28116311339</v>
      </c>
      <c r="P56" s="34">
        <f ca="1" t="shared" si="37"/>
        <v>938.621514019853</v>
      </c>
      <c r="Q56" s="34">
        <f ca="1" t="shared" ref="Q56:AF56" si="38">Q54+P56</f>
        <v>1158.01660507359</v>
      </c>
      <c r="R56" s="34">
        <f ca="1" t="shared" si="38"/>
        <v>1334.93583669096</v>
      </c>
      <c r="S56" s="34">
        <f ca="1" t="shared" si="38"/>
        <v>1529.55016668291</v>
      </c>
      <c r="T56" s="34">
        <f ca="1" t="shared" si="38"/>
        <v>1743.75980295393</v>
      </c>
      <c r="U56" s="34">
        <f ca="1" t="shared" si="38"/>
        <v>1978.5165166891</v>
      </c>
      <c r="V56" s="34">
        <f ca="1" t="shared" si="38"/>
        <v>2228.90759812055</v>
      </c>
      <c r="W56" s="34">
        <f ca="1" t="shared" si="38"/>
        <v>2482.57508102055</v>
      </c>
      <c r="X56" s="34">
        <f ca="1" t="shared" si="38"/>
        <v>2832.28512296918</v>
      </c>
      <c r="Y56" s="34">
        <f ca="1" t="shared" si="38"/>
        <v>3279.53585628162</v>
      </c>
      <c r="Z56" s="34">
        <f ca="1" t="shared" si="38"/>
        <v>3556.87693149214</v>
      </c>
      <c r="AA56" s="34">
        <f ca="1" t="shared" si="38"/>
        <v>3748.90501494981</v>
      </c>
      <c r="AB56" s="34">
        <f ca="1" t="shared" si="38"/>
        <v>3998.8960226135</v>
      </c>
      <c r="AC56" s="34">
        <f ca="1" t="shared" si="38"/>
        <v>4663.66933160668</v>
      </c>
      <c r="AD56" s="34">
        <f ca="1" t="shared" si="38"/>
        <v>5000</v>
      </c>
      <c r="AE56" s="34">
        <f ca="1" t="shared" si="38"/>
        <v>5000</v>
      </c>
      <c r="AF56" s="34">
        <f ca="1" t="shared" si="38"/>
        <v>5000</v>
      </c>
    </row>
    <row r="57" s="1" customFormat="1" spans="2:32">
      <c r="B57" s="15"/>
      <c r="C57" s="268" t="s">
        <v>776</v>
      </c>
      <c r="D57" s="22">
        <f ca="1">SUM(F57:AF57)</f>
        <v>52583.0434734873</v>
      </c>
      <c r="E57" s="18" t="s">
        <v>24</v>
      </c>
      <c r="F57" s="34"/>
      <c r="G57" s="34"/>
      <c r="H57" s="34"/>
      <c r="I57" s="34"/>
      <c r="J57" s="34">
        <f ca="1">J53-J54</f>
        <v>-1974.52485102332</v>
      </c>
      <c r="K57" s="34">
        <f ca="1" t="shared" ref="K57:O57" si="39">K53-K54</f>
        <v>347.374149788666</v>
      </c>
      <c r="L57" s="34">
        <f ca="1" t="shared" si="39"/>
        <v>1624.38312157249</v>
      </c>
      <c r="M57" s="34">
        <f ca="1" t="shared" si="39"/>
        <v>1322.51752198183</v>
      </c>
      <c r="N57" s="34">
        <f ca="1" t="shared" si="39"/>
        <v>1484.35695118635</v>
      </c>
      <c r="O57" s="34">
        <f ca="1" t="shared" si="39"/>
        <v>1639.77764749117</v>
      </c>
      <c r="P57" s="34">
        <f ca="1" t="shared" ref="P57:AF57" si="40">P53-P54</f>
        <v>1803.06315815817</v>
      </c>
      <c r="Q57" s="34">
        <f ca="1" t="shared" si="40"/>
        <v>1974.55581948367</v>
      </c>
      <c r="R57" s="34">
        <f ca="1" t="shared" si="40"/>
        <v>1592.27308455629</v>
      </c>
      <c r="S57" s="34">
        <f ca="1" t="shared" si="40"/>
        <v>1751.52896992755</v>
      </c>
      <c r="T57" s="34">
        <f ca="1" t="shared" si="40"/>
        <v>1927.88672643916</v>
      </c>
      <c r="U57" s="34">
        <f ca="1" t="shared" si="40"/>
        <v>2112.81042361655</v>
      </c>
      <c r="V57" s="34">
        <f ca="1" t="shared" si="40"/>
        <v>2253.51973288305</v>
      </c>
      <c r="W57" s="34">
        <f ca="1" t="shared" si="40"/>
        <v>2283.00734609999</v>
      </c>
      <c r="X57" s="34">
        <f ca="1" t="shared" si="40"/>
        <v>3147.39037753768</v>
      </c>
      <c r="Y57" s="34">
        <f ca="1" t="shared" si="40"/>
        <v>4025.25659981198</v>
      </c>
      <c r="Z57" s="34">
        <f ca="1" t="shared" si="40"/>
        <v>2496.06967689469</v>
      </c>
      <c r="AA57" s="34">
        <f ca="1" t="shared" si="40"/>
        <v>1728.25275111901</v>
      </c>
      <c r="AB57" s="34">
        <f ca="1" t="shared" si="40"/>
        <v>2249.91906897319</v>
      </c>
      <c r="AC57" s="34">
        <f ca="1" t="shared" si="40"/>
        <v>5982.95978093859</v>
      </c>
      <c r="AD57" s="34">
        <f ca="1" t="shared" si="40"/>
        <v>6763.81224633069</v>
      </c>
      <c r="AE57" s="34">
        <f ca="1" t="shared" si="40"/>
        <v>7030.24068913818</v>
      </c>
      <c r="AF57" s="34">
        <f ca="1" t="shared" si="40"/>
        <v>-983.387519418344</v>
      </c>
    </row>
    <row r="58" s="1" customFormat="1" spans="2:32">
      <c r="B58" s="15"/>
      <c r="C58" s="268" t="s">
        <v>777</v>
      </c>
      <c r="D58" s="22">
        <f ca="1">SUM(F58:AF58)</f>
        <v>0</v>
      </c>
      <c r="E58" s="18" t="s">
        <v>24</v>
      </c>
      <c r="F58" s="34"/>
      <c r="G58" s="34"/>
      <c r="H58" s="34"/>
      <c r="I58" s="34"/>
      <c r="J58" s="34">
        <f ca="1">J57*参数输入表!$I$228</f>
        <v>0</v>
      </c>
      <c r="K58" s="34">
        <f ca="1">K57*参数输入表!$I$228</f>
        <v>0</v>
      </c>
      <c r="L58" s="34">
        <f ca="1">L57*参数输入表!$I$228</f>
        <v>0</v>
      </c>
      <c r="M58" s="34">
        <f ca="1">M57*参数输入表!$I$228</f>
        <v>0</v>
      </c>
      <c r="N58" s="34">
        <f ca="1">N57*参数输入表!$I$228</f>
        <v>0</v>
      </c>
      <c r="O58" s="34">
        <f ca="1">O57*参数输入表!$I$228</f>
        <v>0</v>
      </c>
      <c r="P58" s="34">
        <f ca="1">P57*参数输入表!$I$228</f>
        <v>0</v>
      </c>
      <c r="Q58" s="34">
        <f ca="1">Q57*参数输入表!$I$228</f>
        <v>0</v>
      </c>
      <c r="R58" s="34">
        <f ca="1">R57*参数输入表!$I$228</f>
        <v>0</v>
      </c>
      <c r="S58" s="34">
        <f ca="1">S57*参数输入表!$I$228</f>
        <v>0</v>
      </c>
      <c r="T58" s="34">
        <f ca="1">T57*参数输入表!$I$228</f>
        <v>0</v>
      </c>
      <c r="U58" s="34">
        <f ca="1">U57*参数输入表!$I$228</f>
        <v>0</v>
      </c>
      <c r="V58" s="34">
        <f ca="1">V57*参数输入表!$I$228</f>
        <v>0</v>
      </c>
      <c r="W58" s="34">
        <f ca="1">W57*参数输入表!$I$228</f>
        <v>0</v>
      </c>
      <c r="X58" s="34">
        <f ca="1">X57*参数输入表!$I$228</f>
        <v>0</v>
      </c>
      <c r="Y58" s="34">
        <f ca="1">Y57*参数输入表!$I$228</f>
        <v>0</v>
      </c>
      <c r="Z58" s="34">
        <f ca="1">Z57*参数输入表!$I$228</f>
        <v>0</v>
      </c>
      <c r="AA58" s="34">
        <f ca="1">AA57*参数输入表!$I$228</f>
        <v>0</v>
      </c>
      <c r="AB58" s="34">
        <f ca="1">AB57*参数输入表!$I$228</f>
        <v>0</v>
      </c>
      <c r="AC58" s="34">
        <f ca="1">AC57*参数输入表!$I$228</f>
        <v>0</v>
      </c>
      <c r="AD58" s="34">
        <f ca="1">AD57*参数输入表!$I$228</f>
        <v>0</v>
      </c>
      <c r="AE58" s="34">
        <f ca="1">AE57*参数输入表!$I$228</f>
        <v>0</v>
      </c>
      <c r="AF58" s="34">
        <f ca="1">AF57*参数输入表!$I$228</f>
        <v>0</v>
      </c>
    </row>
    <row r="59" s="1" customFormat="1" spans="2:32">
      <c r="B59" s="15"/>
      <c r="C59" s="30" t="s">
        <v>778</v>
      </c>
      <c r="D59" s="22"/>
      <c r="E59" s="18" t="s">
        <v>24</v>
      </c>
      <c r="F59" s="22"/>
      <c r="G59" s="34"/>
      <c r="H59" s="34"/>
      <c r="I59" s="34"/>
      <c r="J59" s="34">
        <f ca="1" t="shared" ref="J59:Q59" si="41">I59+J58</f>
        <v>0</v>
      </c>
      <c r="K59" s="34">
        <f ca="1" t="shared" si="41"/>
        <v>0</v>
      </c>
      <c r="L59" s="34">
        <f ca="1" t="shared" si="41"/>
        <v>0</v>
      </c>
      <c r="M59" s="34">
        <f ca="1" t="shared" si="41"/>
        <v>0</v>
      </c>
      <c r="N59" s="34">
        <f ca="1" t="shared" si="41"/>
        <v>0</v>
      </c>
      <c r="O59" s="34">
        <f ca="1" t="shared" si="41"/>
        <v>0</v>
      </c>
      <c r="P59" s="34">
        <f ca="1" t="shared" si="41"/>
        <v>0</v>
      </c>
      <c r="Q59" s="34">
        <f ca="1" t="shared" si="41"/>
        <v>0</v>
      </c>
      <c r="R59" s="34">
        <f ca="1" t="shared" ref="R59:AF59" si="42">Q59+R58</f>
        <v>0</v>
      </c>
      <c r="S59" s="34">
        <f ca="1" t="shared" si="42"/>
        <v>0</v>
      </c>
      <c r="T59" s="34">
        <f ca="1" t="shared" si="42"/>
        <v>0</v>
      </c>
      <c r="U59" s="34">
        <f ca="1" t="shared" si="42"/>
        <v>0</v>
      </c>
      <c r="V59" s="34">
        <f ca="1" t="shared" si="42"/>
        <v>0</v>
      </c>
      <c r="W59" s="34">
        <f ca="1" t="shared" si="42"/>
        <v>0</v>
      </c>
      <c r="X59" s="34">
        <f ca="1" t="shared" si="42"/>
        <v>0</v>
      </c>
      <c r="Y59" s="34">
        <f ca="1" t="shared" si="42"/>
        <v>0</v>
      </c>
      <c r="Z59" s="34">
        <f ca="1" t="shared" si="42"/>
        <v>0</v>
      </c>
      <c r="AA59" s="34">
        <f ca="1" t="shared" si="42"/>
        <v>0</v>
      </c>
      <c r="AB59" s="34">
        <f ca="1" t="shared" si="42"/>
        <v>0</v>
      </c>
      <c r="AC59" s="34">
        <f ca="1" t="shared" si="42"/>
        <v>0</v>
      </c>
      <c r="AD59" s="34">
        <f ca="1" t="shared" si="42"/>
        <v>0</v>
      </c>
      <c r="AE59" s="34">
        <f ca="1" t="shared" si="42"/>
        <v>0</v>
      </c>
      <c r="AF59" s="34">
        <f ca="1" t="shared" si="42"/>
        <v>0</v>
      </c>
    </row>
    <row r="60" s="1" customFormat="1" spans="2:32">
      <c r="B60" s="15"/>
      <c r="C60" s="268" t="s">
        <v>779</v>
      </c>
      <c r="D60" s="22">
        <f ca="1">SUM(F60:AF60)</f>
        <v>52583.0434734873</v>
      </c>
      <c r="E60" s="18" t="s">
        <v>24</v>
      </c>
      <c r="F60" s="34"/>
      <c r="G60" s="34"/>
      <c r="H60" s="34"/>
      <c r="I60" s="34"/>
      <c r="J60" s="34">
        <f ca="1" t="shared" ref="J60:O60" si="43">J57-J58</f>
        <v>-1974.52485102332</v>
      </c>
      <c r="K60" s="34">
        <f ca="1" t="shared" si="43"/>
        <v>347.374149788666</v>
      </c>
      <c r="L60" s="34">
        <f ca="1" t="shared" si="43"/>
        <v>1624.38312157249</v>
      </c>
      <c r="M60" s="34">
        <f ca="1" t="shared" si="43"/>
        <v>1322.51752198183</v>
      </c>
      <c r="N60" s="34">
        <f ca="1" t="shared" si="43"/>
        <v>1484.35695118635</v>
      </c>
      <c r="O60" s="34">
        <f ca="1" t="shared" si="43"/>
        <v>1639.77764749117</v>
      </c>
      <c r="P60" s="34">
        <f ca="1" t="shared" ref="P60:AF60" si="44">P57-P58</f>
        <v>1803.06315815817</v>
      </c>
      <c r="Q60" s="34">
        <f ca="1" t="shared" si="44"/>
        <v>1974.55581948367</v>
      </c>
      <c r="R60" s="34">
        <f ca="1" t="shared" si="44"/>
        <v>1592.27308455629</v>
      </c>
      <c r="S60" s="34">
        <f ca="1" t="shared" si="44"/>
        <v>1751.52896992755</v>
      </c>
      <c r="T60" s="34">
        <f ca="1" t="shared" si="44"/>
        <v>1927.88672643916</v>
      </c>
      <c r="U60" s="34">
        <f ca="1" t="shared" si="44"/>
        <v>2112.81042361655</v>
      </c>
      <c r="V60" s="34">
        <f ca="1" t="shared" si="44"/>
        <v>2253.51973288305</v>
      </c>
      <c r="W60" s="34">
        <f ca="1" t="shared" si="44"/>
        <v>2283.00734609999</v>
      </c>
      <c r="X60" s="34">
        <f ca="1" t="shared" si="44"/>
        <v>3147.39037753768</v>
      </c>
      <c r="Y60" s="34">
        <f ca="1" t="shared" si="44"/>
        <v>4025.25659981198</v>
      </c>
      <c r="Z60" s="34">
        <f ca="1" t="shared" si="44"/>
        <v>2496.06967689469</v>
      </c>
      <c r="AA60" s="34">
        <f ca="1" t="shared" si="44"/>
        <v>1728.25275111901</v>
      </c>
      <c r="AB60" s="34">
        <f ca="1" t="shared" si="44"/>
        <v>2249.91906897319</v>
      </c>
      <c r="AC60" s="34">
        <f ca="1" t="shared" si="44"/>
        <v>5982.95978093859</v>
      </c>
      <c r="AD60" s="34">
        <f ca="1" t="shared" si="44"/>
        <v>6763.81224633069</v>
      </c>
      <c r="AE60" s="34">
        <f ca="1" t="shared" si="44"/>
        <v>7030.24068913818</v>
      </c>
      <c r="AF60" s="34">
        <f ca="1" t="shared" si="44"/>
        <v>-983.387519418344</v>
      </c>
    </row>
    <row r="61" s="1" customFormat="1" spans="2:32">
      <c r="B61" s="15"/>
      <c r="C61" s="268" t="s">
        <v>780</v>
      </c>
      <c r="D61" s="22">
        <f ca="1">SUM(F61:AF61)</f>
        <v>-600.187344</v>
      </c>
      <c r="E61" s="18" t="s">
        <v>24</v>
      </c>
      <c r="F61" s="34"/>
      <c r="G61" s="34"/>
      <c r="H61" s="34"/>
      <c r="I61" s="43">
        <f>'表10-资产负债表(标准格式)'!H127</f>
        <v>-600.187344</v>
      </c>
      <c r="J61" s="34">
        <f ca="1">J57-J58-J60</f>
        <v>0</v>
      </c>
      <c r="K61" s="34">
        <f ca="1" t="shared" ref="K61:P61" si="45">K57-K58-K60</f>
        <v>0</v>
      </c>
      <c r="L61" s="34">
        <f ca="1" t="shared" si="45"/>
        <v>0</v>
      </c>
      <c r="M61" s="34">
        <f ca="1" t="shared" si="45"/>
        <v>0</v>
      </c>
      <c r="N61" s="34">
        <f ca="1" t="shared" si="45"/>
        <v>0</v>
      </c>
      <c r="O61" s="34">
        <f ca="1" t="shared" si="45"/>
        <v>0</v>
      </c>
      <c r="P61" s="34">
        <f ca="1" t="shared" si="45"/>
        <v>0</v>
      </c>
      <c r="Q61" s="34">
        <f ca="1" t="shared" ref="Q61:AF61" si="46">Q57-Q58-Q60</f>
        <v>0</v>
      </c>
      <c r="R61" s="34">
        <f ca="1" t="shared" si="46"/>
        <v>0</v>
      </c>
      <c r="S61" s="34">
        <f ca="1" t="shared" si="46"/>
        <v>0</v>
      </c>
      <c r="T61" s="34">
        <f ca="1" t="shared" si="46"/>
        <v>0</v>
      </c>
      <c r="U61" s="34">
        <f ca="1" t="shared" si="46"/>
        <v>0</v>
      </c>
      <c r="V61" s="34">
        <f ca="1" t="shared" si="46"/>
        <v>0</v>
      </c>
      <c r="W61" s="34">
        <f ca="1" t="shared" si="46"/>
        <v>0</v>
      </c>
      <c r="X61" s="34">
        <f ca="1" t="shared" si="46"/>
        <v>0</v>
      </c>
      <c r="Y61" s="34">
        <f ca="1" t="shared" si="46"/>
        <v>0</v>
      </c>
      <c r="Z61" s="34">
        <f ca="1" t="shared" si="46"/>
        <v>0</v>
      </c>
      <c r="AA61" s="34">
        <f ca="1" t="shared" si="46"/>
        <v>0</v>
      </c>
      <c r="AB61" s="34">
        <f ca="1" t="shared" si="46"/>
        <v>0</v>
      </c>
      <c r="AC61" s="34">
        <f ca="1" t="shared" si="46"/>
        <v>0</v>
      </c>
      <c r="AD61" s="34">
        <f ca="1" t="shared" si="46"/>
        <v>0</v>
      </c>
      <c r="AE61" s="34">
        <f ca="1" t="shared" si="46"/>
        <v>0</v>
      </c>
      <c r="AF61" s="34">
        <f ca="1" t="shared" si="46"/>
        <v>0</v>
      </c>
    </row>
    <row r="62" s="1" customFormat="1" spans="2:32">
      <c r="B62" s="15"/>
      <c r="C62" s="30" t="s">
        <v>781</v>
      </c>
      <c r="D62" s="22"/>
      <c r="E62" s="18" t="s">
        <v>24</v>
      </c>
      <c r="F62" s="22"/>
      <c r="G62" s="34"/>
      <c r="H62" s="34"/>
      <c r="I62" s="34"/>
      <c r="J62" s="34">
        <f ca="1">I62+J61</f>
        <v>0</v>
      </c>
      <c r="K62" s="34">
        <f ca="1" t="shared" ref="K62:O62" si="47">J62+K61</f>
        <v>0</v>
      </c>
      <c r="L62" s="34">
        <f ca="1" t="shared" si="47"/>
        <v>0</v>
      </c>
      <c r="M62" s="34">
        <f ca="1" t="shared" si="47"/>
        <v>0</v>
      </c>
      <c r="N62" s="34">
        <f ca="1" t="shared" si="47"/>
        <v>0</v>
      </c>
      <c r="O62" s="34">
        <f ca="1" t="shared" si="47"/>
        <v>0</v>
      </c>
      <c r="P62" s="34">
        <f ca="1" t="shared" ref="P62:AF62" si="48">O62+P61</f>
        <v>0</v>
      </c>
      <c r="Q62" s="34">
        <f ca="1" t="shared" si="48"/>
        <v>0</v>
      </c>
      <c r="R62" s="34">
        <f ca="1" t="shared" si="48"/>
        <v>0</v>
      </c>
      <c r="S62" s="34">
        <f ca="1" t="shared" si="48"/>
        <v>0</v>
      </c>
      <c r="T62" s="34">
        <f ca="1" t="shared" si="48"/>
        <v>0</v>
      </c>
      <c r="U62" s="34">
        <f ca="1" t="shared" si="48"/>
        <v>0</v>
      </c>
      <c r="V62" s="34">
        <f ca="1" t="shared" si="48"/>
        <v>0</v>
      </c>
      <c r="W62" s="34">
        <f ca="1" t="shared" si="48"/>
        <v>0</v>
      </c>
      <c r="X62" s="34">
        <f ca="1" t="shared" si="48"/>
        <v>0</v>
      </c>
      <c r="Y62" s="34">
        <f ca="1" t="shared" si="48"/>
        <v>0</v>
      </c>
      <c r="Z62" s="34">
        <f ca="1" t="shared" si="48"/>
        <v>0</v>
      </c>
      <c r="AA62" s="34">
        <f ca="1" t="shared" si="48"/>
        <v>0</v>
      </c>
      <c r="AB62" s="34">
        <f ca="1" t="shared" si="48"/>
        <v>0</v>
      </c>
      <c r="AC62" s="34">
        <f ca="1" t="shared" si="48"/>
        <v>0</v>
      </c>
      <c r="AD62" s="34">
        <f ca="1" t="shared" si="48"/>
        <v>0</v>
      </c>
      <c r="AE62" s="34">
        <f ca="1" t="shared" si="48"/>
        <v>0</v>
      </c>
      <c r="AF62" s="34">
        <f ca="1" t="shared" si="48"/>
        <v>0</v>
      </c>
    </row>
    <row r="63" s="1" customFormat="1" spans="2:32">
      <c r="B63" s="15"/>
      <c r="C63" s="268" t="s">
        <v>782</v>
      </c>
      <c r="D63" s="22">
        <f ca="1">SUM(F63:AF63)</f>
        <v>131153.01659508</v>
      </c>
      <c r="E63" s="18" t="s">
        <v>24</v>
      </c>
      <c r="F63" s="34"/>
      <c r="G63" s="34"/>
      <c r="H63" s="34"/>
      <c r="I63" s="34"/>
      <c r="J63" s="34">
        <f ca="1">J42+'表1-资金筹措及还本付息表'!J94</f>
        <v>-702.128309411729</v>
      </c>
      <c r="K63" s="34">
        <f ca="1">K42+'表1-资金筹措及还本付息表'!K94</f>
        <v>4237.22678177454</v>
      </c>
      <c r="L63" s="34">
        <f ca="1">L42+'表1-资金筹措及还本付息表'!L94</f>
        <v>7536.86422209775</v>
      </c>
      <c r="M63" s="34">
        <f ca="1">M42+'表1-资金筹措及还本付息表'!M94</f>
        <v>7078.4844762397</v>
      </c>
      <c r="N63" s="34">
        <f ca="1">N42+'表1-资金筹措及还本付息表'!N94</f>
        <v>6964.49860013351</v>
      </c>
      <c r="O63" s="34">
        <f ca="1">O42+'表1-资金筹措及还本付息表'!O94</f>
        <v>6850.51272402731</v>
      </c>
      <c r="P63" s="34">
        <f ca="1">P42+'表1-资金筹措及还本付息表'!P94</f>
        <v>6736.52419305386</v>
      </c>
      <c r="Q63" s="34">
        <f ca="1">Q42+'表1-资金筹措及还本付息表'!Q94</f>
        <v>6622.53831694767</v>
      </c>
      <c r="R63" s="34">
        <f ca="1">R42+'表1-资金筹措及还本付息表'!R94</f>
        <v>6050.99654784338</v>
      </c>
      <c r="S63" s="34">
        <f ca="1">S42+'表1-资金筹措及还本付息表'!S94</f>
        <v>5925.91716980188</v>
      </c>
      <c r="T63" s="34">
        <f ca="1">T42+'表1-资金筹措及还本付息表'!T94</f>
        <v>5814.00429416294</v>
      </c>
      <c r="U63" s="34">
        <f ca="1">U42+'表1-资金筹措及还本付息表'!U94</f>
        <v>5702.08880507267</v>
      </c>
      <c r="V63" s="34">
        <f ca="1">V42+'表1-资金筹措及还本付息表'!V94</f>
        <v>5589.43182863373</v>
      </c>
      <c r="W63" s="34">
        <f ca="1">W42+'表1-资金筹措及还本付息表'!W94</f>
        <v>5298.19401502566</v>
      </c>
      <c r="X63" s="34">
        <f ca="1">X42+'表1-资金筹措及还本付息表'!X94</f>
        <v>6229.43660632493</v>
      </c>
      <c r="Y63" s="34">
        <f ca="1">Y42+'表1-资金筹措及还本付息表'!Y94</f>
        <v>7165.63332606456</v>
      </c>
      <c r="Z63" s="34">
        <f ca="1">Z42+'表1-资金筹措及还本付息表'!Z94</f>
        <v>4520.15851549464</v>
      </c>
      <c r="AA63" s="34">
        <f ca="1">AA42+'表1-资金筹措及还本付息表'!AA94</f>
        <v>2986.29871003624</v>
      </c>
      <c r="AB63" s="34">
        <f ca="1">AB42+'表1-资金筹措及还本付息表'!AB94</f>
        <v>3759.13769944984</v>
      </c>
      <c r="AC63" s="34">
        <f ca="1">AC42+'表1-资金筹措及还本付息表'!AC94</f>
        <v>8884.08411990902</v>
      </c>
      <c r="AD63" s="34">
        <f ca="1">AD42+'表1-资金筹措及还本付息表'!AD94</f>
        <v>9487.29721963202</v>
      </c>
      <c r="AE63" s="34">
        <f ca="1">AE42+'表1-资金筹措及还本付息表'!AE94</f>
        <v>9394.09425218424</v>
      </c>
      <c r="AF63" s="34">
        <f ca="1">AF42+'表1-资金筹措及还本付息表'!AF94</f>
        <v>-978.277519418345</v>
      </c>
    </row>
    <row r="64" s="1" customFormat="1" spans="2:32">
      <c r="B64" s="15"/>
      <c r="C64" s="268" t="s">
        <v>783</v>
      </c>
      <c r="D64" s="22">
        <f ca="1">SUM(F64:AF64)</f>
        <v>258342.300649905</v>
      </c>
      <c r="E64" s="18" t="s">
        <v>24</v>
      </c>
      <c r="F64" s="34"/>
      <c r="G64" s="34"/>
      <c r="H64" s="34"/>
      <c r="I64" s="34"/>
      <c r="J64" s="34">
        <f ca="1">J63+'表2-折旧摊销表'!J110</f>
        <v>342.491871167472</v>
      </c>
      <c r="K64" s="34">
        <f ca="1">K63+'表2-折旧摊销表'!K110</f>
        <v>10504.9478652497</v>
      </c>
      <c r="L64" s="34">
        <f ca="1">L63+'表2-折旧摊销表'!L110</f>
        <v>14500.9987592924</v>
      </c>
      <c r="M64" s="34">
        <f ca="1">M63+'表2-折旧摊销表'!M110</f>
        <v>14134.3621327004</v>
      </c>
      <c r="N64" s="34">
        <f ca="1">N63+'表2-折旧摊销表'!N110</f>
        <v>14020.3762565942</v>
      </c>
      <c r="O64" s="34">
        <f ca="1">O63+'表2-折旧摊销表'!O110</f>
        <v>13906.390380488</v>
      </c>
      <c r="P64" s="34">
        <f ca="1">P63+'表2-折旧摊销表'!P110</f>
        <v>13792.4018495146</v>
      </c>
      <c r="Q64" s="34">
        <f ca="1">Q63+'表2-折旧摊销表'!Q110</f>
        <v>13678.4159734084</v>
      </c>
      <c r="R64" s="34">
        <f ca="1">R63+'表2-折旧摊销表'!R110</f>
        <v>13106.8742043041</v>
      </c>
      <c r="S64" s="34">
        <f ca="1">S63+'表2-折旧摊销表'!S110</f>
        <v>12981.7948262626</v>
      </c>
      <c r="T64" s="34">
        <f ca="1">T63+'表2-折旧摊销表'!T110</f>
        <v>12869.8819506237</v>
      </c>
      <c r="U64" s="34">
        <f ca="1">U63+'表2-折旧摊销表'!U110</f>
        <v>12757.9664615334</v>
      </c>
      <c r="V64" s="34">
        <f ca="1">V63+'表2-折旧摊销表'!V110</f>
        <v>12645.3094850945</v>
      </c>
      <c r="W64" s="34">
        <f ca="1">W63+'表2-折旧摊销表'!W110</f>
        <v>12354.0716714864</v>
      </c>
      <c r="X64" s="34">
        <f ca="1">X63+'表2-折旧摊销表'!X110</f>
        <v>13285.3142627857</v>
      </c>
      <c r="Y64" s="34">
        <f ca="1">Y63+'表2-折旧摊销表'!Y110</f>
        <v>14221.5109825253</v>
      </c>
      <c r="Z64" s="34">
        <f ca="1">Z63+'表2-折旧摊销表'!Z110</f>
        <v>11576.0361719554</v>
      </c>
      <c r="AA64" s="34">
        <f ca="1">AA63+'表2-折旧摊销表'!AA110</f>
        <v>10042.176366497</v>
      </c>
      <c r="AB64" s="34">
        <f ca="1">AB63+'表2-折旧摊销表'!AB110</f>
        <v>9770.39517533136</v>
      </c>
      <c r="AC64" s="34">
        <f ca="1">AC63+'表2-折旧摊销表'!AC110</f>
        <v>9672.24069289454</v>
      </c>
      <c r="AD64" s="34">
        <f ca="1">AD63+'表2-折旧摊销表'!AD110</f>
        <v>9579.04033889808</v>
      </c>
      <c r="AE64" s="34">
        <f ca="1">AE63+'表2-折旧摊销表'!AE110</f>
        <v>9485.83737145029</v>
      </c>
      <c r="AF64" s="34">
        <f ca="1">AF63+'表2-折旧摊销表'!AF110</f>
        <v>-886.53440015229</v>
      </c>
    </row>
    <row r="65" spans="2:32">
      <c r="B65" s="20"/>
      <c r="C65" s="21" t="s">
        <v>784</v>
      </c>
      <c r="D65" s="22"/>
      <c r="E65" s="18" t="s">
        <v>24</v>
      </c>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row>
    <row r="66" spans="2:32">
      <c r="B66" s="48"/>
      <c r="C66" s="225" t="s">
        <v>785</v>
      </c>
      <c r="D66" s="49">
        <f ca="1">SUM(F66:AF66)</f>
        <v>58158.1062534873</v>
      </c>
      <c r="E66" s="54" t="s">
        <v>24</v>
      </c>
      <c r="F66" s="49">
        <f t="shared" ref="F66:AF66" si="49">F51-F67</f>
        <v>0</v>
      </c>
      <c r="G66" s="49">
        <f t="shared" si="49"/>
        <v>0</v>
      </c>
      <c r="H66" s="49">
        <f t="shared" si="49"/>
        <v>0</v>
      </c>
      <c r="I66" s="49">
        <f t="shared" si="49"/>
        <v>0</v>
      </c>
      <c r="J66" s="49">
        <f ca="1" t="shared" si="49"/>
        <v>-1374.33750702332</v>
      </c>
      <c r="K66" s="49">
        <f ca="1" t="shared" si="49"/>
        <v>385.971277542962</v>
      </c>
      <c r="L66" s="49">
        <f ca="1" t="shared" si="49"/>
        <v>1804.87013508054</v>
      </c>
      <c r="M66" s="49">
        <f ca="1" t="shared" si="49"/>
        <v>1469.46391331315</v>
      </c>
      <c r="N66" s="49">
        <f ca="1" t="shared" si="49"/>
        <v>1649.28550131817</v>
      </c>
      <c r="O66" s="49">
        <f ca="1" t="shared" si="49"/>
        <v>1821.97516387908</v>
      </c>
      <c r="P66" s="49">
        <f ca="1" t="shared" si="49"/>
        <v>2003.40350906463</v>
      </c>
      <c r="Q66" s="49">
        <f ca="1" t="shared" si="49"/>
        <v>2193.95091053741</v>
      </c>
      <c r="R66" s="49">
        <f ca="1" t="shared" si="49"/>
        <v>1769.19231617366</v>
      </c>
      <c r="S66" s="49">
        <f ca="1" t="shared" si="49"/>
        <v>1946.14329991951</v>
      </c>
      <c r="T66" s="49">
        <f ca="1" t="shared" si="49"/>
        <v>2142.09636271018</v>
      </c>
      <c r="U66" s="49">
        <f ca="1" t="shared" si="49"/>
        <v>2347.56713735172</v>
      </c>
      <c r="V66" s="49">
        <f ca="1" t="shared" si="49"/>
        <v>2503.9108143145</v>
      </c>
      <c r="W66" s="49">
        <f ca="1" t="shared" si="49"/>
        <v>2536.67482899998</v>
      </c>
      <c r="X66" s="49">
        <f ca="1" t="shared" si="49"/>
        <v>3497.10041948631</v>
      </c>
      <c r="Y66" s="49">
        <f ca="1" t="shared" si="49"/>
        <v>4472.50733312442</v>
      </c>
      <c r="Z66" s="49">
        <f ca="1" t="shared" si="49"/>
        <v>2773.41075210521</v>
      </c>
      <c r="AA66" s="49">
        <f ca="1" t="shared" si="49"/>
        <v>1920.28083457668</v>
      </c>
      <c r="AB66" s="49">
        <f ca="1" t="shared" si="49"/>
        <v>2499.91007663688</v>
      </c>
      <c r="AC66" s="49">
        <f ca="1" t="shared" si="49"/>
        <v>6647.73308993176</v>
      </c>
      <c r="AD66" s="49">
        <f ca="1" t="shared" si="49"/>
        <v>7100.14291472402</v>
      </c>
      <c r="AE66" s="49">
        <f ca="1" t="shared" si="49"/>
        <v>7030.24068913818</v>
      </c>
      <c r="AF66" s="49">
        <f ca="1" t="shared" si="49"/>
        <v>-983.387519418344</v>
      </c>
    </row>
    <row r="67" spans="2:32">
      <c r="B67" s="20"/>
      <c r="C67" s="24" t="s">
        <v>786</v>
      </c>
      <c r="D67" s="22">
        <f>SUM(F67:AF67)</f>
        <v>0</v>
      </c>
      <c r="E67" s="18" t="s">
        <v>24</v>
      </c>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row>
    <row r="68" spans="2:32">
      <c r="B68" s="20"/>
      <c r="C68" s="21" t="s">
        <v>787</v>
      </c>
      <c r="D68" s="22"/>
      <c r="E68" s="18" t="s">
        <v>24</v>
      </c>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row>
    <row r="69" spans="2:32">
      <c r="B69" s="48"/>
      <c r="C69" s="225" t="s">
        <v>788</v>
      </c>
      <c r="D69" s="49">
        <f ca="1" t="shared" ref="D69:D95" si="50">SUM(F69:AF69)</f>
        <v>58158.1062534873</v>
      </c>
      <c r="E69" s="54" t="s">
        <v>24</v>
      </c>
      <c r="F69" s="49">
        <f t="shared" ref="F69:AF69" si="51">F51-F70</f>
        <v>0</v>
      </c>
      <c r="G69" s="49">
        <f t="shared" si="51"/>
        <v>0</v>
      </c>
      <c r="H69" s="49">
        <f t="shared" si="51"/>
        <v>0</v>
      </c>
      <c r="I69" s="49">
        <f t="shared" si="51"/>
        <v>0</v>
      </c>
      <c r="J69" s="49">
        <f ca="1" t="shared" si="51"/>
        <v>-1374.33750702332</v>
      </c>
      <c r="K69" s="49">
        <f ca="1" t="shared" si="51"/>
        <v>385.971277542962</v>
      </c>
      <c r="L69" s="49">
        <f ca="1" t="shared" si="51"/>
        <v>1804.87013508054</v>
      </c>
      <c r="M69" s="49">
        <f ca="1" t="shared" si="51"/>
        <v>1469.46391331315</v>
      </c>
      <c r="N69" s="49">
        <f ca="1" t="shared" si="51"/>
        <v>1649.28550131817</v>
      </c>
      <c r="O69" s="49">
        <f ca="1" t="shared" si="51"/>
        <v>1821.97516387908</v>
      </c>
      <c r="P69" s="49">
        <f ca="1" t="shared" si="51"/>
        <v>2003.40350906463</v>
      </c>
      <c r="Q69" s="49">
        <f ca="1" t="shared" si="51"/>
        <v>2193.95091053741</v>
      </c>
      <c r="R69" s="49">
        <f ca="1" t="shared" si="51"/>
        <v>1769.19231617366</v>
      </c>
      <c r="S69" s="49">
        <f ca="1" t="shared" si="51"/>
        <v>1946.14329991951</v>
      </c>
      <c r="T69" s="49">
        <f ca="1" t="shared" si="51"/>
        <v>2142.09636271018</v>
      </c>
      <c r="U69" s="49">
        <f ca="1" t="shared" si="51"/>
        <v>2347.56713735172</v>
      </c>
      <c r="V69" s="49">
        <f ca="1" t="shared" si="51"/>
        <v>2503.9108143145</v>
      </c>
      <c r="W69" s="49">
        <f ca="1" t="shared" si="51"/>
        <v>2536.67482899998</v>
      </c>
      <c r="X69" s="49">
        <f ca="1" t="shared" si="51"/>
        <v>3497.10041948631</v>
      </c>
      <c r="Y69" s="49">
        <f ca="1" t="shared" si="51"/>
        <v>4472.50733312442</v>
      </c>
      <c r="Z69" s="49">
        <f ca="1" t="shared" si="51"/>
        <v>2773.41075210521</v>
      </c>
      <c r="AA69" s="49">
        <f ca="1" t="shared" si="51"/>
        <v>1920.28083457668</v>
      </c>
      <c r="AB69" s="49">
        <f ca="1" t="shared" si="51"/>
        <v>2499.91007663688</v>
      </c>
      <c r="AC69" s="49">
        <f ca="1" t="shared" si="51"/>
        <v>6647.73308993176</v>
      </c>
      <c r="AD69" s="49">
        <f ca="1" t="shared" si="51"/>
        <v>7100.14291472402</v>
      </c>
      <c r="AE69" s="49">
        <f ca="1" t="shared" si="51"/>
        <v>7030.24068913818</v>
      </c>
      <c r="AF69" s="49">
        <f ca="1" t="shared" si="51"/>
        <v>-983.387519418344</v>
      </c>
    </row>
    <row r="70" spans="2:32">
      <c r="B70" s="20"/>
      <c r="C70" s="24" t="s">
        <v>789</v>
      </c>
      <c r="D70" s="22">
        <f t="shared" si="50"/>
        <v>0</v>
      </c>
      <c r="E70" s="18" t="s">
        <v>24</v>
      </c>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row>
    <row r="71" s="1" customFormat="1" spans="2:32">
      <c r="B71" s="52" t="s">
        <v>790</v>
      </c>
      <c r="C71" s="53" t="s">
        <v>791</v>
      </c>
      <c r="D71" s="49">
        <f t="shared" si="50"/>
        <v>0</v>
      </c>
      <c r="E71" s="54" t="s">
        <v>24</v>
      </c>
      <c r="F71" s="49">
        <f t="shared" ref="F71:AF71" si="52">F72+F89</f>
        <v>0</v>
      </c>
      <c r="G71" s="49">
        <f t="shared" si="52"/>
        <v>0</v>
      </c>
      <c r="H71" s="49">
        <f t="shared" si="52"/>
        <v>0</v>
      </c>
      <c r="I71" s="49">
        <f t="shared" si="52"/>
        <v>0</v>
      </c>
      <c r="J71" s="49">
        <f t="shared" si="52"/>
        <v>0</v>
      </c>
      <c r="K71" s="49">
        <f t="shared" si="52"/>
        <v>0</v>
      </c>
      <c r="L71" s="49">
        <f t="shared" si="52"/>
        <v>0</v>
      </c>
      <c r="M71" s="49">
        <f t="shared" si="52"/>
        <v>0</v>
      </c>
      <c r="N71" s="49">
        <f t="shared" si="52"/>
        <v>0</v>
      </c>
      <c r="O71" s="49">
        <f t="shared" si="52"/>
        <v>0</v>
      </c>
      <c r="P71" s="49">
        <f t="shared" si="52"/>
        <v>0</v>
      </c>
      <c r="Q71" s="49">
        <f t="shared" si="52"/>
        <v>0</v>
      </c>
      <c r="R71" s="49">
        <f t="shared" si="52"/>
        <v>0</v>
      </c>
      <c r="S71" s="49">
        <f t="shared" si="52"/>
        <v>0</v>
      </c>
      <c r="T71" s="49">
        <f t="shared" si="52"/>
        <v>0</v>
      </c>
      <c r="U71" s="49">
        <f t="shared" si="52"/>
        <v>0</v>
      </c>
      <c r="V71" s="49">
        <f t="shared" si="52"/>
        <v>0</v>
      </c>
      <c r="W71" s="49">
        <f t="shared" si="52"/>
        <v>0</v>
      </c>
      <c r="X71" s="49">
        <f t="shared" si="52"/>
        <v>0</v>
      </c>
      <c r="Y71" s="49">
        <f t="shared" si="52"/>
        <v>0</v>
      </c>
      <c r="Z71" s="49">
        <f t="shared" si="52"/>
        <v>0</v>
      </c>
      <c r="AA71" s="49">
        <f t="shared" si="52"/>
        <v>0</v>
      </c>
      <c r="AB71" s="49">
        <f t="shared" si="52"/>
        <v>0</v>
      </c>
      <c r="AC71" s="49">
        <f t="shared" si="52"/>
        <v>0</v>
      </c>
      <c r="AD71" s="49">
        <f t="shared" si="52"/>
        <v>0</v>
      </c>
      <c r="AE71" s="49">
        <f t="shared" si="52"/>
        <v>0</v>
      </c>
      <c r="AF71" s="49">
        <f t="shared" si="52"/>
        <v>0</v>
      </c>
    </row>
    <row r="72" spans="2:32">
      <c r="B72" s="48"/>
      <c r="C72" s="270" t="s">
        <v>792</v>
      </c>
      <c r="D72" s="49">
        <f t="shared" si="50"/>
        <v>0</v>
      </c>
      <c r="E72" s="54" t="s">
        <v>24</v>
      </c>
      <c r="F72" s="49">
        <f t="shared" ref="F72:AF72" si="53">F73+F79</f>
        <v>0</v>
      </c>
      <c r="G72" s="49">
        <f t="shared" si="53"/>
        <v>0</v>
      </c>
      <c r="H72" s="49">
        <f t="shared" si="53"/>
        <v>0</v>
      </c>
      <c r="I72" s="49">
        <f t="shared" si="53"/>
        <v>0</v>
      </c>
      <c r="J72" s="49">
        <f t="shared" si="53"/>
        <v>0</v>
      </c>
      <c r="K72" s="49">
        <f t="shared" si="53"/>
        <v>0</v>
      </c>
      <c r="L72" s="49">
        <f t="shared" si="53"/>
        <v>0</v>
      </c>
      <c r="M72" s="49">
        <f t="shared" si="53"/>
        <v>0</v>
      </c>
      <c r="N72" s="49">
        <f t="shared" si="53"/>
        <v>0</v>
      </c>
      <c r="O72" s="49">
        <f t="shared" si="53"/>
        <v>0</v>
      </c>
      <c r="P72" s="49">
        <f t="shared" si="53"/>
        <v>0</v>
      </c>
      <c r="Q72" s="49">
        <f t="shared" si="53"/>
        <v>0</v>
      </c>
      <c r="R72" s="49">
        <f t="shared" si="53"/>
        <v>0</v>
      </c>
      <c r="S72" s="49">
        <f t="shared" si="53"/>
        <v>0</v>
      </c>
      <c r="T72" s="49">
        <f t="shared" si="53"/>
        <v>0</v>
      </c>
      <c r="U72" s="49">
        <f t="shared" si="53"/>
        <v>0</v>
      </c>
      <c r="V72" s="49">
        <f t="shared" si="53"/>
        <v>0</v>
      </c>
      <c r="W72" s="49">
        <f t="shared" si="53"/>
        <v>0</v>
      </c>
      <c r="X72" s="49">
        <f t="shared" si="53"/>
        <v>0</v>
      </c>
      <c r="Y72" s="49">
        <f t="shared" si="53"/>
        <v>0</v>
      </c>
      <c r="Z72" s="49">
        <f t="shared" si="53"/>
        <v>0</v>
      </c>
      <c r="AA72" s="49">
        <f t="shared" si="53"/>
        <v>0</v>
      </c>
      <c r="AB72" s="49">
        <f t="shared" si="53"/>
        <v>0</v>
      </c>
      <c r="AC72" s="49">
        <f t="shared" si="53"/>
        <v>0</v>
      </c>
      <c r="AD72" s="49">
        <f t="shared" si="53"/>
        <v>0</v>
      </c>
      <c r="AE72" s="49">
        <f t="shared" si="53"/>
        <v>0</v>
      </c>
      <c r="AF72" s="49">
        <f t="shared" si="53"/>
        <v>0</v>
      </c>
    </row>
    <row r="73" spans="2:32">
      <c r="B73" s="48"/>
      <c r="C73" s="270" t="s">
        <v>793</v>
      </c>
      <c r="D73" s="49">
        <f t="shared" si="50"/>
        <v>0</v>
      </c>
      <c r="E73" s="54" t="s">
        <v>24</v>
      </c>
      <c r="F73" s="49">
        <f t="shared" ref="F73:AF73" si="54">SUM(F74:F78)</f>
        <v>0</v>
      </c>
      <c r="G73" s="49">
        <f t="shared" si="54"/>
        <v>0</v>
      </c>
      <c r="H73" s="49">
        <f t="shared" si="54"/>
        <v>0</v>
      </c>
      <c r="I73" s="49">
        <f t="shared" si="54"/>
        <v>0</v>
      </c>
      <c r="J73" s="49">
        <f t="shared" si="54"/>
        <v>0</v>
      </c>
      <c r="K73" s="49">
        <f t="shared" si="54"/>
        <v>0</v>
      </c>
      <c r="L73" s="49">
        <f t="shared" si="54"/>
        <v>0</v>
      </c>
      <c r="M73" s="49">
        <f t="shared" si="54"/>
        <v>0</v>
      </c>
      <c r="N73" s="49">
        <f t="shared" si="54"/>
        <v>0</v>
      </c>
      <c r="O73" s="49">
        <f t="shared" si="54"/>
        <v>0</v>
      </c>
      <c r="P73" s="49">
        <f t="shared" si="54"/>
        <v>0</v>
      </c>
      <c r="Q73" s="49">
        <f t="shared" si="54"/>
        <v>0</v>
      </c>
      <c r="R73" s="49">
        <f t="shared" si="54"/>
        <v>0</v>
      </c>
      <c r="S73" s="49">
        <f t="shared" si="54"/>
        <v>0</v>
      </c>
      <c r="T73" s="49">
        <f t="shared" si="54"/>
        <v>0</v>
      </c>
      <c r="U73" s="49">
        <f t="shared" si="54"/>
        <v>0</v>
      </c>
      <c r="V73" s="49">
        <f t="shared" si="54"/>
        <v>0</v>
      </c>
      <c r="W73" s="49">
        <f t="shared" si="54"/>
        <v>0</v>
      </c>
      <c r="X73" s="49">
        <f t="shared" si="54"/>
        <v>0</v>
      </c>
      <c r="Y73" s="49">
        <f t="shared" si="54"/>
        <v>0</v>
      </c>
      <c r="Z73" s="49">
        <f t="shared" si="54"/>
        <v>0</v>
      </c>
      <c r="AA73" s="49">
        <f t="shared" si="54"/>
        <v>0</v>
      </c>
      <c r="AB73" s="49">
        <f t="shared" si="54"/>
        <v>0</v>
      </c>
      <c r="AC73" s="49">
        <f t="shared" si="54"/>
        <v>0</v>
      </c>
      <c r="AD73" s="49">
        <f t="shared" si="54"/>
        <v>0</v>
      </c>
      <c r="AE73" s="49">
        <f t="shared" si="54"/>
        <v>0</v>
      </c>
      <c r="AF73" s="49">
        <f t="shared" si="54"/>
        <v>0</v>
      </c>
    </row>
    <row r="74" spans="2:32">
      <c r="B74" s="20"/>
      <c r="C74" s="26" t="s">
        <v>794</v>
      </c>
      <c r="D74" s="22">
        <f t="shared" si="50"/>
        <v>0</v>
      </c>
      <c r="E74" s="18" t="s">
        <v>24</v>
      </c>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row>
    <row r="75" spans="2:32">
      <c r="B75" s="20"/>
      <c r="C75" s="26" t="s">
        <v>795</v>
      </c>
      <c r="D75" s="22">
        <f t="shared" si="50"/>
        <v>0</v>
      </c>
      <c r="E75" s="18" t="s">
        <v>24</v>
      </c>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row>
    <row r="76" spans="2:32">
      <c r="B76" s="20"/>
      <c r="C76" s="26" t="s">
        <v>796</v>
      </c>
      <c r="D76" s="22">
        <f t="shared" si="50"/>
        <v>0</v>
      </c>
      <c r="E76" s="18" t="s">
        <v>24</v>
      </c>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row>
    <row r="77" spans="2:32">
      <c r="B77" s="20"/>
      <c r="C77" s="26" t="s">
        <v>797</v>
      </c>
      <c r="D77" s="22">
        <f t="shared" si="50"/>
        <v>0</v>
      </c>
      <c r="E77" s="18" t="s">
        <v>24</v>
      </c>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row>
    <row r="78" spans="2:32">
      <c r="B78" s="20"/>
      <c r="C78" s="26" t="s">
        <v>798</v>
      </c>
      <c r="D78" s="22">
        <f t="shared" si="50"/>
        <v>0</v>
      </c>
      <c r="E78" s="18" t="s">
        <v>24</v>
      </c>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row>
    <row r="79" spans="2:32">
      <c r="B79" s="48"/>
      <c r="C79" s="270" t="s">
        <v>799</v>
      </c>
      <c r="D79" s="49">
        <f t="shared" si="50"/>
        <v>0</v>
      </c>
      <c r="E79" s="54" t="s">
        <v>24</v>
      </c>
      <c r="F79" s="49">
        <f t="shared" ref="F79:AF79" si="55">SUM(F80:F88)</f>
        <v>0</v>
      </c>
      <c r="G79" s="49">
        <f t="shared" si="55"/>
        <v>0</v>
      </c>
      <c r="H79" s="49">
        <f t="shared" si="55"/>
        <v>0</v>
      </c>
      <c r="I79" s="49">
        <f t="shared" si="55"/>
        <v>0</v>
      </c>
      <c r="J79" s="49">
        <f t="shared" si="55"/>
        <v>0</v>
      </c>
      <c r="K79" s="49">
        <f t="shared" si="55"/>
        <v>0</v>
      </c>
      <c r="L79" s="49">
        <f t="shared" si="55"/>
        <v>0</v>
      </c>
      <c r="M79" s="49">
        <f t="shared" si="55"/>
        <v>0</v>
      </c>
      <c r="N79" s="49">
        <f t="shared" si="55"/>
        <v>0</v>
      </c>
      <c r="O79" s="49">
        <f t="shared" si="55"/>
        <v>0</v>
      </c>
      <c r="P79" s="49">
        <f t="shared" si="55"/>
        <v>0</v>
      </c>
      <c r="Q79" s="49">
        <f t="shared" si="55"/>
        <v>0</v>
      </c>
      <c r="R79" s="49">
        <f t="shared" si="55"/>
        <v>0</v>
      </c>
      <c r="S79" s="49">
        <f t="shared" si="55"/>
        <v>0</v>
      </c>
      <c r="T79" s="49">
        <f t="shared" si="55"/>
        <v>0</v>
      </c>
      <c r="U79" s="49">
        <f t="shared" si="55"/>
        <v>0</v>
      </c>
      <c r="V79" s="49">
        <f t="shared" si="55"/>
        <v>0</v>
      </c>
      <c r="W79" s="49">
        <f t="shared" si="55"/>
        <v>0</v>
      </c>
      <c r="X79" s="49">
        <f t="shared" si="55"/>
        <v>0</v>
      </c>
      <c r="Y79" s="49">
        <f t="shared" si="55"/>
        <v>0</v>
      </c>
      <c r="Z79" s="49">
        <f t="shared" si="55"/>
        <v>0</v>
      </c>
      <c r="AA79" s="49">
        <f t="shared" si="55"/>
        <v>0</v>
      </c>
      <c r="AB79" s="49">
        <f t="shared" si="55"/>
        <v>0</v>
      </c>
      <c r="AC79" s="49">
        <f t="shared" si="55"/>
        <v>0</v>
      </c>
      <c r="AD79" s="49">
        <f t="shared" si="55"/>
        <v>0</v>
      </c>
      <c r="AE79" s="49">
        <f t="shared" si="55"/>
        <v>0</v>
      </c>
      <c r="AF79" s="49">
        <f t="shared" si="55"/>
        <v>0</v>
      </c>
    </row>
    <row r="80" spans="2:32">
      <c r="B80" s="20"/>
      <c r="C80" s="25" t="s">
        <v>800</v>
      </c>
      <c r="D80" s="22">
        <f t="shared" si="50"/>
        <v>0</v>
      </c>
      <c r="E80" s="18" t="s">
        <v>24</v>
      </c>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row>
    <row r="81" spans="2:32">
      <c r="B81" s="20"/>
      <c r="C81" s="25" t="s">
        <v>801</v>
      </c>
      <c r="D81" s="22">
        <f t="shared" si="50"/>
        <v>0</v>
      </c>
      <c r="E81" s="18" t="s">
        <v>24</v>
      </c>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row>
    <row r="82" spans="2:32">
      <c r="B82" s="20"/>
      <c r="C82" s="25" t="s">
        <v>802</v>
      </c>
      <c r="D82" s="22">
        <f t="shared" si="50"/>
        <v>0</v>
      </c>
      <c r="E82" s="18" t="s">
        <v>24</v>
      </c>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row>
    <row r="83" spans="2:32">
      <c r="B83" s="20"/>
      <c r="C83" s="25" t="s">
        <v>803</v>
      </c>
      <c r="D83" s="22">
        <f t="shared" si="50"/>
        <v>0</v>
      </c>
      <c r="E83" s="18" t="s">
        <v>24</v>
      </c>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row>
    <row r="84" spans="2:32">
      <c r="B84" s="20"/>
      <c r="C84" s="25" t="s">
        <v>804</v>
      </c>
      <c r="D84" s="22">
        <f t="shared" si="50"/>
        <v>0</v>
      </c>
      <c r="E84" s="18" t="s">
        <v>24</v>
      </c>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row>
    <row r="85" spans="2:32">
      <c r="B85" s="20"/>
      <c r="C85" s="25" t="s">
        <v>805</v>
      </c>
      <c r="D85" s="22">
        <f t="shared" si="50"/>
        <v>0</v>
      </c>
      <c r="E85" s="18" t="s">
        <v>24</v>
      </c>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row>
    <row r="86" spans="2:32">
      <c r="B86" s="20"/>
      <c r="C86" s="25" t="s">
        <v>806</v>
      </c>
      <c r="D86" s="22">
        <f t="shared" si="50"/>
        <v>0</v>
      </c>
      <c r="E86" s="18" t="s">
        <v>24</v>
      </c>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row>
    <row r="87" spans="2:32">
      <c r="B87" s="20"/>
      <c r="C87" s="25" t="s">
        <v>807</v>
      </c>
      <c r="D87" s="22">
        <f t="shared" si="50"/>
        <v>0</v>
      </c>
      <c r="E87" s="18" t="s">
        <v>24</v>
      </c>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row>
    <row r="88" spans="2:32">
      <c r="B88" s="20"/>
      <c r="C88" s="25" t="s">
        <v>808</v>
      </c>
      <c r="D88" s="22">
        <f t="shared" si="50"/>
        <v>0</v>
      </c>
      <c r="E88" s="18" t="s">
        <v>24</v>
      </c>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row>
    <row r="89" spans="2:32">
      <c r="B89" s="20"/>
      <c r="C89" s="21" t="s">
        <v>809</v>
      </c>
      <c r="D89" s="22">
        <f t="shared" si="50"/>
        <v>0</v>
      </c>
      <c r="E89" s="18" t="s">
        <v>24</v>
      </c>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row>
    <row r="90" s="1" customFormat="1" spans="2:32">
      <c r="B90" s="52" t="s">
        <v>810</v>
      </c>
      <c r="C90" s="53" t="s">
        <v>811</v>
      </c>
      <c r="D90" s="49">
        <f ca="1" t="shared" si="50"/>
        <v>58158.1062534873</v>
      </c>
      <c r="E90" s="54" t="s">
        <v>24</v>
      </c>
      <c r="F90" s="49">
        <f t="shared" ref="F90:AF90" si="56">F51+F71</f>
        <v>0</v>
      </c>
      <c r="G90" s="49">
        <f t="shared" si="56"/>
        <v>0</v>
      </c>
      <c r="H90" s="49">
        <f t="shared" si="56"/>
        <v>0</v>
      </c>
      <c r="I90" s="49">
        <f t="shared" si="56"/>
        <v>0</v>
      </c>
      <c r="J90" s="49">
        <f ca="1" t="shared" si="56"/>
        <v>-1374.33750702332</v>
      </c>
      <c r="K90" s="49">
        <f ca="1" t="shared" si="56"/>
        <v>385.971277542962</v>
      </c>
      <c r="L90" s="49">
        <f ca="1" t="shared" si="56"/>
        <v>1804.87013508054</v>
      </c>
      <c r="M90" s="49">
        <f ca="1" t="shared" si="56"/>
        <v>1469.46391331315</v>
      </c>
      <c r="N90" s="49">
        <f ca="1" t="shared" si="56"/>
        <v>1649.28550131817</v>
      </c>
      <c r="O90" s="49">
        <f ca="1" t="shared" si="56"/>
        <v>1821.97516387908</v>
      </c>
      <c r="P90" s="49">
        <f ca="1" t="shared" si="56"/>
        <v>2003.40350906463</v>
      </c>
      <c r="Q90" s="49">
        <f ca="1" t="shared" si="56"/>
        <v>2193.95091053741</v>
      </c>
      <c r="R90" s="49">
        <f ca="1" t="shared" si="56"/>
        <v>1769.19231617366</v>
      </c>
      <c r="S90" s="49">
        <f ca="1" t="shared" si="56"/>
        <v>1946.14329991951</v>
      </c>
      <c r="T90" s="49">
        <f ca="1" t="shared" si="56"/>
        <v>2142.09636271018</v>
      </c>
      <c r="U90" s="49">
        <f ca="1" t="shared" si="56"/>
        <v>2347.56713735172</v>
      </c>
      <c r="V90" s="49">
        <f ca="1" t="shared" si="56"/>
        <v>2503.9108143145</v>
      </c>
      <c r="W90" s="49">
        <f ca="1" t="shared" si="56"/>
        <v>2536.67482899998</v>
      </c>
      <c r="X90" s="49">
        <f ca="1" t="shared" si="56"/>
        <v>3497.10041948631</v>
      </c>
      <c r="Y90" s="49">
        <f ca="1" t="shared" si="56"/>
        <v>4472.50733312442</v>
      </c>
      <c r="Z90" s="49">
        <f ca="1" t="shared" si="56"/>
        <v>2773.41075210521</v>
      </c>
      <c r="AA90" s="49">
        <f ca="1" t="shared" si="56"/>
        <v>1920.28083457668</v>
      </c>
      <c r="AB90" s="49">
        <f ca="1" t="shared" si="56"/>
        <v>2499.91007663688</v>
      </c>
      <c r="AC90" s="49">
        <f ca="1" t="shared" si="56"/>
        <v>6647.73308993176</v>
      </c>
      <c r="AD90" s="49">
        <f ca="1" t="shared" si="56"/>
        <v>7100.14291472402</v>
      </c>
      <c r="AE90" s="49">
        <f ca="1" t="shared" si="56"/>
        <v>7030.24068913818</v>
      </c>
      <c r="AF90" s="49">
        <f ca="1" t="shared" si="56"/>
        <v>-983.387519418344</v>
      </c>
    </row>
    <row r="91" spans="2:32">
      <c r="B91" s="48"/>
      <c r="C91" s="270" t="s">
        <v>812</v>
      </c>
      <c r="D91" s="49">
        <f ca="1" t="shared" si="50"/>
        <v>58158.1062534873</v>
      </c>
      <c r="E91" s="54" t="s">
        <v>24</v>
      </c>
      <c r="F91" s="49">
        <f t="shared" ref="F91:AF91" si="57">F90-F92</f>
        <v>0</v>
      </c>
      <c r="G91" s="49">
        <f t="shared" si="57"/>
        <v>0</v>
      </c>
      <c r="H91" s="49">
        <f t="shared" si="57"/>
        <v>0</v>
      </c>
      <c r="I91" s="49">
        <f t="shared" si="57"/>
        <v>0</v>
      </c>
      <c r="J91" s="49">
        <f ca="1" t="shared" si="57"/>
        <v>-1374.33750702332</v>
      </c>
      <c r="K91" s="49">
        <f ca="1" t="shared" si="57"/>
        <v>385.971277542962</v>
      </c>
      <c r="L91" s="49">
        <f ca="1" t="shared" si="57"/>
        <v>1804.87013508054</v>
      </c>
      <c r="M91" s="49">
        <f ca="1" t="shared" si="57"/>
        <v>1469.46391331315</v>
      </c>
      <c r="N91" s="49">
        <f ca="1" t="shared" si="57"/>
        <v>1649.28550131817</v>
      </c>
      <c r="O91" s="49">
        <f ca="1" t="shared" si="57"/>
        <v>1821.97516387908</v>
      </c>
      <c r="P91" s="49">
        <f ca="1" t="shared" si="57"/>
        <v>2003.40350906463</v>
      </c>
      <c r="Q91" s="49">
        <f ca="1" t="shared" si="57"/>
        <v>2193.95091053741</v>
      </c>
      <c r="R91" s="49">
        <f ca="1" t="shared" si="57"/>
        <v>1769.19231617366</v>
      </c>
      <c r="S91" s="49">
        <f ca="1" t="shared" si="57"/>
        <v>1946.14329991951</v>
      </c>
      <c r="T91" s="49">
        <f ca="1" t="shared" si="57"/>
        <v>2142.09636271018</v>
      </c>
      <c r="U91" s="49">
        <f ca="1" t="shared" si="57"/>
        <v>2347.56713735172</v>
      </c>
      <c r="V91" s="49">
        <f ca="1" t="shared" si="57"/>
        <v>2503.9108143145</v>
      </c>
      <c r="W91" s="49">
        <f ca="1" t="shared" si="57"/>
        <v>2536.67482899998</v>
      </c>
      <c r="X91" s="49">
        <f ca="1" t="shared" si="57"/>
        <v>3497.10041948631</v>
      </c>
      <c r="Y91" s="49">
        <f ca="1" t="shared" si="57"/>
        <v>4472.50733312442</v>
      </c>
      <c r="Z91" s="49">
        <f ca="1" t="shared" si="57"/>
        <v>2773.41075210521</v>
      </c>
      <c r="AA91" s="49">
        <f ca="1" t="shared" si="57"/>
        <v>1920.28083457668</v>
      </c>
      <c r="AB91" s="49">
        <f ca="1" t="shared" si="57"/>
        <v>2499.91007663688</v>
      </c>
      <c r="AC91" s="49">
        <f ca="1" t="shared" si="57"/>
        <v>6647.73308993176</v>
      </c>
      <c r="AD91" s="49">
        <f ca="1" t="shared" si="57"/>
        <v>7100.14291472402</v>
      </c>
      <c r="AE91" s="49">
        <f ca="1" t="shared" si="57"/>
        <v>7030.24068913818</v>
      </c>
      <c r="AF91" s="49">
        <f ca="1" t="shared" si="57"/>
        <v>-983.387519418344</v>
      </c>
    </row>
    <row r="92" spans="2:32">
      <c r="B92" s="20"/>
      <c r="C92" s="21" t="s">
        <v>813</v>
      </c>
      <c r="D92" s="22">
        <f t="shared" si="50"/>
        <v>0</v>
      </c>
      <c r="E92" s="18" t="s">
        <v>24</v>
      </c>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row>
    <row r="93" s="1" customFormat="1" spans="2:32">
      <c r="B93" s="52" t="s">
        <v>814</v>
      </c>
      <c r="C93" s="53" t="s">
        <v>815</v>
      </c>
      <c r="D93" s="49">
        <f t="shared" si="50"/>
        <v>0</v>
      </c>
      <c r="E93" s="54" t="s">
        <v>24</v>
      </c>
      <c r="F93" s="49">
        <f t="shared" ref="F93:AF93" si="58">F94+F95</f>
        <v>0</v>
      </c>
      <c r="G93" s="49">
        <f t="shared" si="58"/>
        <v>0</v>
      </c>
      <c r="H93" s="49">
        <f t="shared" si="58"/>
        <v>0</v>
      </c>
      <c r="I93" s="49">
        <f t="shared" si="58"/>
        <v>0</v>
      </c>
      <c r="J93" s="49">
        <f t="shared" si="58"/>
        <v>0</v>
      </c>
      <c r="K93" s="49">
        <f t="shared" si="58"/>
        <v>0</v>
      </c>
      <c r="L93" s="49">
        <f t="shared" si="58"/>
        <v>0</v>
      </c>
      <c r="M93" s="49">
        <f t="shared" si="58"/>
        <v>0</v>
      </c>
      <c r="N93" s="49">
        <f t="shared" si="58"/>
        <v>0</v>
      </c>
      <c r="O93" s="49">
        <f t="shared" si="58"/>
        <v>0</v>
      </c>
      <c r="P93" s="49">
        <f t="shared" si="58"/>
        <v>0</v>
      </c>
      <c r="Q93" s="49">
        <f t="shared" si="58"/>
        <v>0</v>
      </c>
      <c r="R93" s="49">
        <f t="shared" si="58"/>
        <v>0</v>
      </c>
      <c r="S93" s="49">
        <f t="shared" si="58"/>
        <v>0</v>
      </c>
      <c r="T93" s="49">
        <f t="shared" si="58"/>
        <v>0</v>
      </c>
      <c r="U93" s="49">
        <f t="shared" si="58"/>
        <v>0</v>
      </c>
      <c r="V93" s="49">
        <f t="shared" si="58"/>
        <v>0</v>
      </c>
      <c r="W93" s="49">
        <f t="shared" si="58"/>
        <v>0</v>
      </c>
      <c r="X93" s="49">
        <f t="shared" si="58"/>
        <v>0</v>
      </c>
      <c r="Y93" s="49">
        <f t="shared" si="58"/>
        <v>0</v>
      </c>
      <c r="Z93" s="49">
        <f t="shared" si="58"/>
        <v>0</v>
      </c>
      <c r="AA93" s="49">
        <f t="shared" si="58"/>
        <v>0</v>
      </c>
      <c r="AB93" s="49">
        <f t="shared" si="58"/>
        <v>0</v>
      </c>
      <c r="AC93" s="49">
        <f t="shared" si="58"/>
        <v>0</v>
      </c>
      <c r="AD93" s="49">
        <f t="shared" si="58"/>
        <v>0</v>
      </c>
      <c r="AE93" s="49">
        <f t="shared" si="58"/>
        <v>0</v>
      </c>
      <c r="AF93" s="49">
        <f t="shared" si="58"/>
        <v>0</v>
      </c>
    </row>
    <row r="94" spans="2:32">
      <c r="B94" s="20"/>
      <c r="C94" s="21" t="s">
        <v>816</v>
      </c>
      <c r="D94" s="22">
        <f t="shared" si="50"/>
        <v>0</v>
      </c>
      <c r="E94" s="18" t="s">
        <v>24</v>
      </c>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row>
    <row r="95" ht="17.25" spans="2:32">
      <c r="B95" s="55"/>
      <c r="C95" s="56" t="s">
        <v>817</v>
      </c>
      <c r="D95" s="57">
        <f t="shared" si="50"/>
        <v>0</v>
      </c>
      <c r="E95" s="58" t="s">
        <v>24</v>
      </c>
      <c r="F95" s="57"/>
      <c r="G95" s="57"/>
      <c r="H95" s="57"/>
      <c r="I95" s="57"/>
      <c r="J95" s="57"/>
      <c r="K95" s="57"/>
      <c r="L95" s="57"/>
      <c r="M95" s="57"/>
      <c r="N95" s="57"/>
      <c r="O95" s="57"/>
      <c r="P95" s="57"/>
      <c r="Q95" s="57"/>
      <c r="R95" s="57"/>
      <c r="S95" s="57"/>
      <c r="T95" s="57"/>
      <c r="U95" s="57"/>
      <c r="V95" s="57"/>
      <c r="W95" s="57"/>
      <c r="X95" s="57"/>
      <c r="Y95" s="57"/>
      <c r="Z95" s="57"/>
      <c r="AA95" s="57"/>
      <c r="AB95" s="57"/>
      <c r="AC95" s="57"/>
      <c r="AD95" s="57"/>
      <c r="AE95" s="57"/>
      <c r="AF95" s="57"/>
    </row>
    <row r="99" ht="21.5" spans="3:3">
      <c r="C99" s="59" t="s">
        <v>818</v>
      </c>
    </row>
    <row r="100" ht="21.5" spans="3:3">
      <c r="C100" s="59" t="s">
        <v>819</v>
      </c>
    </row>
    <row r="101" ht="21.5" spans="3:3">
      <c r="C101" s="59" t="s">
        <v>820</v>
      </c>
    </row>
  </sheetData>
  <mergeCells count="4">
    <mergeCell ref="B3:B4"/>
    <mergeCell ref="C3:C4"/>
    <mergeCell ref="D3:D4"/>
    <mergeCell ref="E3:E4"/>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B1:AF52"/>
  <sheetViews>
    <sheetView showGridLines="0" zoomScale="70" zoomScaleNormal="70" topLeftCell="A16" workbookViewId="0">
      <selection activeCell="D41" sqref="D41"/>
    </sheetView>
  </sheetViews>
  <sheetFormatPr defaultColWidth="8.78181818181818" defaultRowHeight="16.5"/>
  <cols>
    <col min="1" max="1" width="2.33636363636364" style="4" customWidth="1"/>
    <col min="2" max="2" width="8.78181818181818" style="5"/>
    <col min="3" max="3" width="31" style="4" customWidth="1"/>
    <col min="4" max="4" width="14.2181818181818" style="4" customWidth="1"/>
    <col min="5" max="5" width="8.78181818181818" style="4"/>
    <col min="6" max="6" width="14.6636363636364" style="4" customWidth="1"/>
    <col min="7" max="13" width="15.3363636363636" style="4" customWidth="1"/>
    <col min="14" max="18" width="14.6636363636364" style="4" customWidth="1"/>
    <col min="19" max="22" width="13.5545454545455" style="4" customWidth="1"/>
    <col min="23" max="26" width="14.6636363636364" style="4" customWidth="1"/>
    <col min="27" max="32" width="13.5545454545455" style="4" customWidth="1"/>
    <col min="33" max="16384" width="8.78181818181818" style="4"/>
  </cols>
  <sheetData>
    <row r="1" ht="7.05" customHeight="1"/>
    <row r="2" ht="21" customHeight="1" spans="2:2">
      <c r="B2" s="222" t="s">
        <v>821</v>
      </c>
    </row>
    <row r="3" spans="2:32">
      <c r="B3" s="234" t="s">
        <v>15</v>
      </c>
      <c r="C3" s="9" t="s">
        <v>463</v>
      </c>
      <c r="D3" s="9" t="s">
        <v>17</v>
      </c>
      <c r="E3" s="9" t="s">
        <v>18</v>
      </c>
      <c r="F3" s="10" t="s">
        <v>464</v>
      </c>
      <c r="G3" s="10" t="s">
        <v>465</v>
      </c>
      <c r="H3" s="10" t="s">
        <v>466</v>
      </c>
      <c r="I3" s="37">
        <v>45107</v>
      </c>
      <c r="J3" s="263">
        <v>45291</v>
      </c>
      <c r="K3" s="263">
        <v>45657</v>
      </c>
      <c r="L3" s="263">
        <v>46022</v>
      </c>
      <c r="M3" s="263">
        <v>46387</v>
      </c>
      <c r="N3" s="263">
        <v>46752</v>
      </c>
      <c r="O3" s="263">
        <v>47118</v>
      </c>
      <c r="P3" s="263">
        <v>47483</v>
      </c>
      <c r="Q3" s="263">
        <v>47848</v>
      </c>
      <c r="R3" s="263">
        <v>48213</v>
      </c>
      <c r="S3" s="263">
        <v>48579</v>
      </c>
      <c r="T3" s="263">
        <v>48944</v>
      </c>
      <c r="U3" s="263">
        <v>49309</v>
      </c>
      <c r="V3" s="263">
        <v>49674</v>
      </c>
      <c r="W3" s="263">
        <v>50040</v>
      </c>
      <c r="X3" s="263">
        <v>50405</v>
      </c>
      <c r="Y3" s="263">
        <v>50770</v>
      </c>
      <c r="Z3" s="263">
        <v>51135</v>
      </c>
      <c r="AA3" s="263">
        <v>51501</v>
      </c>
      <c r="AB3" s="263">
        <v>51866</v>
      </c>
      <c r="AC3" s="263">
        <v>52231</v>
      </c>
      <c r="AD3" s="263">
        <v>52596</v>
      </c>
      <c r="AE3" s="263">
        <v>52962</v>
      </c>
      <c r="AF3" s="263">
        <v>53051</v>
      </c>
    </row>
    <row r="4" spans="2:32">
      <c r="B4" s="235"/>
      <c r="C4" s="13"/>
      <c r="D4" s="13"/>
      <c r="E4" s="13"/>
      <c r="F4" s="14">
        <v>1</v>
      </c>
      <c r="G4" s="14">
        <v>2</v>
      </c>
      <c r="H4" s="14">
        <v>3</v>
      </c>
      <c r="I4" s="14">
        <v>4</v>
      </c>
      <c r="J4" s="38">
        <v>5</v>
      </c>
      <c r="K4" s="38">
        <v>6</v>
      </c>
      <c r="L4" s="38">
        <v>7</v>
      </c>
      <c r="M4" s="38">
        <v>8</v>
      </c>
      <c r="N4" s="38">
        <v>9</v>
      </c>
      <c r="O4" s="38">
        <v>10</v>
      </c>
      <c r="P4" s="38">
        <v>11</v>
      </c>
      <c r="Q4" s="38">
        <v>12</v>
      </c>
      <c r="R4" s="38">
        <v>13</v>
      </c>
      <c r="S4" s="38">
        <v>14</v>
      </c>
      <c r="T4" s="38">
        <v>15</v>
      </c>
      <c r="U4" s="38">
        <v>16</v>
      </c>
      <c r="V4" s="38">
        <v>17</v>
      </c>
      <c r="W4" s="38">
        <v>18</v>
      </c>
      <c r="X4" s="38">
        <v>19</v>
      </c>
      <c r="Y4" s="38">
        <v>20</v>
      </c>
      <c r="Z4" s="38">
        <v>21</v>
      </c>
      <c r="AA4" s="38">
        <v>22</v>
      </c>
      <c r="AB4" s="38">
        <v>23</v>
      </c>
      <c r="AC4" s="38">
        <v>24</v>
      </c>
      <c r="AD4" s="38">
        <v>25</v>
      </c>
      <c r="AE4" s="38">
        <v>26</v>
      </c>
      <c r="AF4" s="38">
        <v>27</v>
      </c>
    </row>
    <row r="5" spans="2:32">
      <c r="B5" s="236">
        <v>1</v>
      </c>
      <c r="C5" s="237" t="s">
        <v>822</v>
      </c>
      <c r="D5" s="238">
        <f ca="1" t="shared" ref="D5:D19" si="0">SUM(F5:AF5)</f>
        <v>533816.714008494</v>
      </c>
      <c r="E5" s="18" t="s">
        <v>24</v>
      </c>
      <c r="F5" s="19"/>
      <c r="G5" s="19"/>
      <c r="H5" s="19"/>
      <c r="I5" s="19"/>
      <c r="J5" s="264">
        <f ca="1">J6+J7+J11+J14+J17+J18+J16</f>
        <v>36789.919711402</v>
      </c>
      <c r="K5" s="264">
        <f ca="1" t="shared" ref="K5:AF5" si="1">K6+K7+K11+K14+K17+K18+K16</f>
        <v>90171.5508473415</v>
      </c>
      <c r="L5" s="264">
        <f ca="1" t="shared" si="1"/>
        <v>24424.69016475</v>
      </c>
      <c r="M5" s="264">
        <f ca="1" t="shared" si="1"/>
        <v>22602.536225</v>
      </c>
      <c r="N5" s="264">
        <f ca="1" t="shared" si="1"/>
        <v>21713.074768</v>
      </c>
      <c r="O5" s="264">
        <f ca="1" t="shared" si="1"/>
        <v>21616.814728</v>
      </c>
      <c r="P5" s="264">
        <f ca="1" t="shared" si="1"/>
        <v>21520.552288</v>
      </c>
      <c r="Q5" s="264">
        <f ca="1" t="shared" si="1"/>
        <v>21424.291648</v>
      </c>
      <c r="R5" s="264">
        <f ca="1" t="shared" si="1"/>
        <v>21328.029208</v>
      </c>
      <c r="S5" s="264">
        <f ca="1" t="shared" si="1"/>
        <v>21231.768568</v>
      </c>
      <c r="T5" s="264">
        <f ca="1" t="shared" si="1"/>
        <v>21135.508528</v>
      </c>
      <c r="U5" s="264">
        <f ca="1" t="shared" si="1"/>
        <v>21039.246088</v>
      </c>
      <c r="V5" s="264">
        <f ca="1" t="shared" si="1"/>
        <v>20942.985448</v>
      </c>
      <c r="W5" s="264">
        <f ca="1" t="shared" si="1"/>
        <v>20846.723008</v>
      </c>
      <c r="X5" s="264">
        <f ca="1" t="shared" si="1"/>
        <v>20750.462368</v>
      </c>
      <c r="Y5" s="264">
        <f ca="1" t="shared" si="1"/>
        <v>20654.202328</v>
      </c>
      <c r="Z5" s="264">
        <f ca="1" t="shared" si="1"/>
        <v>18231.990112</v>
      </c>
      <c r="AA5" s="264">
        <f ca="1" t="shared" si="1"/>
        <v>16249.114684</v>
      </c>
      <c r="AB5" s="264">
        <f ca="1" t="shared" si="1"/>
        <v>15844.437928</v>
      </c>
      <c r="AC5" s="264">
        <f ca="1" t="shared" si="1"/>
        <v>15770.511688</v>
      </c>
      <c r="AD5" s="264">
        <f ca="1" t="shared" si="1"/>
        <v>15696.586048</v>
      </c>
      <c r="AE5" s="264">
        <f ca="1" t="shared" si="1"/>
        <v>15622.658008</v>
      </c>
      <c r="AF5" s="264">
        <f ca="1" t="shared" si="1"/>
        <v>8209.059616</v>
      </c>
    </row>
    <row r="6" spans="2:32">
      <c r="B6" s="239">
        <v>1.1</v>
      </c>
      <c r="C6" s="240" t="s">
        <v>497</v>
      </c>
      <c r="D6" s="241">
        <f ca="1" t="shared" si="0"/>
        <v>117942.948923493</v>
      </c>
      <c r="E6" s="18" t="s">
        <v>24</v>
      </c>
      <c r="F6" s="44"/>
      <c r="G6" s="44"/>
      <c r="H6" s="44"/>
      <c r="I6" s="44"/>
      <c r="J6" s="44">
        <f ca="1">'表1-资金筹措及还本付息表'!J91</f>
        <v>31988.842986802</v>
      </c>
      <c r="K6" s="44">
        <f ca="1">'表1-资金筹措及还本付息表'!K91</f>
        <v>73694.1059366915</v>
      </c>
      <c r="L6" s="44">
        <f>'表1-资金筹措及还本付息表'!L91</f>
        <v>1060</v>
      </c>
      <c r="M6" s="44">
        <f>'表1-资金筹措及还本付息表'!M91</f>
        <v>560</v>
      </c>
      <c r="N6" s="44">
        <f>'表1-资金筹措及还本付息表'!N91</f>
        <v>560</v>
      </c>
      <c r="O6" s="44">
        <f>'表1-资金筹措及还本付息表'!O91</f>
        <v>560</v>
      </c>
      <c r="P6" s="44">
        <f>'表1-资金筹措及还本付息表'!P91</f>
        <v>560</v>
      </c>
      <c r="Q6" s="44">
        <f>'表1-资金筹措及还本付息表'!Q91</f>
        <v>560</v>
      </c>
      <c r="R6" s="44">
        <f>'表1-资金筹措及还本付息表'!R91</f>
        <v>560</v>
      </c>
      <c r="S6" s="44">
        <f>'表1-资金筹措及还本付息表'!S91</f>
        <v>560</v>
      </c>
      <c r="T6" s="44">
        <f>'表1-资金筹措及还本付息表'!T91</f>
        <v>560</v>
      </c>
      <c r="U6" s="44">
        <f>'表1-资金筹措及还本付息表'!U91</f>
        <v>560</v>
      </c>
      <c r="V6" s="44">
        <f>'表1-资金筹措及还本付息表'!V91</f>
        <v>560</v>
      </c>
      <c r="W6" s="44">
        <f>'表1-资金筹措及还本付息表'!W91</f>
        <v>560</v>
      </c>
      <c r="X6" s="44">
        <f>'表1-资金筹措及还本付息表'!X91</f>
        <v>560</v>
      </c>
      <c r="Y6" s="44">
        <f>'表1-资金筹措及还本付息表'!Y91</f>
        <v>560</v>
      </c>
      <c r="Z6" s="44">
        <f>'表1-资金筹措及还本付息表'!Z91</f>
        <v>560</v>
      </c>
      <c r="AA6" s="44">
        <f>'表1-资金筹措及还本付息表'!AA91</f>
        <v>560</v>
      </c>
      <c r="AB6" s="44">
        <f>'表1-资金筹措及还本付息表'!AB91</f>
        <v>560</v>
      </c>
      <c r="AC6" s="44">
        <f>'表1-资金筹措及还本付息表'!AC91</f>
        <v>560</v>
      </c>
      <c r="AD6" s="44">
        <f>'表1-资金筹措及还本付息表'!AD91</f>
        <v>560</v>
      </c>
      <c r="AE6" s="44">
        <f>'表1-资金筹措及还本付息表'!AE91</f>
        <v>560</v>
      </c>
      <c r="AF6" s="44">
        <f>'表1-资金筹措及还本付息表'!AF91</f>
        <v>560</v>
      </c>
    </row>
    <row r="7" spans="2:32">
      <c r="B7" s="239">
        <v>1.2</v>
      </c>
      <c r="C7" s="240" t="s">
        <v>648</v>
      </c>
      <c r="D7" s="241">
        <f t="shared" si="0"/>
        <v>397985.706342</v>
      </c>
      <c r="E7" s="18" t="s">
        <v>24</v>
      </c>
      <c r="F7" s="44"/>
      <c r="G7" s="44"/>
      <c r="H7" s="44"/>
      <c r="I7" s="44"/>
      <c r="J7" s="34">
        <f>SUM(J8:J10)</f>
        <v>1497.1677906</v>
      </c>
      <c r="K7" s="34">
        <f>SUM(K8:K10)</f>
        <v>13167.74591865</v>
      </c>
      <c r="L7" s="34">
        <f>SUM(L8:L10)</f>
        <v>20003.44016475</v>
      </c>
      <c r="M7" s="34">
        <f>SUM(M8:M10)</f>
        <v>20929.335408</v>
      </c>
      <c r="N7" s="34">
        <f>SUM(N8:N10)</f>
        <v>20833.074768</v>
      </c>
      <c r="O7" s="34">
        <f t="shared" ref="O7:AF7" si="2">SUM(O8:O10)</f>
        <v>20736.814728</v>
      </c>
      <c r="P7" s="34">
        <f t="shared" si="2"/>
        <v>20640.552288</v>
      </c>
      <c r="Q7" s="34">
        <f t="shared" si="2"/>
        <v>20544.291648</v>
      </c>
      <c r="R7" s="34">
        <f t="shared" si="2"/>
        <v>20448.029208</v>
      </c>
      <c r="S7" s="34">
        <f t="shared" si="2"/>
        <v>20351.768568</v>
      </c>
      <c r="T7" s="34">
        <f t="shared" si="2"/>
        <v>20255.508528</v>
      </c>
      <c r="U7" s="34">
        <f t="shared" si="2"/>
        <v>20159.246088</v>
      </c>
      <c r="V7" s="34">
        <f t="shared" si="2"/>
        <v>20062.985448</v>
      </c>
      <c r="W7" s="34">
        <f t="shared" si="2"/>
        <v>19966.723008</v>
      </c>
      <c r="X7" s="34">
        <f t="shared" si="2"/>
        <v>19870.462368</v>
      </c>
      <c r="Y7" s="34">
        <f t="shared" si="2"/>
        <v>19774.202328</v>
      </c>
      <c r="Z7" s="34">
        <f t="shared" si="2"/>
        <v>17351.990112</v>
      </c>
      <c r="AA7" s="34">
        <f t="shared" si="2"/>
        <v>15369.114684</v>
      </c>
      <c r="AB7" s="34">
        <f t="shared" si="2"/>
        <v>14964.437928</v>
      </c>
      <c r="AC7" s="34">
        <f t="shared" si="2"/>
        <v>14890.511688</v>
      </c>
      <c r="AD7" s="34">
        <f t="shared" si="2"/>
        <v>14816.586048</v>
      </c>
      <c r="AE7" s="34">
        <f t="shared" si="2"/>
        <v>14742.658008</v>
      </c>
      <c r="AF7" s="34">
        <f t="shared" si="2"/>
        <v>6609.059616</v>
      </c>
    </row>
    <row r="8" spans="2:32">
      <c r="B8" s="239"/>
      <c r="C8" s="242" t="s">
        <v>649</v>
      </c>
      <c r="D8" s="241">
        <f t="shared" si="0"/>
        <v>305303.868342</v>
      </c>
      <c r="E8" s="18" t="s">
        <v>24</v>
      </c>
      <c r="F8" s="44"/>
      <c r="G8" s="44"/>
      <c r="H8" s="44"/>
      <c r="I8" s="44"/>
      <c r="J8" s="34">
        <f>('表4-收入税金表'!J7+'表4-收入税金表'!J35)*参数输入表!$I$564+('表4-收入税金表'!I7+'表4-收入税金表'!I35)*(1-参数输入表!$I$564)</f>
        <v>1076.8509246</v>
      </c>
      <c r="K8" s="34">
        <f>('表4-收入税金表'!K7+'表4-收入税金表'!K35)*参数输入表!$I$564+('表4-收入税金表'!J7+'表4-收入税金表'!J35)*(1-参数输入表!$I$564)</f>
        <v>9471.00259215</v>
      </c>
      <c r="L8" s="34">
        <f>('表4-收入税金表'!L7+'表4-收入税金表'!L35)*参数输入表!$I$564+('表4-收入税金表'!K7+'表4-收入税金表'!K35)*(1-参数输入表!$I$564)</f>
        <v>14387.62621725</v>
      </c>
      <c r="M8" s="34">
        <f>('表4-收入税金表'!M7+'表4-收入税金表'!M35)*参数输入表!$I$564+('表4-收入税金表'!L7+'表4-收入税金表'!L35)*(1-参数输入表!$I$564)</f>
        <v>15053.584128</v>
      </c>
      <c r="N8" s="34">
        <f>('表4-收入税金表'!N7+'表4-收入税金表'!N35)*参数输入表!$I$564+('表4-收入税金表'!M7+'表4-收入税金表'!M35)*(1-参数输入表!$I$564)</f>
        <v>14984.347488</v>
      </c>
      <c r="O8" s="34">
        <f>('表4-收入税金表'!O7+'表4-收入税金表'!O35)*参数输入表!$I$564+('表4-收入税金表'!N7+'表4-收入税金表'!N35)*(1-参数输入表!$I$564)</f>
        <v>14915.110848</v>
      </c>
      <c r="P8" s="34">
        <f>('表4-收入税金表'!P7+'表4-收入税金表'!P35)*参数输入表!$I$564+('表4-收入税金表'!O7+'表4-收入税金表'!O35)*(1-参数输入表!$I$564)</f>
        <v>14845.874208</v>
      </c>
      <c r="Q8" s="34">
        <f>('表4-收入税金表'!Q7+'表4-收入税金表'!Q35)*参数输入表!$I$564+('表4-收入税金表'!P7+'表4-收入税金表'!P35)*(1-参数输入表!$I$564)</f>
        <v>14776.637568</v>
      </c>
      <c r="R8" s="34">
        <f>('表4-收入税金表'!R7+'表4-收入税金表'!R35)*参数输入表!$I$564+('表4-收入税金表'!Q7+'表4-收入税金表'!Q35)*(1-参数输入表!$I$564)</f>
        <v>14707.400928</v>
      </c>
      <c r="S8" s="34">
        <f>('表4-收入税金表'!S7+'表4-收入税金表'!S35)*参数输入表!$I$564+('表4-收入税金表'!R7+'表4-收入税金表'!R35)*(1-参数输入表!$I$564)</f>
        <v>14638.164288</v>
      </c>
      <c r="T8" s="34">
        <f>('表4-收入税金表'!T7+'表4-收入税金表'!T35)*参数输入表!$I$564+('表4-收入税金表'!S7+'表4-收入税金表'!S35)*(1-参数输入表!$I$564)</f>
        <v>14568.927648</v>
      </c>
      <c r="U8" s="34">
        <f>('表4-收入税金表'!U7+'表4-收入税金表'!U35)*参数输入表!$I$564+('表4-收入税金表'!T7+'表4-收入税金表'!T35)*(1-参数输入表!$I$564)</f>
        <v>14499.691008</v>
      </c>
      <c r="V8" s="34">
        <f>('表4-收入税金表'!V7+'表4-收入税金表'!V35)*参数输入表!$I$564+('表4-收入税金表'!U7+'表4-收入税金表'!U35)*(1-参数输入表!$I$564)</f>
        <v>14430.454368</v>
      </c>
      <c r="W8" s="34">
        <f>('表4-收入税金表'!W7+'表4-收入税金表'!W35)*参数输入表!$I$564+('表4-收入税金表'!V7+'表4-收入税金表'!V35)*(1-参数输入表!$I$564)</f>
        <v>14361.217728</v>
      </c>
      <c r="X8" s="34">
        <f>('表4-收入税金表'!X7+'表4-收入税金表'!X35)*参数输入表!$I$564+('表4-收入税金表'!W7+'表4-收入税金表'!W35)*(1-参数输入表!$I$564)</f>
        <v>14291.981088</v>
      </c>
      <c r="Y8" s="34">
        <f>('表4-收入税金表'!Y7+'表4-收入税金表'!Y35)*参数输入表!$I$564+('表4-收入税金表'!X7+'表4-收入税金表'!X35)*(1-参数输入表!$I$564)</f>
        <v>14222.744448</v>
      </c>
      <c r="Z8" s="34">
        <f>('表4-收入税金表'!Z7+'表4-收入税金表'!Z35)*参数输入表!$I$564+('表4-收入税金表'!Y7+'表4-收入税金表'!Y35)*(1-参数输入表!$I$564)</f>
        <v>14153.507808</v>
      </c>
      <c r="AA8" s="34">
        <f>('表4-收入税金表'!AA7+'表4-收入税金表'!AA35)*参数输入表!$I$564+('表4-收入税金表'!Z7+'表4-收入税金表'!Z35)*(1-参数输入表!$I$564)</f>
        <v>14084.271168</v>
      </c>
      <c r="AB8" s="34">
        <f>('表4-收入税金表'!AB7+'表4-收入税金表'!AB35)*参数输入表!$I$564+('表4-收入税金表'!AA7+'表4-收入税金表'!AA35)*(1-参数输入表!$I$564)</f>
        <v>14015.034528</v>
      </c>
      <c r="AC8" s="34">
        <f>('表4-收入税金表'!AC7+'表4-收入税金表'!AC35)*参数输入表!$I$564+('表4-收入税金表'!AB7+'表4-收入税金表'!AB35)*(1-参数输入表!$I$564)</f>
        <v>13945.797888</v>
      </c>
      <c r="AD8" s="34">
        <f>('表4-收入税金表'!AD7+'表4-收入税金表'!AD35)*参数输入表!$I$564+('表4-收入税金表'!AC7+'表4-收入税金表'!AC35)*(1-参数输入表!$I$564)</f>
        <v>13876.561248</v>
      </c>
      <c r="AE8" s="34">
        <f>('表4-收入税金表'!AE7+'表4-收入税金表'!AE35)*参数输入表!$I$564+('表4-收入税金表'!AD7+'表4-收入税金表'!AD35)*(1-参数输入表!$I$564)</f>
        <v>13807.324608</v>
      </c>
      <c r="AF8" s="278">
        <f>('表4-收入税金表'!AF7+'表4-收入税金表'!AF35)+('表4-收入税金表'!AE7+'表4-收入税金表'!AE35)*(1-参数输入表!$I$564)</f>
        <v>6189.755616</v>
      </c>
    </row>
    <row r="9" spans="2:32">
      <c r="B9" s="239"/>
      <c r="C9" s="243" t="s">
        <v>386</v>
      </c>
      <c r="D9" s="244">
        <f t="shared" si="0"/>
        <v>72000</v>
      </c>
      <c r="E9" s="245" t="s">
        <v>24</v>
      </c>
      <c r="F9" s="44"/>
      <c r="G9" s="44"/>
      <c r="H9" s="44"/>
      <c r="I9" s="44"/>
      <c r="J9" s="42">
        <f>('表4-收入税金表'!J15+'表4-收入税金表'!J36)*参数输入表!$I$569+('表4-收入税金表'!I15+'表4-收入税金表'!I36)*(1-参数输入表!$I$569)</f>
        <v>347.371266</v>
      </c>
      <c r="K9" s="42">
        <f>('表4-收入税金表'!K15+'表4-收入税金表'!K36)*参数输入表!$I$569+('表4-收入税金表'!J15+'表4-收入税金表'!J36)*(1-参数输入表!$I$569)</f>
        <v>3055.1621265</v>
      </c>
      <c r="L9" s="42">
        <f>('表4-收入税金表'!L15+'表4-收入税金表'!L36)*参数输入表!$I$569+('表4-收入税金表'!K15+'表4-收入税金表'!K36)*(1-参数输入表!$I$569)</f>
        <v>4641.1697475</v>
      </c>
      <c r="M9" s="42">
        <f>('表4-收入税金表'!M15+'表4-收入税金表'!M36)*参数输入表!$I$569+('表4-收入税金表'!L15+'表4-收入税金表'!L36)*(1-参数输入表!$I$569)</f>
        <v>4855.99488</v>
      </c>
      <c r="N9" s="42">
        <f>('表4-收入税金表'!N15+'表4-收入税金表'!N36)*参数输入表!$I$569+('表4-收入税金表'!M15+'表4-收入税金表'!M36)*(1-参数输入表!$I$569)</f>
        <v>4833.66048</v>
      </c>
      <c r="O9" s="42">
        <f>('表4-收入税金表'!O15+'表4-收入税金表'!O36)*参数输入表!$I$569+('表4-收入税金表'!N15+'表4-收入税金表'!N36)*(1-参数输入表!$I$569)</f>
        <v>4811.32608</v>
      </c>
      <c r="P9" s="42">
        <f>('表4-收入税金表'!P15+'表4-收入税金表'!P36)*参数输入表!$I$569+('表4-收入税金表'!O15+'表4-收入税金表'!O36)*(1-参数输入表!$I$569)</f>
        <v>4788.99168</v>
      </c>
      <c r="Q9" s="42">
        <f>('表4-收入税金表'!Q15+'表4-收入税金表'!Q36)*参数输入表!$I$569+('表4-收入税金表'!P15+'表4-收入税金表'!P36)*(1-参数输入表!$I$569)</f>
        <v>4766.65728</v>
      </c>
      <c r="R9" s="42">
        <f>('表4-收入税金表'!R15+'表4-收入税金表'!R36)*参数输入表!$I$569+('表4-收入税金表'!Q15+'表4-收入税金表'!Q36)*(1-参数输入表!$I$569)</f>
        <v>4744.32288</v>
      </c>
      <c r="S9" s="42">
        <f>('表4-收入税金表'!S15+'表4-收入税金表'!S36)*参数输入表!$I$569+('表4-收入税金表'!R15+'表4-收入税金表'!R36)*(1-参数输入表!$I$569)</f>
        <v>4721.98848</v>
      </c>
      <c r="T9" s="42">
        <f>('表4-收入税金表'!T15+'表4-收入税金表'!T36)*参数输入表!$I$569+('表4-收入税金表'!S15+'表4-收入税金表'!S36)*(1-参数输入表!$I$569)</f>
        <v>4699.65408</v>
      </c>
      <c r="U9" s="42">
        <f>('表4-收入税金表'!U15+'表4-收入税金表'!U36)*参数输入表!$I$569+('表4-收入税金表'!T15+'表4-收入税金表'!T36)*(1-参数输入表!$I$569)</f>
        <v>4677.31968</v>
      </c>
      <c r="V9" s="42">
        <f>('表4-收入税金表'!V15+'表4-收入税金表'!V36)*参数输入表!$I$569+('表4-收入税金表'!U15+'表4-收入税金表'!U36)*(1-参数输入表!$I$569)</f>
        <v>4654.98528</v>
      </c>
      <c r="W9" s="42">
        <f>('表4-收入税金表'!W15+'表4-收入税金表'!W36)*参数输入表!$I$569+('表4-收入税金表'!V15+'表4-收入税金表'!V36)*(1-参数输入表!$I$569)</f>
        <v>4632.65088</v>
      </c>
      <c r="X9" s="42">
        <f>('表4-收入税金表'!X15+'表4-收入税金表'!X36)*参数输入表!$I$569+('表4-收入税金表'!W15+'表4-收入税金表'!W36)*(1-参数输入表!$I$569)</f>
        <v>4610.31648</v>
      </c>
      <c r="Y9" s="42">
        <f>('表4-收入税金表'!Y15+'表4-收入税金表'!Y36)*参数输入表!$I$569+('表4-收入税金表'!X15+'表4-收入税金表'!X36)*(1-参数输入表!$I$569)</f>
        <v>4587.98208</v>
      </c>
      <c r="Z9" s="42">
        <f>('表4-收入税金表'!Z15+'表4-收入税金表'!Z36)*参数输入表!$I$569+('表4-收入税金表'!Y15+'表4-收入税金表'!Y36)*(1-参数输入表!$I$569)</f>
        <v>2239.697904</v>
      </c>
      <c r="AA9" s="42">
        <f>('表4-收入税金表'!AA15+'表4-收入税金表'!AA36)*参数输入表!$I$569+('表4-收入税金表'!Z15+'表4-收入税金表'!Z36)*(1-参数输入表!$I$569)</f>
        <v>330.748716</v>
      </c>
      <c r="AB9" s="42">
        <f>('表4-收入税金表'!AB15+'表4-收入税金表'!AB36)*参数输入表!$I$569+('表4-收入税金表'!AA15+'表4-收入税金表'!AA36)*(1-参数输入表!$I$569)</f>
        <v>0</v>
      </c>
      <c r="AC9" s="42">
        <f>('表4-收入税金表'!AC15+'表4-收入税金表'!AC36)*参数输入表!$I$569+('表4-收入税金表'!AB15+'表4-收入税金表'!AB36)*(1-参数输入表!$I$569)</f>
        <v>0</v>
      </c>
      <c r="AD9" s="42">
        <f>('表4-收入税金表'!AD15+'表4-收入税金表'!AD36)*参数输入表!$I$569+('表4-收入税金表'!AC15+'表4-收入税金表'!AC36)*(1-参数输入表!$I$569)</f>
        <v>0</v>
      </c>
      <c r="AE9" s="42">
        <f>('表4-收入税金表'!AE15+'表4-收入税金表'!AE36)*参数输入表!$I$569+('表4-收入税金表'!AD15+'表4-收入税金表'!AD36)*(1-参数输入表!$I$569)</f>
        <v>0</v>
      </c>
      <c r="AF9" s="42">
        <f>('表4-收入税金表'!AF15+'表4-收入税金表'!AF36)*参数输入表!$I$569+('表4-收入税金表'!AE15+'表4-收入税金表'!AE36)*(1-参数输入表!$I$569)</f>
        <v>0</v>
      </c>
    </row>
    <row r="10" spans="2:32">
      <c r="B10" s="239"/>
      <c r="C10" s="242" t="s">
        <v>390</v>
      </c>
      <c r="D10" s="241">
        <f t="shared" si="0"/>
        <v>20681.838</v>
      </c>
      <c r="E10" s="18" t="s">
        <v>24</v>
      </c>
      <c r="F10" s="44"/>
      <c r="G10" s="44"/>
      <c r="H10" s="44"/>
      <c r="I10" s="44"/>
      <c r="J10" s="34">
        <f>('表4-收入税金表'!J19+'表4-收入税金表'!J37)*参数输入表!$I$575+('表4-收入税金表'!I19+'表4-收入税金表'!I37)*(1-参数输入表!$I$575)</f>
        <v>72.9456</v>
      </c>
      <c r="K10" s="34">
        <f>('表4-收入税金表'!K19+'表4-收入税金表'!K37)*参数输入表!$I$575+('表4-收入税金表'!J19+'表4-收入税金表'!J37)*(1-参数输入表!$I$575)</f>
        <v>641.5812</v>
      </c>
      <c r="L10" s="34">
        <f>('表4-收入税金表'!L19+'表4-收入税金表'!L37)*参数输入表!$I$575+('表4-收入税金表'!K19+'表4-收入税金表'!K37)*(1-参数输入表!$I$575)</f>
        <v>974.6442</v>
      </c>
      <c r="M10" s="34">
        <f>('表4-收入税金表'!M19+'表4-收入税金表'!M37)*参数输入表!$I$575+('表4-收入税金表'!L19+'表4-收入税金表'!L37)*(1-参数输入表!$I$575)</f>
        <v>1019.7564</v>
      </c>
      <c r="N10" s="34">
        <f>('表4-收入税金表'!N19+'表4-收入税金表'!N37)*参数输入表!$I$575+('表4-收入税金表'!M19+'表4-收入税金表'!M37)*(1-参数输入表!$I$575)</f>
        <v>1015.0668</v>
      </c>
      <c r="O10" s="34">
        <f>('表4-收入税金表'!O19+'表4-收入税金表'!O37)*参数输入表!$I$575+('表4-收入税金表'!N19+'表4-收入税金表'!N37)*(1-参数输入表!$I$575)</f>
        <v>1010.3778</v>
      </c>
      <c r="P10" s="34">
        <f>('表4-收入税金表'!P19+'表4-收入税金表'!P37)*参数输入表!$I$575+('表4-收入税金表'!O19+'表4-收入税金表'!O37)*(1-参数输入表!$I$575)</f>
        <v>1005.6864</v>
      </c>
      <c r="Q10" s="34">
        <f>('表4-收入税金表'!Q19+'表4-收入税金表'!Q37)*参数输入表!$I$575+('表4-收入税金表'!P19+'表4-收入税金表'!P37)*(1-参数输入表!$I$575)</f>
        <v>1000.9968</v>
      </c>
      <c r="R10" s="34">
        <f>('表4-收入税金表'!R19+'表4-收入税金表'!R37)*参数输入表!$I$575+('表4-收入税金表'!Q19+'表4-收入税金表'!Q37)*(1-参数输入表!$I$575)</f>
        <v>996.3054</v>
      </c>
      <c r="S10" s="34">
        <f>('表4-收入税金表'!S19+'表4-收入税金表'!S37)*参数输入表!$I$575+('表4-收入税金表'!R19+'表4-收入税金表'!R37)*(1-参数输入表!$I$575)</f>
        <v>991.6158</v>
      </c>
      <c r="T10" s="34">
        <f>('表4-收入税金表'!T19+'表4-收入税金表'!T37)*参数输入表!$I$575+('表4-收入税金表'!S19+'表4-收入税金表'!S37)*(1-参数输入表!$I$575)</f>
        <v>986.9268</v>
      </c>
      <c r="U10" s="34">
        <f>('表4-收入税金表'!U19+'表4-收入税金表'!U37)*参数输入表!$I$575+('表4-收入税金表'!T19+'表4-收入税金表'!T37)*(1-参数输入表!$I$575)</f>
        <v>982.2354</v>
      </c>
      <c r="V10" s="34">
        <f>('表4-收入税金表'!V19+'表4-收入税金表'!V37)*参数输入表!$I$575+('表4-收入税金表'!U19+'表4-收入税金表'!U37)*(1-参数输入表!$I$575)</f>
        <v>977.5458</v>
      </c>
      <c r="W10" s="34">
        <f>('表4-收入税金表'!W19+'表4-收入税金表'!W37)*参数输入表!$I$575+('表4-收入税金表'!V19+'表4-收入税金表'!V37)*(1-参数输入表!$I$575)</f>
        <v>972.8544</v>
      </c>
      <c r="X10" s="34">
        <f>('表4-收入税金表'!X19+'表4-收入税金表'!X37)*参数输入表!$I$575+('表4-收入税金表'!W19+'表4-收入税金表'!W37)*(1-参数输入表!$I$575)</f>
        <v>968.1648</v>
      </c>
      <c r="Y10" s="34">
        <f>('表4-收入税金表'!Y19+'表4-收入税金表'!Y37)*参数输入表!$I$575+('表4-收入税金表'!X19+'表4-收入税金表'!X37)*(1-参数输入表!$I$575)</f>
        <v>963.4758</v>
      </c>
      <c r="Z10" s="34">
        <f>('表4-收入税金表'!Z19+'表4-收入税金表'!Z37)*参数输入表!$I$575+('表4-收入税金表'!Y19+'表4-收入税金表'!Y37)*(1-参数输入表!$I$575)</f>
        <v>958.7844</v>
      </c>
      <c r="AA10" s="34">
        <f>('表4-收入税金表'!AA19+'表4-收入税金表'!AA37)*参数输入表!$I$575+('表4-收入税金表'!Z19+'表4-收入税金表'!Z37)*(1-参数输入表!$I$575)</f>
        <v>954.0948</v>
      </c>
      <c r="AB10" s="34">
        <f>('表4-收入税金表'!AB19+'表4-收入税金表'!AB37)*参数输入表!$I$575+('表4-收入税金表'!AA19+'表4-收入税金表'!AA37)*(1-参数输入表!$I$575)</f>
        <v>949.4034</v>
      </c>
      <c r="AC10" s="34">
        <f>('表4-收入税金表'!AC19+'表4-收入税金表'!AC37)*参数输入表!$I$575+('表4-收入税金表'!AB19+'表4-收入税金表'!AB37)*(1-参数输入表!$I$575)</f>
        <v>944.7138</v>
      </c>
      <c r="AD10" s="34">
        <f>('表4-收入税金表'!AD19+'表4-收入税金表'!AD37)*参数输入表!$I$575+('表4-收入税金表'!AC19+'表4-收入税金表'!AC37)*(1-参数输入表!$I$575)</f>
        <v>940.0248</v>
      </c>
      <c r="AE10" s="34">
        <f>('表4-收入税金表'!AE19+'表4-收入税金表'!AE37)*参数输入表!$I$575+('表4-收入税金表'!AD19+'表4-收入税金表'!AD37)*(1-参数输入表!$I$575)</f>
        <v>935.3334</v>
      </c>
      <c r="AF10" s="278">
        <f>('表4-收入税金表'!AF19+'表4-收入税金表'!AF37)+('表4-收入税金表'!AE19+'表4-收入税金表'!AE37)*(1-参数输入表!$I$575)</f>
        <v>419.304</v>
      </c>
    </row>
    <row r="11" spans="2:32">
      <c r="B11" s="239">
        <v>1.3</v>
      </c>
      <c r="C11" s="240" t="s">
        <v>394</v>
      </c>
      <c r="D11" s="241">
        <f ca="1" t="shared" si="0"/>
        <v>6750.75</v>
      </c>
      <c r="E11" s="18" t="s">
        <v>24</v>
      </c>
      <c r="F11" s="44"/>
      <c r="G11" s="44"/>
      <c r="H11" s="44"/>
      <c r="I11" s="44"/>
      <c r="J11" s="34">
        <f t="shared" ref="J11:N11" si="3">SUM(J12:J13)</f>
        <v>14.125</v>
      </c>
      <c r="K11" s="34">
        <f t="shared" si="3"/>
        <v>135.375</v>
      </c>
      <c r="L11" s="34">
        <f t="shared" si="3"/>
        <v>281.25</v>
      </c>
      <c r="M11" s="34">
        <f t="shared" si="3"/>
        <v>320</v>
      </c>
      <c r="N11" s="34">
        <f t="shared" si="3"/>
        <v>320</v>
      </c>
      <c r="O11" s="34">
        <f t="shared" ref="O11:AF11" si="4">SUM(O12:O13)</f>
        <v>320</v>
      </c>
      <c r="P11" s="34">
        <f t="shared" si="4"/>
        <v>320</v>
      </c>
      <c r="Q11" s="34">
        <f t="shared" si="4"/>
        <v>320</v>
      </c>
      <c r="R11" s="34">
        <f t="shared" si="4"/>
        <v>320</v>
      </c>
      <c r="S11" s="34">
        <f t="shared" si="4"/>
        <v>320</v>
      </c>
      <c r="T11" s="34">
        <f t="shared" si="4"/>
        <v>320</v>
      </c>
      <c r="U11" s="34">
        <f t="shared" si="4"/>
        <v>320</v>
      </c>
      <c r="V11" s="34">
        <f t="shared" si="4"/>
        <v>320</v>
      </c>
      <c r="W11" s="34">
        <f t="shared" si="4"/>
        <v>320</v>
      </c>
      <c r="X11" s="34">
        <f t="shared" si="4"/>
        <v>320</v>
      </c>
      <c r="Y11" s="34">
        <f t="shared" si="4"/>
        <v>320</v>
      </c>
      <c r="Z11" s="34">
        <f t="shared" si="4"/>
        <v>320</v>
      </c>
      <c r="AA11" s="34">
        <f t="shared" si="4"/>
        <v>320</v>
      </c>
      <c r="AB11" s="34">
        <f t="shared" si="4"/>
        <v>320</v>
      </c>
      <c r="AC11" s="34">
        <f t="shared" si="4"/>
        <v>320</v>
      </c>
      <c r="AD11" s="34">
        <f t="shared" si="4"/>
        <v>320</v>
      </c>
      <c r="AE11" s="34">
        <f t="shared" si="4"/>
        <v>320</v>
      </c>
      <c r="AF11" s="34">
        <f ca="1" t="shared" si="4"/>
        <v>240</v>
      </c>
    </row>
    <row r="12" spans="2:32">
      <c r="B12" s="239"/>
      <c r="C12" s="242" t="s">
        <v>665</v>
      </c>
      <c r="D12" s="241">
        <f ca="1" t="shared" si="0"/>
        <v>0</v>
      </c>
      <c r="E12" s="18" t="s">
        <v>24</v>
      </c>
      <c r="F12" s="44"/>
      <c r="G12" s="44"/>
      <c r="H12" s="44"/>
      <c r="I12" s="44"/>
      <c r="J12" s="34">
        <f>'表4-收入税金表'!J24</f>
        <v>0</v>
      </c>
      <c r="K12" s="34">
        <f>'表4-收入税金表'!K24</f>
        <v>0</v>
      </c>
      <c r="L12" s="34">
        <f>'表4-收入税金表'!L24</f>
        <v>0</v>
      </c>
      <c r="M12" s="34">
        <f>'表4-收入税金表'!M24</f>
        <v>0</v>
      </c>
      <c r="N12" s="34">
        <f>'表4-收入税金表'!N24</f>
        <v>0</v>
      </c>
      <c r="O12" s="34">
        <f>'表4-收入税金表'!O24</f>
        <v>0</v>
      </c>
      <c r="P12" s="34">
        <f>'表4-收入税金表'!P24</f>
        <v>0</v>
      </c>
      <c r="Q12" s="34">
        <f>'表4-收入税金表'!Q24</f>
        <v>0</v>
      </c>
      <c r="R12" s="34">
        <f>'表4-收入税金表'!R24</f>
        <v>0</v>
      </c>
      <c r="S12" s="34">
        <f>'表4-收入税金表'!S24</f>
        <v>0</v>
      </c>
      <c r="T12" s="34">
        <f>'表4-收入税金表'!T24</f>
        <v>0</v>
      </c>
      <c r="U12" s="34">
        <f>'表4-收入税金表'!U24</f>
        <v>0</v>
      </c>
      <c r="V12" s="34">
        <f>'表4-收入税金表'!V24</f>
        <v>0</v>
      </c>
      <c r="W12" s="34">
        <f>'表4-收入税金表'!W24</f>
        <v>0</v>
      </c>
      <c r="X12" s="34">
        <f>'表4-收入税金表'!X24</f>
        <v>0</v>
      </c>
      <c r="Y12" s="34">
        <f>'表4-收入税金表'!Y24</f>
        <v>0</v>
      </c>
      <c r="Z12" s="34">
        <f>'表4-收入税金表'!Z24</f>
        <v>0</v>
      </c>
      <c r="AA12" s="34">
        <f>'表4-收入税金表'!AA24</f>
        <v>0</v>
      </c>
      <c r="AB12" s="34">
        <f>'表4-收入税金表'!AB24</f>
        <v>0</v>
      </c>
      <c r="AC12" s="34">
        <f>'表4-收入税金表'!AC24</f>
        <v>0</v>
      </c>
      <c r="AD12" s="34">
        <f>'表4-收入税金表'!AD24</f>
        <v>0</v>
      </c>
      <c r="AE12" s="34">
        <f>'表4-收入税金表'!AE24</f>
        <v>0</v>
      </c>
      <c r="AF12" s="34">
        <f ca="1">'表4-收入税金表'!AF24</f>
        <v>0</v>
      </c>
    </row>
    <row r="13" spans="2:32">
      <c r="B13" s="239"/>
      <c r="C13" s="242" t="s">
        <v>666</v>
      </c>
      <c r="D13" s="241">
        <f t="shared" si="0"/>
        <v>6750.75</v>
      </c>
      <c r="E13" s="18" t="s">
        <v>24</v>
      </c>
      <c r="F13" s="44"/>
      <c r="G13" s="44"/>
      <c r="H13" s="44"/>
      <c r="I13" s="44"/>
      <c r="J13" s="34">
        <f>('表4-收入税金表'!J25+'表4-收入税金表'!J39)*参数输入表!$I$583+('表4-收入税金表'!I25+'表4-收入税金表'!I39)*(1-参数输入表!$I$583)</f>
        <v>14.125</v>
      </c>
      <c r="K13" s="34">
        <f>('表4-收入税金表'!K25+'表4-收入税金表'!K39)*参数输入表!$I$583+('表4-收入税金表'!J25+'表4-收入税金表'!J39)*(1-参数输入表!$I$583)</f>
        <v>135.375</v>
      </c>
      <c r="L13" s="34">
        <f>('表4-收入税金表'!L25+'表4-收入税金表'!L39)*参数输入表!$I$583+('表4-收入税金表'!K25+'表4-收入税金表'!K39)*(1-参数输入表!$I$583)</f>
        <v>281.25</v>
      </c>
      <c r="M13" s="34">
        <f>('表4-收入税金表'!M25+'表4-收入税金表'!M39)*参数输入表!$I$583+('表4-收入税金表'!L25+'表4-收入税金表'!L39)*(1-参数输入表!$I$583)</f>
        <v>320</v>
      </c>
      <c r="N13" s="34">
        <f>('表4-收入税金表'!N25+'表4-收入税金表'!N39)*参数输入表!$I$583+('表4-收入税金表'!M25+'表4-收入税金表'!M39)*(1-参数输入表!$I$583)</f>
        <v>320</v>
      </c>
      <c r="O13" s="34">
        <f>('表4-收入税金表'!O25+'表4-收入税金表'!O39)*参数输入表!$I$583+('表4-收入税金表'!N25+'表4-收入税金表'!N39)*(1-参数输入表!$I$583)</f>
        <v>320</v>
      </c>
      <c r="P13" s="34">
        <f>('表4-收入税金表'!P25+'表4-收入税金表'!P39)*参数输入表!$I$583+('表4-收入税金表'!O25+'表4-收入税金表'!O39)*(1-参数输入表!$I$583)</f>
        <v>320</v>
      </c>
      <c r="Q13" s="34">
        <f>('表4-收入税金表'!Q25+'表4-收入税金表'!Q39)*参数输入表!$I$583+('表4-收入税金表'!P25+'表4-收入税金表'!P39)*(1-参数输入表!$I$583)</f>
        <v>320</v>
      </c>
      <c r="R13" s="34">
        <f>('表4-收入税金表'!R25+'表4-收入税金表'!R39)*参数输入表!$I$583+('表4-收入税金表'!Q25+'表4-收入税金表'!Q39)*(1-参数输入表!$I$583)</f>
        <v>320</v>
      </c>
      <c r="S13" s="34">
        <f>('表4-收入税金表'!S25+'表4-收入税金表'!S39)*参数输入表!$I$583+('表4-收入税金表'!R25+'表4-收入税金表'!R39)*(1-参数输入表!$I$583)</f>
        <v>320</v>
      </c>
      <c r="T13" s="34">
        <f>('表4-收入税金表'!T25+'表4-收入税金表'!T39)*参数输入表!$I$583+('表4-收入税金表'!S25+'表4-收入税金表'!S39)*(1-参数输入表!$I$583)</f>
        <v>320</v>
      </c>
      <c r="U13" s="34">
        <f>('表4-收入税金表'!U25+'表4-收入税金表'!U39)*参数输入表!$I$583+('表4-收入税金表'!T25+'表4-收入税金表'!T39)*(1-参数输入表!$I$583)</f>
        <v>320</v>
      </c>
      <c r="V13" s="34">
        <f>('表4-收入税金表'!V25+'表4-收入税金表'!V39)*参数输入表!$I$583+('表4-收入税金表'!U25+'表4-收入税金表'!U39)*(1-参数输入表!$I$583)</f>
        <v>320</v>
      </c>
      <c r="W13" s="34">
        <f>('表4-收入税金表'!W25+'表4-收入税金表'!W39)*参数输入表!$I$583+('表4-收入税金表'!V25+'表4-收入税金表'!V39)*(1-参数输入表!$I$583)</f>
        <v>320</v>
      </c>
      <c r="X13" s="34">
        <f>('表4-收入税金表'!X25+'表4-收入税金表'!X39)*参数输入表!$I$583+('表4-收入税金表'!W25+'表4-收入税金表'!W39)*(1-参数输入表!$I$583)</f>
        <v>320</v>
      </c>
      <c r="Y13" s="34">
        <f>('表4-收入税金表'!Y25+'表4-收入税金表'!Y39)*参数输入表!$I$583+('表4-收入税金表'!X25+'表4-收入税金表'!X39)*(1-参数输入表!$I$583)</f>
        <v>320</v>
      </c>
      <c r="Z13" s="34">
        <f>('表4-收入税金表'!Z25+'表4-收入税金表'!Z39)*参数输入表!$I$583+('表4-收入税金表'!Y25+'表4-收入税金表'!Y39)*(1-参数输入表!$I$583)</f>
        <v>320</v>
      </c>
      <c r="AA13" s="34">
        <f>('表4-收入税金表'!AA25+'表4-收入税金表'!AA39)*参数输入表!$I$583+('表4-收入税金表'!Z25+'表4-收入税金表'!Z39)*(1-参数输入表!$I$583)</f>
        <v>320</v>
      </c>
      <c r="AB13" s="34">
        <f>('表4-收入税金表'!AB25+'表4-收入税金表'!AB39)*参数输入表!$I$583+('表4-收入税金表'!AA25+'表4-收入税金表'!AA39)*(1-参数输入表!$I$583)</f>
        <v>320</v>
      </c>
      <c r="AC13" s="34">
        <f>('表4-收入税金表'!AC25+'表4-收入税金表'!AC39)*参数输入表!$I$583+('表4-收入税金表'!AB25+'表4-收入税金表'!AB39)*(1-参数输入表!$I$583)</f>
        <v>320</v>
      </c>
      <c r="AD13" s="34">
        <f>('表4-收入税金表'!AD25+'表4-收入税金表'!AD39)*参数输入表!$I$583+('表4-收入税金表'!AC25+'表4-收入税金表'!AC39)*(1-参数输入表!$I$583)</f>
        <v>320</v>
      </c>
      <c r="AE13" s="34">
        <f>('表4-收入税金表'!AE25+'表4-收入税金表'!AE39)*参数输入表!$I$583+('表4-收入税金表'!AD25+'表4-收入税金表'!AD39)*(1-参数输入表!$I$583)</f>
        <v>320</v>
      </c>
      <c r="AF13" s="278">
        <f>('表4-收入税金表'!AF25+'表4-收入税金表'!AF39)+('表4-收入税金表'!AE25+'表4-收入税金表'!AE39)*(1-参数输入表!$I$583)</f>
        <v>240</v>
      </c>
    </row>
    <row r="14" spans="2:32">
      <c r="B14" s="239">
        <v>1.4</v>
      </c>
      <c r="C14" s="240" t="s">
        <v>667</v>
      </c>
      <c r="D14" s="241">
        <f t="shared" si="0"/>
        <v>200</v>
      </c>
      <c r="E14" s="18" t="s">
        <v>24</v>
      </c>
      <c r="F14" s="44"/>
      <c r="G14" s="44"/>
      <c r="H14" s="44"/>
      <c r="I14" s="44"/>
      <c r="J14" s="34">
        <f t="shared" ref="J14:N14" si="5">SUM(J15)</f>
        <v>0</v>
      </c>
      <c r="K14" s="34">
        <f t="shared" si="5"/>
        <v>200</v>
      </c>
      <c r="L14" s="34">
        <f t="shared" si="5"/>
        <v>0</v>
      </c>
      <c r="M14" s="34">
        <f t="shared" si="5"/>
        <v>0</v>
      </c>
      <c r="N14" s="34">
        <f t="shared" si="5"/>
        <v>0</v>
      </c>
      <c r="O14" s="34">
        <f t="shared" ref="O14:AF14" si="6">SUM(O15)</f>
        <v>0</v>
      </c>
      <c r="P14" s="34">
        <f t="shared" si="6"/>
        <v>0</v>
      </c>
      <c r="Q14" s="34">
        <f t="shared" si="6"/>
        <v>0</v>
      </c>
      <c r="R14" s="34">
        <f t="shared" si="6"/>
        <v>0</v>
      </c>
      <c r="S14" s="34">
        <f t="shared" si="6"/>
        <v>0</v>
      </c>
      <c r="T14" s="34">
        <f t="shared" si="6"/>
        <v>0</v>
      </c>
      <c r="U14" s="34">
        <f t="shared" si="6"/>
        <v>0</v>
      </c>
      <c r="V14" s="34">
        <f t="shared" si="6"/>
        <v>0</v>
      </c>
      <c r="W14" s="34">
        <f t="shared" si="6"/>
        <v>0</v>
      </c>
      <c r="X14" s="34">
        <f t="shared" si="6"/>
        <v>0</v>
      </c>
      <c r="Y14" s="34">
        <f t="shared" si="6"/>
        <v>0</v>
      </c>
      <c r="Z14" s="34">
        <f t="shared" si="6"/>
        <v>0</v>
      </c>
      <c r="AA14" s="34">
        <f t="shared" si="6"/>
        <v>0</v>
      </c>
      <c r="AB14" s="34">
        <f t="shared" si="6"/>
        <v>0</v>
      </c>
      <c r="AC14" s="34">
        <f t="shared" si="6"/>
        <v>0</v>
      </c>
      <c r="AD14" s="34">
        <f t="shared" si="6"/>
        <v>0</v>
      </c>
      <c r="AE14" s="34">
        <f t="shared" si="6"/>
        <v>0</v>
      </c>
      <c r="AF14" s="34">
        <f t="shared" si="6"/>
        <v>0</v>
      </c>
    </row>
    <row r="15" spans="2:32">
      <c r="B15" s="239"/>
      <c r="C15" s="242" t="s">
        <v>668</v>
      </c>
      <c r="D15" s="241">
        <f t="shared" si="0"/>
        <v>200</v>
      </c>
      <c r="E15" s="18" t="s">
        <v>24</v>
      </c>
      <c r="F15" s="44"/>
      <c r="G15" s="44"/>
      <c r="H15" s="44"/>
      <c r="I15" s="44"/>
      <c r="J15" s="34">
        <f>参数输入表!$I$592</f>
        <v>0</v>
      </c>
      <c r="K15" s="34">
        <f>参数输入表!$I$593</f>
        <v>200</v>
      </c>
      <c r="L15" s="34">
        <f>参数输入表!$I$594</f>
        <v>0</v>
      </c>
      <c r="M15" s="34">
        <f>参数输入表!$I$595</f>
        <v>0</v>
      </c>
      <c r="N15" s="34">
        <f>参数输入表!$I$596</f>
        <v>0</v>
      </c>
      <c r="O15" s="34">
        <f>参数输入表!$I$597</f>
        <v>0</v>
      </c>
      <c r="P15" s="34">
        <f>参数输入表!$I$598</f>
        <v>0</v>
      </c>
      <c r="Q15" s="34">
        <f>参数输入表!$I$599</f>
        <v>0</v>
      </c>
      <c r="R15" s="34">
        <f>参数输入表!$I$600</f>
        <v>0</v>
      </c>
      <c r="S15" s="34">
        <f>参数输入表!$I$601</f>
        <v>0</v>
      </c>
      <c r="T15" s="34">
        <f>参数输入表!$I$602</f>
        <v>0</v>
      </c>
      <c r="U15" s="34">
        <f>参数输入表!$I$603</f>
        <v>0</v>
      </c>
      <c r="V15" s="34">
        <f>参数输入表!$I$604</f>
        <v>0</v>
      </c>
      <c r="W15" s="34">
        <f>参数输入表!$I$605</f>
        <v>0</v>
      </c>
      <c r="X15" s="34">
        <f>参数输入表!$I$606</f>
        <v>0</v>
      </c>
      <c r="Y15" s="34">
        <f>参数输入表!$I$607</f>
        <v>0</v>
      </c>
      <c r="Z15" s="34">
        <f>参数输入表!$I$608</f>
        <v>0</v>
      </c>
      <c r="AA15" s="34">
        <f>参数输入表!$I$609</f>
        <v>0</v>
      </c>
      <c r="AB15" s="34">
        <f>参数输入表!$I$610</f>
        <v>0</v>
      </c>
      <c r="AC15" s="34">
        <f>参数输入表!$I$611</f>
        <v>0</v>
      </c>
      <c r="AD15" s="34">
        <f>参数输入表!$I$612</f>
        <v>0</v>
      </c>
      <c r="AE15" s="34">
        <f>参数输入表!$I$613</f>
        <v>0</v>
      </c>
      <c r="AF15" s="34">
        <f>参数输入表!$I$614</f>
        <v>0</v>
      </c>
    </row>
    <row r="16" spans="2:32">
      <c r="B16" s="246">
        <v>1.5</v>
      </c>
      <c r="C16" s="271" t="s">
        <v>823</v>
      </c>
      <c r="D16" s="248">
        <f t="shared" si="0"/>
        <v>800</v>
      </c>
      <c r="E16" s="249" t="s">
        <v>24</v>
      </c>
      <c r="F16" s="44"/>
      <c r="G16" s="44"/>
      <c r="H16" s="44"/>
      <c r="I16" s="44"/>
      <c r="J16" s="42">
        <f>IF(J4-$AF$4&gt;=0,'表1-资金筹措及还本付息表'!$D$10,0)</f>
        <v>0</v>
      </c>
      <c r="K16" s="42">
        <f>IF(K4-$AF$4&gt;=0,'表1-资金筹措及还本付息表'!$D$10,0)</f>
        <v>0</v>
      </c>
      <c r="L16" s="42">
        <f>IF(L4-$AF$4&gt;=0,'表1-资金筹措及还本付息表'!$D$10,0)</f>
        <v>0</v>
      </c>
      <c r="M16" s="42">
        <f>IF(M4-$AF$4&gt;=0,'表1-资金筹措及还本付息表'!$D$10,0)</f>
        <v>0</v>
      </c>
      <c r="N16" s="42">
        <f>IF(N4-$AF$4&gt;=0,'表1-资金筹措及还本付息表'!$D$10,0)</f>
        <v>0</v>
      </c>
      <c r="O16" s="42">
        <f>IF(O4-$AF$4&gt;=0,'表1-资金筹措及还本付息表'!$D$10,0)</f>
        <v>0</v>
      </c>
      <c r="P16" s="42">
        <f>IF(P4-$AF$4&gt;=0,'表1-资金筹措及还本付息表'!$D$10,0)</f>
        <v>0</v>
      </c>
      <c r="Q16" s="42">
        <f>IF(Q4-$AF$4&gt;=0,'表1-资金筹措及还本付息表'!$D$10,0)</f>
        <v>0</v>
      </c>
      <c r="R16" s="42">
        <f>IF(R4-$AF$4&gt;=0,'表1-资金筹措及还本付息表'!$D$10,0)</f>
        <v>0</v>
      </c>
      <c r="S16" s="42">
        <f>IF(S4-$AF$4&gt;=0,'表1-资金筹措及还本付息表'!$D$10,0)</f>
        <v>0</v>
      </c>
      <c r="T16" s="42">
        <f>IF(T4-$AF$4&gt;=0,'表1-资金筹措及还本付息表'!$D$10,0)</f>
        <v>0</v>
      </c>
      <c r="U16" s="42">
        <f>IF(U4-$AF$4&gt;=0,'表1-资金筹措及还本付息表'!$D$10,0)</f>
        <v>0</v>
      </c>
      <c r="V16" s="42">
        <f>IF(V4-$AF$4&gt;=0,'表1-资金筹措及还本付息表'!$D$10,0)</f>
        <v>0</v>
      </c>
      <c r="W16" s="42">
        <f>IF(W4-$AF$4&gt;=0,'表1-资金筹措及还本付息表'!$D$10,0)</f>
        <v>0</v>
      </c>
      <c r="X16" s="42">
        <f>IF(X4-$AF$4&gt;=0,'表1-资金筹措及还本付息表'!$D$10,0)</f>
        <v>0</v>
      </c>
      <c r="Y16" s="42">
        <f>IF(Y4-$AF$4&gt;=0,'表1-资金筹措及还本付息表'!$D$10,0)</f>
        <v>0</v>
      </c>
      <c r="Z16" s="42">
        <f>IF(Z4-$AF$4&gt;=0,'表1-资金筹措及还本付息表'!$D$10,0)</f>
        <v>0</v>
      </c>
      <c r="AA16" s="42">
        <f>IF(AA4-$AF$4&gt;=0,'表1-资金筹措及还本付息表'!$D$10,0)</f>
        <v>0</v>
      </c>
      <c r="AB16" s="42">
        <f>IF(AB4-$AF$4&gt;=0,'表1-资金筹措及还本付息表'!$D$10,0)</f>
        <v>0</v>
      </c>
      <c r="AC16" s="42">
        <f>IF(AC4-$AF$4&gt;=0,'表1-资金筹措及还本付息表'!$D$10,0)</f>
        <v>0</v>
      </c>
      <c r="AD16" s="42">
        <f>IF(AD4-$AF$4&gt;=0,'表1-资金筹措及还本付息表'!$D$10,0)</f>
        <v>0</v>
      </c>
      <c r="AE16" s="42">
        <f>IF(AE4-$AF$4&gt;=0,'表1-资金筹措及还本付息表'!$D$10,0)</f>
        <v>0</v>
      </c>
      <c r="AF16" s="42">
        <f>IF(AF4-$AF$4&gt;=0,'表1-资金筹措及还本付息表'!$D$10,0)</f>
        <v>800</v>
      </c>
    </row>
    <row r="17" spans="2:32">
      <c r="B17" s="246">
        <v>1.6</v>
      </c>
      <c r="C17" s="240" t="s">
        <v>824</v>
      </c>
      <c r="D17" s="241">
        <f ca="1" t="shared" si="0"/>
        <v>0</v>
      </c>
      <c r="E17" s="18" t="s">
        <v>24</v>
      </c>
      <c r="F17" s="44"/>
      <c r="G17" s="44"/>
      <c r="H17" s="44"/>
      <c r="I17" s="44"/>
      <c r="J17" s="44">
        <f ca="1">IF(J4-$AF$4&gt;=0,'表2-折旧摊销表'!J111+'表2-折旧摊销表'!J127,0)</f>
        <v>0</v>
      </c>
      <c r="K17" s="44">
        <f ca="1">IF(K4-$AF$4&gt;=0,'表2-折旧摊销表'!K111+'表2-折旧摊销表'!K127,0)</f>
        <v>0</v>
      </c>
      <c r="L17" s="44">
        <f ca="1">IF(L4-$AF$4&gt;=0,'表2-折旧摊销表'!L111+'表2-折旧摊销表'!L127,0)</f>
        <v>0</v>
      </c>
      <c r="M17" s="44">
        <f ca="1">IF(M4-$AF$4&gt;=0,'表2-折旧摊销表'!M111+'表2-折旧摊销表'!M127,0)</f>
        <v>0</v>
      </c>
      <c r="N17" s="44">
        <f ca="1">IF(N4-$AF$4&gt;=0,'表2-折旧摊销表'!N111+'表2-折旧摊销表'!N127,0)</f>
        <v>0</v>
      </c>
      <c r="O17" s="44">
        <f ca="1">IF(O4-$AF$4&gt;=0,'表2-折旧摊销表'!O111+'表2-折旧摊销表'!O127,0)</f>
        <v>0</v>
      </c>
      <c r="P17" s="44">
        <f ca="1">IF(P4-$AF$4&gt;=0,'表2-折旧摊销表'!P111+'表2-折旧摊销表'!P127,0)</f>
        <v>0</v>
      </c>
      <c r="Q17" s="44">
        <f ca="1">IF(Q4-$AF$4&gt;=0,'表2-折旧摊销表'!Q111+'表2-折旧摊销表'!Q127,0)</f>
        <v>0</v>
      </c>
      <c r="R17" s="44">
        <f ca="1">IF(R4-$AF$4&gt;=0,'表2-折旧摊销表'!R111+'表2-折旧摊销表'!R127,0)</f>
        <v>0</v>
      </c>
      <c r="S17" s="44">
        <f ca="1">IF(S4-$AF$4&gt;=0,'表2-折旧摊销表'!S111+'表2-折旧摊销表'!S127,0)</f>
        <v>0</v>
      </c>
      <c r="T17" s="44">
        <f ca="1">IF(T4-$AF$4&gt;=0,'表2-折旧摊销表'!T111+'表2-折旧摊销表'!T127,0)</f>
        <v>0</v>
      </c>
      <c r="U17" s="44">
        <f ca="1">IF(U4-$AF$4&gt;=0,'表2-折旧摊销表'!U111+'表2-折旧摊销表'!U127,0)</f>
        <v>0</v>
      </c>
      <c r="V17" s="44">
        <f ca="1">IF(V4-$AF$4&gt;=0,'表2-折旧摊销表'!V111+'表2-折旧摊销表'!V127,0)</f>
        <v>0</v>
      </c>
      <c r="W17" s="44">
        <f ca="1">IF(W4-$AF$4&gt;=0,'表2-折旧摊销表'!W111+'表2-折旧摊销表'!W127,0)</f>
        <v>0</v>
      </c>
      <c r="X17" s="44">
        <f ca="1">IF(X4-$AF$4&gt;=0,'表2-折旧摊销表'!X111+'表2-折旧摊销表'!X127,0)</f>
        <v>0</v>
      </c>
      <c r="Y17" s="44">
        <f ca="1">IF(Y4-$AF$4&gt;=0,'表2-折旧摊销表'!Y111+'表2-折旧摊销表'!Y127,0)</f>
        <v>0</v>
      </c>
      <c r="Z17" s="44">
        <f ca="1">IF(Z4-$AF$4&gt;=0,'表2-折旧摊销表'!Z111+'表2-折旧摊销表'!Z127,0)</f>
        <v>0</v>
      </c>
      <c r="AA17" s="44">
        <f ca="1">IF(AA4-$AF$4&gt;=0,'表2-折旧摊销表'!AA111+'表2-折旧摊销表'!AA127,0)</f>
        <v>0</v>
      </c>
      <c r="AB17" s="44">
        <f ca="1">IF(AB4-$AF$4&gt;=0,'表2-折旧摊销表'!AB111+'表2-折旧摊销表'!AB127,0)</f>
        <v>0</v>
      </c>
      <c r="AC17" s="44">
        <f ca="1">IF(AC4-$AF$4&gt;=0,'表2-折旧摊销表'!AC111+'表2-折旧摊销表'!AC127,0)</f>
        <v>0</v>
      </c>
      <c r="AD17" s="44">
        <f ca="1">IF(AD4-$AF$4&gt;=0,'表2-折旧摊销表'!AD111+'表2-折旧摊销表'!AD127,0)</f>
        <v>0</v>
      </c>
      <c r="AE17" s="44">
        <f ca="1">IF(AE4-$AF$4&gt;=0,'表2-折旧摊销表'!AE111+'表2-折旧摊销表'!AE127,0)</f>
        <v>0</v>
      </c>
      <c r="AF17" s="44">
        <f ca="1">IF(AF4-$AF$4&gt;=0,'表2-折旧摊销表'!AF111+'表2-折旧摊销表'!AF127,0)</f>
        <v>0</v>
      </c>
    </row>
    <row r="18" spans="2:32">
      <c r="B18" s="246">
        <v>1.7</v>
      </c>
      <c r="C18" s="250" t="s">
        <v>825</v>
      </c>
      <c r="D18" s="244">
        <f t="shared" si="0"/>
        <v>10137.308743</v>
      </c>
      <c r="E18" s="245" t="s">
        <v>24</v>
      </c>
      <c r="F18" s="44"/>
      <c r="G18" s="44"/>
      <c r="H18" s="44"/>
      <c r="I18" s="44"/>
      <c r="J18" s="63">
        <f>IF(参数输入表!$I$721="手动输入",基准日往来账处理!J71,基准日往来账处理!J149)</f>
        <v>3289.783934</v>
      </c>
      <c r="K18" s="63">
        <f>IF(参数输入表!$I$721="手动输入",基准日往来账处理!K71,基准日往来账处理!K149)</f>
        <v>2974.323992</v>
      </c>
      <c r="L18" s="63">
        <f>IF(参数输入表!$I$721="手动输入",基准日往来账处理!L71,基准日往来账处理!L149)</f>
        <v>3080</v>
      </c>
      <c r="M18" s="63">
        <f>IF(参数输入表!$I$721="手动输入",基准日往来账处理!M71,基准日往来账处理!M149)</f>
        <v>793.200817</v>
      </c>
      <c r="N18" s="63">
        <f>IF(参数输入表!$I$721="手动输入",基准日往来账处理!N71,基准日往来账处理!N149)</f>
        <v>0</v>
      </c>
      <c r="O18" s="63">
        <f>IF(参数输入表!$I$721="手动输入",基准日往来账处理!O71,基准日往来账处理!O149)</f>
        <v>0</v>
      </c>
      <c r="P18" s="63">
        <f>IF(参数输入表!$I$721="手动输入",基准日往来账处理!P71,基准日往来账处理!P149)</f>
        <v>0</v>
      </c>
      <c r="Q18" s="63">
        <f>IF(参数输入表!$I$721="手动输入",基准日往来账处理!Q71,基准日往来账处理!Q149)</f>
        <v>0</v>
      </c>
      <c r="R18" s="63">
        <f>IF(参数输入表!$I$721="手动输入",基准日往来账处理!R71,基准日往来账处理!R149)</f>
        <v>0</v>
      </c>
      <c r="S18" s="63">
        <f>IF(参数输入表!$I$721="手动输入",基准日往来账处理!S71,基准日往来账处理!S149)</f>
        <v>0</v>
      </c>
      <c r="T18" s="63">
        <f>IF(参数输入表!$I$721="手动输入",基准日往来账处理!T71,基准日往来账处理!T149)</f>
        <v>0</v>
      </c>
      <c r="U18" s="63">
        <f>IF(参数输入表!$I$721="手动输入",基准日往来账处理!U71,基准日往来账处理!U149)</f>
        <v>0</v>
      </c>
      <c r="V18" s="63">
        <f>IF(参数输入表!$I$721="手动输入",基准日往来账处理!V71,基准日往来账处理!V149)</f>
        <v>0</v>
      </c>
      <c r="W18" s="63">
        <f>IF(参数输入表!$I$721="手动输入",基准日往来账处理!W71,基准日往来账处理!W149)</f>
        <v>0</v>
      </c>
      <c r="X18" s="63">
        <f>IF(参数输入表!$I$721="手动输入",基准日往来账处理!X71,基准日往来账处理!X149)</f>
        <v>0</v>
      </c>
      <c r="Y18" s="63">
        <f>IF(参数输入表!$I$721="手动输入",基准日往来账处理!Y71,基准日往来账处理!Y149)</f>
        <v>0</v>
      </c>
      <c r="Z18" s="63">
        <f>IF(参数输入表!$I$721="手动输入",基准日往来账处理!Z71,基准日往来账处理!Z149)</f>
        <v>0</v>
      </c>
      <c r="AA18" s="63">
        <f>IF(参数输入表!$I$721="手动输入",基准日往来账处理!AA71,基准日往来账处理!AA149)</f>
        <v>0</v>
      </c>
      <c r="AB18" s="63">
        <f>IF(参数输入表!$I$721="手动输入",基准日往来账处理!AB71,基准日往来账处理!AB149)</f>
        <v>0</v>
      </c>
      <c r="AC18" s="63">
        <f>IF(参数输入表!$I$721="手动输入",基准日往来账处理!AC71,基准日往来账处理!AC149)</f>
        <v>0</v>
      </c>
      <c r="AD18" s="63">
        <f>IF(参数输入表!$I$721="手动输入",基准日往来账处理!AD71,基准日往来账处理!AD149)</f>
        <v>0</v>
      </c>
      <c r="AE18" s="63">
        <f>IF(参数输入表!$I$721="手动输入",基准日往来账处理!AE71,基准日往来账处理!AE149)</f>
        <v>0</v>
      </c>
      <c r="AF18" s="63">
        <f>IF(参数输入表!$I$721="手动输入",基准日往来账处理!AF71,基准日往来账处理!AF149)</f>
        <v>0</v>
      </c>
    </row>
    <row r="19" spans="2:32">
      <c r="B19" s="236">
        <v>2</v>
      </c>
      <c r="C19" s="237" t="s">
        <v>826</v>
      </c>
      <c r="D19" s="238">
        <f ca="1" t="shared" si="0"/>
        <v>454069.251737098</v>
      </c>
      <c r="E19" s="18" t="s">
        <v>24</v>
      </c>
      <c r="F19" s="19"/>
      <c r="G19" s="19"/>
      <c r="H19" s="19"/>
      <c r="I19" s="19"/>
      <c r="J19" s="264">
        <f ca="1">J20+J23+J29+J30+J31+J32+J33+J28</f>
        <v>44281.4738222665</v>
      </c>
      <c r="K19" s="264">
        <f ca="1" t="shared" ref="K19:AF19" si="7">K20+K23+K29+K30+K31+K32+K33+K28</f>
        <v>106305.905916734</v>
      </c>
      <c r="L19" s="264">
        <f ca="1" t="shared" si="7"/>
        <v>17520.9729970937</v>
      </c>
      <c r="M19" s="264">
        <f ca="1" t="shared" si="7"/>
        <v>17406.1710927122</v>
      </c>
      <c r="N19" s="264">
        <f ca="1" t="shared" si="7"/>
        <v>16338.7210927122</v>
      </c>
      <c r="O19" s="264">
        <f ca="1" t="shared" si="7"/>
        <v>16289.5210927122</v>
      </c>
      <c r="P19" s="264">
        <f ca="1" t="shared" si="7"/>
        <v>16240.3210927122</v>
      </c>
      <c r="Q19" s="264">
        <f ca="1" t="shared" si="7"/>
        <v>16191.1210927122</v>
      </c>
      <c r="R19" s="264">
        <f ca="1" t="shared" si="7"/>
        <v>19382.9817139486</v>
      </c>
      <c r="S19" s="264">
        <f ca="1" t="shared" si="7"/>
        <v>18937.3210653447</v>
      </c>
      <c r="T19" s="264">
        <f ca="1" t="shared" si="7"/>
        <v>18875.7180017837</v>
      </c>
      <c r="U19" s="264">
        <f ca="1" t="shared" si="7"/>
        <v>16214.1145516739</v>
      </c>
      <c r="V19" s="264">
        <f ca="1" t="shared" si="7"/>
        <v>16230.5114881129</v>
      </c>
      <c r="W19" s="264">
        <f ca="1" t="shared" si="7"/>
        <v>16884.2018580512</v>
      </c>
      <c r="X19" s="264">
        <f ca="1" t="shared" si="7"/>
        <v>16446.8373266002</v>
      </c>
      <c r="Y19" s="264">
        <f ca="1" t="shared" si="7"/>
        <v>16463.2342630392</v>
      </c>
      <c r="Z19" s="264">
        <f ca="1" t="shared" si="7"/>
        <v>16105.0088136091</v>
      </c>
      <c r="AA19" s="264">
        <f ca="1" t="shared" si="7"/>
        <v>6297.32873743704</v>
      </c>
      <c r="AB19" s="264">
        <f ca="1" t="shared" si="7"/>
        <v>18063.0548009329</v>
      </c>
      <c r="AC19" s="264">
        <f ca="1" t="shared" si="7"/>
        <v>6113.92586710546</v>
      </c>
      <c r="AD19" s="264">
        <f ca="1" t="shared" si="7"/>
        <v>6133.20058110192</v>
      </c>
      <c r="AE19" s="264">
        <f ca="1" t="shared" si="7"/>
        <v>6152.47490854971</v>
      </c>
      <c r="AF19" s="264">
        <f ca="1" t="shared" si="7"/>
        <v>5195.12956015229</v>
      </c>
    </row>
    <row r="20" spans="2:32">
      <c r="B20" s="239">
        <v>2.1</v>
      </c>
      <c r="C20" s="240" t="s">
        <v>827</v>
      </c>
      <c r="D20" s="241">
        <f ca="1" t="shared" ref="D20:D25" si="8">SUM(F20:AF20)</f>
        <v>139577.265231325</v>
      </c>
      <c r="E20" s="18" t="s">
        <v>24</v>
      </c>
      <c r="F20" s="19"/>
      <c r="G20" s="19"/>
      <c r="H20" s="19"/>
      <c r="I20" s="19"/>
      <c r="J20" s="39">
        <f ca="1" t="shared" ref="J20:O20" si="9">SUM(J21:J22)</f>
        <v>41985.1239824027</v>
      </c>
      <c r="K20" s="39">
        <f ca="1" t="shared" si="9"/>
        <v>97592.141248922</v>
      </c>
      <c r="L20" s="39">
        <f t="shared" si="9"/>
        <v>0</v>
      </c>
      <c r="M20" s="39">
        <f t="shared" si="9"/>
        <v>0</v>
      </c>
      <c r="N20" s="39">
        <f t="shared" si="9"/>
        <v>0</v>
      </c>
      <c r="O20" s="39">
        <f t="shared" si="9"/>
        <v>0</v>
      </c>
      <c r="P20" s="39">
        <f t="shared" ref="P20:AF20" si="10">SUM(P21:P22)</f>
        <v>0</v>
      </c>
      <c r="Q20" s="39">
        <f t="shared" si="10"/>
        <v>0</v>
      </c>
      <c r="R20" s="39">
        <f t="shared" si="10"/>
        <v>0</v>
      </c>
      <c r="S20" s="39">
        <f t="shared" si="10"/>
        <v>0</v>
      </c>
      <c r="T20" s="39">
        <f t="shared" si="10"/>
        <v>0</v>
      </c>
      <c r="U20" s="39">
        <f t="shared" si="10"/>
        <v>0</v>
      </c>
      <c r="V20" s="39">
        <f t="shared" si="10"/>
        <v>0</v>
      </c>
      <c r="W20" s="39">
        <f t="shared" si="10"/>
        <v>0</v>
      </c>
      <c r="X20" s="39">
        <f t="shared" si="10"/>
        <v>0</v>
      </c>
      <c r="Y20" s="39">
        <f t="shared" si="10"/>
        <v>0</v>
      </c>
      <c r="Z20" s="39">
        <f t="shared" si="10"/>
        <v>0</v>
      </c>
      <c r="AA20" s="39">
        <f t="shared" si="10"/>
        <v>0</v>
      </c>
      <c r="AB20" s="39">
        <f t="shared" si="10"/>
        <v>0</v>
      </c>
      <c r="AC20" s="39">
        <f t="shared" si="10"/>
        <v>0</v>
      </c>
      <c r="AD20" s="39">
        <f t="shared" si="10"/>
        <v>0</v>
      </c>
      <c r="AE20" s="39">
        <f t="shared" si="10"/>
        <v>0</v>
      </c>
      <c r="AF20" s="39">
        <f t="shared" si="10"/>
        <v>0</v>
      </c>
    </row>
    <row r="21" spans="2:32">
      <c r="B21" s="239"/>
      <c r="C21" s="242" t="s">
        <v>828</v>
      </c>
      <c r="D21" s="241">
        <f ca="1" t="shared" si="8"/>
        <v>34894.3163078312</v>
      </c>
      <c r="E21" s="18" t="s">
        <v>24</v>
      </c>
      <c r="F21" s="44"/>
      <c r="G21" s="44"/>
      <c r="H21" s="44"/>
      <c r="I21" s="44"/>
      <c r="J21" s="277">
        <f ca="1">'表1-资金筹措及还本付息表'!J13</f>
        <v>10496.2809956007</v>
      </c>
      <c r="K21" s="277">
        <f ca="1">'表1-资金筹措及还本付息表'!K13</f>
        <v>24398.0353122305</v>
      </c>
      <c r="L21" s="277">
        <f>'表1-资金筹措及还本付息表'!L13</f>
        <v>0</v>
      </c>
      <c r="M21" s="277">
        <f>'表1-资金筹措及还本付息表'!M13</f>
        <v>0</v>
      </c>
      <c r="N21" s="277">
        <f>'表1-资金筹措及还本付息表'!N13</f>
        <v>0</v>
      </c>
      <c r="O21" s="277">
        <f>'表1-资金筹措及还本付息表'!O13</f>
        <v>0</v>
      </c>
      <c r="P21" s="277">
        <f>'表1-资金筹措及还本付息表'!P13</f>
        <v>0</v>
      </c>
      <c r="Q21" s="277">
        <f>'表1-资金筹措及还本付息表'!Q13</f>
        <v>0</v>
      </c>
      <c r="R21" s="277">
        <f>'表1-资金筹措及还本付息表'!R13</f>
        <v>0</v>
      </c>
      <c r="S21" s="277">
        <f>'表1-资金筹措及还本付息表'!S13</f>
        <v>0</v>
      </c>
      <c r="T21" s="277">
        <f>'表1-资金筹措及还本付息表'!T13</f>
        <v>0</v>
      </c>
      <c r="U21" s="277">
        <f>'表1-资金筹措及还本付息表'!U13</f>
        <v>0</v>
      </c>
      <c r="V21" s="277">
        <f>'表1-资金筹措及还本付息表'!V13</f>
        <v>0</v>
      </c>
      <c r="W21" s="277">
        <f>'表1-资金筹措及还本付息表'!W13</f>
        <v>0</v>
      </c>
      <c r="X21" s="277">
        <f>'表1-资金筹措及还本付息表'!X13</f>
        <v>0</v>
      </c>
      <c r="Y21" s="277">
        <f>'表1-资金筹措及还本付息表'!Y13</f>
        <v>0</v>
      </c>
      <c r="Z21" s="277">
        <f>'表1-资金筹措及还本付息表'!Z13</f>
        <v>0</v>
      </c>
      <c r="AA21" s="277">
        <f>'表1-资金筹措及还本付息表'!AA13</f>
        <v>0</v>
      </c>
      <c r="AB21" s="277">
        <f>'表1-资金筹措及还本付息表'!AB13</f>
        <v>0</v>
      </c>
      <c r="AC21" s="277">
        <f>'表1-资金筹措及还本付息表'!AC13</f>
        <v>0</v>
      </c>
      <c r="AD21" s="277">
        <f>'表1-资金筹措及还本付息表'!AD13</f>
        <v>0</v>
      </c>
      <c r="AE21" s="277">
        <f>'表1-资金筹措及还本付息表'!AE13</f>
        <v>0</v>
      </c>
      <c r="AF21" s="277">
        <f>'表1-资金筹措及还本付息表'!AF13</f>
        <v>0</v>
      </c>
    </row>
    <row r="22" spans="2:32">
      <c r="B22" s="239"/>
      <c r="C22" s="242" t="s">
        <v>829</v>
      </c>
      <c r="D22" s="241">
        <f ca="1" t="shared" si="8"/>
        <v>104682.948923493</v>
      </c>
      <c r="E22" s="18" t="s">
        <v>24</v>
      </c>
      <c r="F22" s="44"/>
      <c r="G22" s="44"/>
      <c r="H22" s="44"/>
      <c r="I22" s="44"/>
      <c r="J22" s="277">
        <f ca="1">'表1-资金筹措及还本付息表'!J41</f>
        <v>31488.842986802</v>
      </c>
      <c r="K22" s="277">
        <f ca="1">'表1-资金筹措及还本付息表'!K41</f>
        <v>73194.1059366915</v>
      </c>
      <c r="L22" s="277">
        <f>'表1-资金筹措及还本付息表'!L41</f>
        <v>0</v>
      </c>
      <c r="M22" s="277">
        <f>'表1-资金筹措及还本付息表'!M41</f>
        <v>0</v>
      </c>
      <c r="N22" s="277">
        <f>'表1-资金筹措及还本付息表'!N41</f>
        <v>0</v>
      </c>
      <c r="O22" s="277">
        <f>'表1-资金筹措及还本付息表'!O41</f>
        <v>0</v>
      </c>
      <c r="P22" s="277">
        <f>'表1-资金筹措及还本付息表'!P41</f>
        <v>0</v>
      </c>
      <c r="Q22" s="277">
        <f>'表1-资金筹措及还本付息表'!Q41</f>
        <v>0</v>
      </c>
      <c r="R22" s="277">
        <f>'表1-资金筹措及还本付息表'!R41</f>
        <v>0</v>
      </c>
      <c r="S22" s="277">
        <f>'表1-资金筹措及还本付息表'!S41</f>
        <v>0</v>
      </c>
      <c r="T22" s="277">
        <f>'表1-资金筹措及还本付息表'!T41</f>
        <v>0</v>
      </c>
      <c r="U22" s="277">
        <f>'表1-资金筹措及还本付息表'!U41</f>
        <v>0</v>
      </c>
      <c r="V22" s="277">
        <f>'表1-资金筹措及还本付息表'!V41</f>
        <v>0</v>
      </c>
      <c r="W22" s="277">
        <f>'表1-资金筹措及还本付息表'!W41</f>
        <v>0</v>
      </c>
      <c r="X22" s="277">
        <f>'表1-资金筹措及还本付息表'!X41</f>
        <v>0</v>
      </c>
      <c r="Y22" s="277">
        <f>'表1-资金筹措及还本付息表'!Y41</f>
        <v>0</v>
      </c>
      <c r="Z22" s="277">
        <f>'表1-资金筹措及还本付息表'!Z41</f>
        <v>0</v>
      </c>
      <c r="AA22" s="277">
        <f>'表1-资金筹措及还本付息表'!AA41</f>
        <v>0</v>
      </c>
      <c r="AB22" s="277">
        <f>'表1-资金筹措及还本付息表'!AB41</f>
        <v>0</v>
      </c>
      <c r="AC22" s="277">
        <f>'表1-资金筹措及还本付息表'!AC41</f>
        <v>0</v>
      </c>
      <c r="AD22" s="277">
        <f>'表1-资金筹措及还本付息表'!AD41</f>
        <v>0</v>
      </c>
      <c r="AE22" s="277">
        <f>'表1-资金筹措及还本付息表'!AE41</f>
        <v>0</v>
      </c>
      <c r="AF22" s="277">
        <f>'表1-资金筹措及还本付息表'!AF41</f>
        <v>0</v>
      </c>
    </row>
    <row r="23" spans="2:32">
      <c r="B23" s="239">
        <v>2.2</v>
      </c>
      <c r="C23" s="240" t="s">
        <v>830</v>
      </c>
      <c r="D23" s="241">
        <f ca="1" t="shared" si="8"/>
        <v>211307.646279178</v>
      </c>
      <c r="E23" s="18" t="s">
        <v>24</v>
      </c>
      <c r="F23" s="44"/>
      <c r="G23" s="44"/>
      <c r="H23" s="44"/>
      <c r="I23" s="44"/>
      <c r="J23" s="34">
        <f ca="1">SUM(J24:J27)</f>
        <v>2007.28044761159</v>
      </c>
      <c r="K23" s="34">
        <f ca="1" t="shared" ref="K23:O23" si="11">SUM(K24:K27)</f>
        <v>6951.25550423158</v>
      </c>
      <c r="L23" s="34">
        <f ca="1" t="shared" si="11"/>
        <v>14438.2949255645</v>
      </c>
      <c r="M23" s="34">
        <f ca="1" t="shared" si="11"/>
        <v>14342.0449255645</v>
      </c>
      <c r="N23" s="34">
        <f ca="1" t="shared" si="11"/>
        <v>13745.7949255645</v>
      </c>
      <c r="O23" s="34">
        <f ca="1" t="shared" si="11"/>
        <v>13667.7949255645</v>
      </c>
      <c r="P23" s="34">
        <f ca="1" t="shared" ref="P23:AF23" si="12">SUM(P24:P27)</f>
        <v>13589.7949255645</v>
      </c>
      <c r="Q23" s="34">
        <f ca="1" t="shared" si="12"/>
        <v>13511.7949255645</v>
      </c>
      <c r="R23" s="34">
        <f ca="1" t="shared" si="12"/>
        <v>13433.7949255645</v>
      </c>
      <c r="S23" s="34">
        <f ca="1" t="shared" si="12"/>
        <v>13355.7949255645</v>
      </c>
      <c r="T23" s="34">
        <f ca="1" t="shared" si="12"/>
        <v>13277.7949255645</v>
      </c>
      <c r="U23" s="34">
        <f ca="1" t="shared" si="12"/>
        <v>10599.7949255645</v>
      </c>
      <c r="V23" s="34">
        <f ca="1" t="shared" si="12"/>
        <v>10599.7949255645</v>
      </c>
      <c r="W23" s="34">
        <f ca="1" t="shared" si="12"/>
        <v>10599.7949255645</v>
      </c>
      <c r="X23" s="34">
        <f ca="1" t="shared" si="12"/>
        <v>10599.7949255645</v>
      </c>
      <c r="Y23" s="34">
        <f ca="1" t="shared" si="12"/>
        <v>10599.7949255645</v>
      </c>
      <c r="Z23" s="34">
        <f ca="1" t="shared" si="12"/>
        <v>10599.7949255645</v>
      </c>
      <c r="AA23" s="34">
        <f ca="1" t="shared" si="12"/>
        <v>985.924263934</v>
      </c>
      <c r="AB23" s="34">
        <f ca="1" t="shared" si="12"/>
        <v>12095.082179934</v>
      </c>
      <c r="AC23" s="34">
        <f ca="1" t="shared" si="12"/>
        <v>580.44</v>
      </c>
      <c r="AD23" s="34">
        <f ca="1" t="shared" si="12"/>
        <v>580.44</v>
      </c>
      <c r="AE23" s="34">
        <f ca="1" t="shared" si="12"/>
        <v>580.44</v>
      </c>
      <c r="AF23" s="34">
        <f ca="1" t="shared" si="12"/>
        <v>565.11</v>
      </c>
    </row>
    <row r="24" spans="2:32">
      <c r="B24" s="272"/>
      <c r="C24" s="273" t="s">
        <v>831</v>
      </c>
      <c r="D24" s="241">
        <f ca="1" t="shared" si="8"/>
        <v>132018.020173494</v>
      </c>
      <c r="E24" s="18" t="s">
        <v>24</v>
      </c>
      <c r="F24" s="44"/>
      <c r="G24" s="44"/>
      <c r="H24" s="44"/>
      <c r="I24" s="44"/>
      <c r="J24" s="44">
        <f ca="1">'表1-资金筹措及还本付息表'!J43+'表1-资金筹措及还本付息表'!J73</f>
        <v>1335.07125</v>
      </c>
      <c r="K24" s="44">
        <f ca="1">'表1-资金筹措及还本付息表'!K43+'表1-资金筹措及还本付息表'!K73</f>
        <v>2600</v>
      </c>
      <c r="L24" s="44">
        <f ca="1">'表1-资金筹措及还本付息表'!L43+'表1-资金筹措及还本付息表'!L73</f>
        <v>7712.50385792025</v>
      </c>
      <c r="M24" s="44">
        <f ca="1">'表1-资金筹措及还本付息表'!M43+'表1-资金筹措及还本付息表'!M73</f>
        <v>7932.34152381082</v>
      </c>
      <c r="N24" s="44">
        <f ca="1">'表1-资金筹措及还本付息表'!N43+'表1-资金筹措及还本付息表'!N73</f>
        <v>8161.63220933469</v>
      </c>
      <c r="O24" s="44">
        <f ca="1">'表1-资金筹措及还本付息表'!O43+'表1-资金筹措及还本付息表'!O73</f>
        <v>8400.78239433608</v>
      </c>
      <c r="P24" s="44">
        <f ca="1">'表1-资金筹措及还本付息表'!P43+'表1-资金筹措及还本付息表'!P73</f>
        <v>8650.21603729253</v>
      </c>
      <c r="Q24" s="44">
        <f ca="1">'表1-资金筹措及还本付息表'!Q43+'表1-资金筹措及还本付息表'!Q73</f>
        <v>8910.37532689611</v>
      </c>
      <c r="R24" s="44">
        <f ca="1">'表1-资金筹措及还本付息表'!R43+'表1-资金筹措及还本付息表'!R73</f>
        <v>9181.72146595264</v>
      </c>
      <c r="S24" s="44">
        <f ca="1">'表1-资金筹措及还本付息表'!S43+'表1-资金筹措及还本付息表'!S73</f>
        <v>9464.7354889886</v>
      </c>
      <c r="T24" s="44">
        <f ca="1">'表1-资金筹措及还本付息表'!T43+'表1-资金筹措及还本付息表'!T73</f>
        <v>9759.91911501511</v>
      </c>
      <c r="U24" s="44">
        <f ca="1">'表1-资金筹措及还本付息表'!U43+'表1-资金筹措及还本付息表'!U73</f>
        <v>7467.79563696076</v>
      </c>
      <c r="V24" s="44">
        <f ca="1">'表1-资金筹措及还本付息表'!V43+'表1-资金筹措及还本付息表'!V73</f>
        <v>7788.91084935007</v>
      </c>
      <c r="W24" s="44">
        <f ca="1">'表1-资金筹措及还本付息表'!W43+'表1-资金筹措及还本付息表'!W73</f>
        <v>8123.83401587212</v>
      </c>
      <c r="X24" s="44">
        <f ca="1">'表1-资金筹措及还本付息表'!X43+'表1-资金筹措及还本付息表'!X73</f>
        <v>8473.15887855463</v>
      </c>
      <c r="Y24" s="44">
        <f ca="1">'表1-资金筹措及还本付息表'!Y43+'表1-资金筹措及还本付息表'!Y73</f>
        <v>8837.50471033247</v>
      </c>
      <c r="Z24" s="44">
        <f ca="1">'表1-资金筹措及还本付息表'!Z43+'表1-资金筹措及还本付息表'!Z73</f>
        <v>9217.51741287677</v>
      </c>
      <c r="AA24" s="44">
        <f ca="1">'表1-资金筹措及还本付息表'!AA43+'表1-资金筹措及还本付息表'!AA73</f>
        <v>6.25732354819775e-13</v>
      </c>
      <c r="AB24" s="44">
        <f ca="1">'表1-资金筹措及还本付息表'!AB43+'表1-资金筹措及还本付息表'!AB73</f>
        <v>6.52638846077025e-13</v>
      </c>
      <c r="AC24" s="44">
        <f ca="1">'表1-资金筹措及还本付息表'!AC43+'表1-资金筹措及还本付息表'!AC73</f>
        <v>6.80702316458337e-13</v>
      </c>
      <c r="AD24" s="44">
        <f ca="1">'表1-资金筹措及还本付息表'!AD43+'表1-资金筹措及还本付息表'!AD73</f>
        <v>7.09972516066045e-13</v>
      </c>
      <c r="AE24" s="44">
        <f ca="1">'表1-资金筹措及还本付息表'!AE43+'表1-资金筹措及还本付息表'!AE73</f>
        <v>7.40501334256885e-13</v>
      </c>
      <c r="AF24" s="44">
        <f ca="1">'表1-资金筹措及还本付息表'!AF43+'表1-资金筹措及还本付息表'!AF73</f>
        <v>1.93085722907483e-13</v>
      </c>
    </row>
    <row r="25" spans="2:32">
      <c r="B25" s="246"/>
      <c r="C25" s="274" t="s">
        <v>832</v>
      </c>
      <c r="D25" s="248">
        <f t="shared" si="8"/>
        <v>11760</v>
      </c>
      <c r="E25" s="249" t="s">
        <v>24</v>
      </c>
      <c r="F25" s="44"/>
      <c r="G25" s="44"/>
      <c r="H25" s="44"/>
      <c r="I25" s="44"/>
      <c r="J25" s="42">
        <f>'表1-资金筹措及还本付息表'!J63</f>
        <v>0</v>
      </c>
      <c r="K25" s="42">
        <f>'表1-资金筹措及还本付息表'!K63</f>
        <v>0</v>
      </c>
      <c r="L25" s="42">
        <f>'表1-资金筹措及还本付息表'!L63</f>
        <v>560</v>
      </c>
      <c r="M25" s="42">
        <f>'表1-资金筹措及还本付息表'!M63</f>
        <v>560</v>
      </c>
      <c r="N25" s="42">
        <f>'表1-资金筹措及还本付息表'!N63</f>
        <v>560</v>
      </c>
      <c r="O25" s="42">
        <f>'表1-资金筹措及还本付息表'!O63</f>
        <v>560</v>
      </c>
      <c r="P25" s="42">
        <f>'表1-资金筹措及还本付息表'!P63</f>
        <v>560</v>
      </c>
      <c r="Q25" s="42">
        <f>'表1-资金筹措及还本付息表'!Q63</f>
        <v>560</v>
      </c>
      <c r="R25" s="42">
        <f>'表1-资金筹措及还本付息表'!R63</f>
        <v>560</v>
      </c>
      <c r="S25" s="42">
        <f>'表1-资金筹措及还本付息表'!S63</f>
        <v>560</v>
      </c>
      <c r="T25" s="42">
        <f>'表1-资金筹措及还本付息表'!T63</f>
        <v>560</v>
      </c>
      <c r="U25" s="42">
        <f>'表1-资金筹措及还本付息表'!U63</f>
        <v>560</v>
      </c>
      <c r="V25" s="42">
        <f>'表1-资金筹措及还本付息表'!V63</f>
        <v>560</v>
      </c>
      <c r="W25" s="42">
        <f>'表1-资金筹措及还本付息表'!W63</f>
        <v>560</v>
      </c>
      <c r="X25" s="42">
        <f>'表1-资金筹措及还本付息表'!X63</f>
        <v>560</v>
      </c>
      <c r="Y25" s="42">
        <f>'表1-资金筹措及还本付息表'!Y63</f>
        <v>560</v>
      </c>
      <c r="Z25" s="42">
        <f>'表1-资金筹措及还本付息表'!Z63</f>
        <v>560</v>
      </c>
      <c r="AA25" s="42">
        <f>'表1-资金筹措及还本付息表'!AA63</f>
        <v>560</v>
      </c>
      <c r="AB25" s="42">
        <f>'表1-资金筹措及还本付息表'!AB63</f>
        <v>560</v>
      </c>
      <c r="AC25" s="42">
        <f>'表1-资金筹措及还本付息表'!AC63</f>
        <v>560</v>
      </c>
      <c r="AD25" s="42">
        <f>'表1-资金筹措及还本付息表'!AD63</f>
        <v>560</v>
      </c>
      <c r="AE25" s="42">
        <f>'表1-资金筹措及还本付息表'!AE63</f>
        <v>560</v>
      </c>
      <c r="AF25" s="42">
        <f>'表1-资金筹措及还本付息表'!AF63</f>
        <v>560</v>
      </c>
    </row>
    <row r="26" spans="2:32">
      <c r="B26" s="272"/>
      <c r="C26" s="273" t="s">
        <v>833</v>
      </c>
      <c r="D26" s="241">
        <f t="shared" ref="D26:D28" si="13">SUM(F26:AF26)</f>
        <v>12609.157916</v>
      </c>
      <c r="E26" s="18" t="s">
        <v>24</v>
      </c>
      <c r="F26" s="44"/>
      <c r="G26" s="44"/>
      <c r="H26" s="44"/>
      <c r="I26" s="44"/>
      <c r="J26" s="34">
        <f>'表1-资金筹措及还本付息表'!J83</f>
        <v>0</v>
      </c>
      <c r="K26" s="34">
        <f>'表1-资金筹措及还本付息表'!K83</f>
        <v>500</v>
      </c>
      <c r="L26" s="34">
        <f>'表1-资金筹措及还本付息表'!L83</f>
        <v>500</v>
      </c>
      <c r="M26" s="34">
        <f>'表1-资金筹措及还本付息表'!M83</f>
        <v>500</v>
      </c>
      <c r="N26" s="34">
        <f>'表1-资金筹措及还本付息表'!N83</f>
        <v>0</v>
      </c>
      <c r="O26" s="34">
        <f>'表1-资金筹措及还本付息表'!O83</f>
        <v>0</v>
      </c>
      <c r="P26" s="34">
        <f>'表1-资金筹措及还本付息表'!P83</f>
        <v>0</v>
      </c>
      <c r="Q26" s="34">
        <f>'表1-资金筹措及还本付息表'!Q83</f>
        <v>0</v>
      </c>
      <c r="R26" s="34">
        <f>'表1-资金筹措及还本付息表'!R83</f>
        <v>0</v>
      </c>
      <c r="S26" s="34">
        <f>'表1-资金筹措及还本付息表'!S83</f>
        <v>0</v>
      </c>
      <c r="T26" s="34">
        <f>'表1-资金筹措及还本付息表'!T83</f>
        <v>0</v>
      </c>
      <c r="U26" s="34">
        <f>'表1-资金筹措及还本付息表'!U83</f>
        <v>0</v>
      </c>
      <c r="V26" s="34">
        <f>'表1-资金筹措及还本付息表'!V83</f>
        <v>0</v>
      </c>
      <c r="W26" s="34">
        <f>'表1-资金筹措及还本付息表'!W83</f>
        <v>0</v>
      </c>
      <c r="X26" s="34">
        <f>'表1-资金筹措及还本付息表'!X83</f>
        <v>0</v>
      </c>
      <c r="Y26" s="34">
        <f>'表1-资金筹措及还本付息表'!Y83</f>
        <v>0</v>
      </c>
      <c r="Z26" s="34">
        <f>'表1-资金筹措及还本付息表'!Z83</f>
        <v>0</v>
      </c>
      <c r="AA26" s="34">
        <f>'表1-资金筹措及还本付息表'!AA83</f>
        <v>0</v>
      </c>
      <c r="AB26" s="34">
        <f>'表1-资金筹措及还本付息表'!AB83</f>
        <v>11109.157916</v>
      </c>
      <c r="AC26" s="34">
        <f>'表1-资金筹措及还本付息表'!AC83</f>
        <v>0</v>
      </c>
      <c r="AD26" s="34">
        <f>'表1-资金筹措及还本付息表'!AD83</f>
        <v>0</v>
      </c>
      <c r="AE26" s="34">
        <f>'表1-资金筹措及还本付息表'!AE83</f>
        <v>0</v>
      </c>
      <c r="AF26" s="34">
        <f>'表1-资金筹措及还本付息表'!AF83</f>
        <v>0</v>
      </c>
    </row>
    <row r="27" spans="2:32">
      <c r="B27" s="272"/>
      <c r="C27" s="273" t="s">
        <v>834</v>
      </c>
      <c r="D27" s="241">
        <f ca="1" t="shared" si="13"/>
        <v>54920.4681896846</v>
      </c>
      <c r="E27" s="18" t="s">
        <v>24</v>
      </c>
      <c r="F27" s="44"/>
      <c r="G27" s="44"/>
      <c r="H27" s="44"/>
      <c r="I27" s="44"/>
      <c r="J27" s="34">
        <f ca="1">'表1-资金筹措及还本付息表'!J94</f>
        <v>672.209197611594</v>
      </c>
      <c r="K27" s="34">
        <f ca="1">'表1-资金筹措及还本付息表'!K94</f>
        <v>3851.25550423158</v>
      </c>
      <c r="L27" s="34">
        <f ca="1">'表1-资金筹措及还本付息表'!L94</f>
        <v>5665.79106764422</v>
      </c>
      <c r="M27" s="34">
        <f ca="1">'表1-资金筹措及还本付息表'!M94</f>
        <v>5349.70340175365</v>
      </c>
      <c r="N27" s="34">
        <f ca="1">'表1-资金筹措及还本付息表'!N94</f>
        <v>5024.16271622978</v>
      </c>
      <c r="O27" s="34">
        <f ca="1">'表1-资金筹措及还本付息表'!O94</f>
        <v>4707.01253122839</v>
      </c>
      <c r="P27" s="34">
        <f ca="1">'表1-资金筹措及还本付息表'!P94</f>
        <v>4379.57888827194</v>
      </c>
      <c r="Q27" s="34">
        <f ca="1">'表1-资金筹措及还本付息表'!Q94</f>
        <v>4041.41959866836</v>
      </c>
      <c r="R27" s="34">
        <f ca="1">'表1-资金筹措及还本付息表'!R94</f>
        <v>3692.07345961183</v>
      </c>
      <c r="S27" s="34">
        <f ca="1">'表1-资金筹措及还本付息表'!S94</f>
        <v>3331.05943657587</v>
      </c>
      <c r="T27" s="34">
        <f ca="1">'表1-资金筹措及还本付息表'!T94</f>
        <v>2957.87581054936</v>
      </c>
      <c r="U27" s="34">
        <f ca="1">'表1-资金筹措及还本付息表'!U94</f>
        <v>2571.99928860371</v>
      </c>
      <c r="V27" s="34">
        <f ca="1">'表1-资金筹措及还本付息表'!V94</f>
        <v>2250.8840762144</v>
      </c>
      <c r="W27" s="34">
        <f ca="1">'表1-资金筹措及还本付息表'!W94</f>
        <v>1915.96090969235</v>
      </c>
      <c r="X27" s="34">
        <f ca="1">'表1-资金筹措及还本付息表'!X94</f>
        <v>1566.63604700984</v>
      </c>
      <c r="Y27" s="34">
        <f ca="1">'表1-资金筹措及还本付息表'!Y94</f>
        <v>1202.290215232</v>
      </c>
      <c r="Z27" s="34">
        <f ca="1">'表1-资金筹措及还本付息表'!Z94</f>
        <v>822.2775126877</v>
      </c>
      <c r="AA27" s="34">
        <f ca="1">'表1-资金筹措及还本付息表'!AA94</f>
        <v>425.924263933999</v>
      </c>
      <c r="AB27" s="34">
        <f ca="1">'表1-资金筹措及还本付息表'!AB94</f>
        <v>425.924263933999</v>
      </c>
      <c r="AC27" s="34">
        <f ca="1">'表1-资金筹措及还本付息表'!AC94</f>
        <v>20.4399999999993</v>
      </c>
      <c r="AD27" s="34">
        <f ca="1">'表1-资金筹措及还本付息表'!AD94</f>
        <v>20.4399999999993</v>
      </c>
      <c r="AE27" s="34">
        <f ca="1">'表1-资金筹措及还本付息表'!AE94</f>
        <v>20.4399999999993</v>
      </c>
      <c r="AF27" s="34">
        <f ca="1">'表1-资金筹措及还本付息表'!AF94</f>
        <v>5.10999999999981</v>
      </c>
    </row>
    <row r="28" spans="2:32">
      <c r="B28" s="246">
        <v>2.3</v>
      </c>
      <c r="C28" s="271" t="s">
        <v>180</v>
      </c>
      <c r="D28" s="248">
        <f t="shared" si="13"/>
        <v>800</v>
      </c>
      <c r="E28" s="249" t="s">
        <v>24</v>
      </c>
      <c r="F28" s="44"/>
      <c r="G28" s="44"/>
      <c r="H28" s="44"/>
      <c r="I28" s="44"/>
      <c r="J28" s="42">
        <f>'表1-资金筹措及还本付息表'!J10</f>
        <v>0</v>
      </c>
      <c r="K28" s="42">
        <f>'表1-资金筹措及还本付息表'!K10</f>
        <v>0</v>
      </c>
      <c r="L28" s="42">
        <f>'表1-资金筹措及还本付息表'!L10</f>
        <v>800</v>
      </c>
      <c r="M28" s="42">
        <f>'表1-资金筹措及还本付息表'!M10</f>
        <v>0</v>
      </c>
      <c r="N28" s="42">
        <f>'表1-资金筹措及还本付息表'!N10</f>
        <v>0</v>
      </c>
      <c r="O28" s="42">
        <f>'表1-资金筹措及还本付息表'!O10</f>
        <v>0</v>
      </c>
      <c r="P28" s="42">
        <f>'表1-资金筹措及还本付息表'!P10</f>
        <v>0</v>
      </c>
      <c r="Q28" s="42">
        <f>'表1-资金筹措及还本付息表'!Q10</f>
        <v>0</v>
      </c>
      <c r="R28" s="42">
        <f>'表1-资金筹措及还本付息表'!R10</f>
        <v>0</v>
      </c>
      <c r="S28" s="42">
        <f>'表1-资金筹措及还本付息表'!S10</f>
        <v>0</v>
      </c>
      <c r="T28" s="42">
        <f>'表1-资金筹措及还本付息表'!T10</f>
        <v>0</v>
      </c>
      <c r="U28" s="42">
        <f>'表1-资金筹措及还本付息表'!U10</f>
        <v>0</v>
      </c>
      <c r="V28" s="42">
        <f>'表1-资金筹措及还本付息表'!V10</f>
        <v>0</v>
      </c>
      <c r="W28" s="42">
        <f>'表1-资金筹措及还本付息表'!W10</f>
        <v>0</v>
      </c>
      <c r="X28" s="42">
        <f>'表1-资金筹措及还本付息表'!X10</f>
        <v>0</v>
      </c>
      <c r="Y28" s="42">
        <f>'表1-资金筹措及还本付息表'!Y10</f>
        <v>0</v>
      </c>
      <c r="Z28" s="42">
        <f>'表1-资金筹措及还本付息表'!Z10</f>
        <v>0</v>
      </c>
      <c r="AA28" s="42">
        <f>'表1-资金筹措及还本付息表'!AA10</f>
        <v>0</v>
      </c>
      <c r="AB28" s="42">
        <f>'表1-资金筹措及还本付息表'!AB10</f>
        <v>0</v>
      </c>
      <c r="AC28" s="42">
        <f>'表1-资金筹措及还本付息表'!AC10</f>
        <v>0</v>
      </c>
      <c r="AD28" s="42">
        <f>'表1-资金筹措及还本付息表'!AD10</f>
        <v>0</v>
      </c>
      <c r="AE28" s="42">
        <f>'表1-资金筹措及还本付息表'!AE10</f>
        <v>0</v>
      </c>
      <c r="AF28" s="42">
        <f>'表1-资金筹措及还本付息表'!AF10</f>
        <v>0</v>
      </c>
    </row>
    <row r="29" spans="2:32">
      <c r="B29" s="246">
        <v>2.4</v>
      </c>
      <c r="C29" s="240" t="s">
        <v>835</v>
      </c>
      <c r="D29" s="241">
        <f ca="1" t="shared" ref="D29:D34" si="14">SUM(F29:AF29)</f>
        <v>69080.5004651356</v>
      </c>
      <c r="E29" s="18" t="s">
        <v>24</v>
      </c>
      <c r="F29" s="44"/>
      <c r="G29" s="44"/>
      <c r="H29" s="44"/>
      <c r="I29" s="44"/>
      <c r="J29" s="34">
        <f>'表3-成本费用表'!J53</f>
        <v>289.069392252187</v>
      </c>
      <c r="K29" s="34">
        <f>'表3-成本费用表'!K53</f>
        <v>1762.50916358072</v>
      </c>
      <c r="L29" s="34">
        <f>'表3-成本费用表'!L53</f>
        <v>2282.6780715292</v>
      </c>
      <c r="M29" s="34">
        <f>'表3-成本费用表'!M53</f>
        <v>3064.12616714774</v>
      </c>
      <c r="N29" s="34">
        <f>'表3-成本费用表'!N53</f>
        <v>2592.92616714774</v>
      </c>
      <c r="O29" s="34">
        <f>'表3-成本费用表'!O53</f>
        <v>2621.72616714774</v>
      </c>
      <c r="P29" s="34">
        <f>'表3-成本费用表'!P53</f>
        <v>2650.52616714774</v>
      </c>
      <c r="Q29" s="34">
        <f>'表3-成本费用表'!Q53</f>
        <v>2679.32616714774</v>
      </c>
      <c r="R29" s="34">
        <f>'表3-成本费用表'!R53</f>
        <v>3391.65851930592</v>
      </c>
      <c r="S29" s="34">
        <f>'表3-成本费用表'!S53</f>
        <v>2920.45851930592</v>
      </c>
      <c r="T29" s="34">
        <f>'表3-成本费用表'!T53</f>
        <v>2949.25851930592</v>
      </c>
      <c r="U29" s="34">
        <f>'表3-成本费用表'!U53</f>
        <v>2978.05851930592</v>
      </c>
      <c r="V29" s="34">
        <f>'表3-成本费用表'!V53</f>
        <v>3006.85851930592</v>
      </c>
      <c r="W29" s="34">
        <f>'表3-成本费用表'!W53</f>
        <v>3719.1908714641</v>
      </c>
      <c r="X29" s="34">
        <f>'表3-成本费用表'!X53</f>
        <v>3247.9908714641</v>
      </c>
      <c r="Y29" s="34">
        <f>'表3-成本费用表'!Y53</f>
        <v>3276.7908714641</v>
      </c>
      <c r="Z29" s="34">
        <f>'表3-成本费用表'!Z53</f>
        <v>3305.5908714641</v>
      </c>
      <c r="AA29" s="34">
        <f>'表3-成本费用表'!AA53</f>
        <v>3334.3908714641</v>
      </c>
      <c r="AB29" s="34">
        <f>'表3-成本费用表'!AB53</f>
        <v>4046.72322362228</v>
      </c>
      <c r="AC29" s="34">
        <f>'表3-成本费用表'!AC53</f>
        <v>3575.52322362228</v>
      </c>
      <c r="AD29" s="34">
        <f>'表3-成本费用表'!AD53</f>
        <v>3604.32322362228</v>
      </c>
      <c r="AE29" s="34">
        <f>'表3-成本费用表'!AE53</f>
        <v>3633.12322362228</v>
      </c>
      <c r="AF29" s="34">
        <f ca="1">'表3-成本费用表'!AF53</f>
        <v>4147.67315369565</v>
      </c>
    </row>
    <row r="30" spans="2:32">
      <c r="B30" s="246">
        <v>2.5</v>
      </c>
      <c r="C30" s="240" t="s">
        <v>630</v>
      </c>
      <c r="D30" s="241">
        <f t="shared" si="14"/>
        <v>0</v>
      </c>
      <c r="E30" s="18" t="s">
        <v>24</v>
      </c>
      <c r="F30" s="44"/>
      <c r="G30" s="44"/>
      <c r="H30" s="44"/>
      <c r="I30" s="44"/>
      <c r="J30" s="34">
        <f>'表3-成本费用表'!J67</f>
        <v>0</v>
      </c>
      <c r="K30" s="34">
        <f>'表3-成本费用表'!K67</f>
        <v>0</v>
      </c>
      <c r="L30" s="34">
        <f>'表3-成本费用表'!L67</f>
        <v>0</v>
      </c>
      <c r="M30" s="34">
        <f>'表3-成本费用表'!M67</f>
        <v>0</v>
      </c>
      <c r="N30" s="34">
        <f>'表3-成本费用表'!N67</f>
        <v>0</v>
      </c>
      <c r="O30" s="34">
        <f>'表3-成本费用表'!O67</f>
        <v>0</v>
      </c>
      <c r="P30" s="34">
        <f>'表3-成本费用表'!P67</f>
        <v>0</v>
      </c>
      <c r="Q30" s="34">
        <f>'表3-成本费用表'!Q67</f>
        <v>0</v>
      </c>
      <c r="R30" s="34">
        <f>'表3-成本费用表'!R67</f>
        <v>0</v>
      </c>
      <c r="S30" s="34">
        <f>'表3-成本费用表'!S67</f>
        <v>0</v>
      </c>
      <c r="T30" s="34">
        <f>'表3-成本费用表'!T67</f>
        <v>0</v>
      </c>
      <c r="U30" s="34">
        <f>'表3-成本费用表'!U67</f>
        <v>0</v>
      </c>
      <c r="V30" s="34">
        <f>'表3-成本费用表'!V67</f>
        <v>0</v>
      </c>
      <c r="W30" s="34">
        <f>'表3-成本费用表'!W67</f>
        <v>0</v>
      </c>
      <c r="X30" s="34">
        <f>'表3-成本费用表'!X67</f>
        <v>0</v>
      </c>
      <c r="Y30" s="34">
        <f>'表3-成本费用表'!Y67</f>
        <v>0</v>
      </c>
      <c r="Z30" s="34">
        <f>'表3-成本费用表'!Z67</f>
        <v>0</v>
      </c>
      <c r="AA30" s="34">
        <f>'表3-成本费用表'!AA67</f>
        <v>0</v>
      </c>
      <c r="AB30" s="34">
        <f>'表3-成本费用表'!AB67</f>
        <v>0</v>
      </c>
      <c r="AC30" s="34">
        <f>'表3-成本费用表'!AC67</f>
        <v>0</v>
      </c>
      <c r="AD30" s="34">
        <f>'表3-成本费用表'!AD67</f>
        <v>0</v>
      </c>
      <c r="AE30" s="34">
        <f>'表3-成本费用表'!AE67</f>
        <v>0</v>
      </c>
      <c r="AF30" s="34">
        <f>'表3-成本费用表'!AF67</f>
        <v>0</v>
      </c>
    </row>
    <row r="31" spans="2:32">
      <c r="B31" s="246">
        <v>2.6</v>
      </c>
      <c r="C31" s="240" t="s">
        <v>836</v>
      </c>
      <c r="D31" s="241">
        <f ca="1" t="shared" si="14"/>
        <v>29735.5712155891</v>
      </c>
      <c r="E31" s="18" t="s">
        <v>24</v>
      </c>
      <c r="F31" s="44"/>
      <c r="G31" s="44"/>
      <c r="H31" s="44"/>
      <c r="I31" s="44"/>
      <c r="J31" s="34">
        <f>'表4-收入税金表'!J32</f>
        <v>0</v>
      </c>
      <c r="K31" s="34">
        <f>'表4-收入税金表'!K32</f>
        <v>0</v>
      </c>
      <c r="L31" s="34">
        <f>'表4-收入税金表'!L32</f>
        <v>0</v>
      </c>
      <c r="M31" s="34">
        <f>'表4-收入税金表'!M32</f>
        <v>0</v>
      </c>
      <c r="N31" s="34">
        <f>'表4-收入税金表'!N32</f>
        <v>0</v>
      </c>
      <c r="O31" s="34">
        <f>'表4-收入税金表'!O32</f>
        <v>0</v>
      </c>
      <c r="P31" s="34">
        <f>'表4-收入税金表'!P32</f>
        <v>0</v>
      </c>
      <c r="Q31" s="34">
        <f>'表4-收入税金表'!Q32</f>
        <v>0</v>
      </c>
      <c r="R31" s="34">
        <f>'表4-收入税金表'!R32</f>
        <v>2283.50738310551</v>
      </c>
      <c r="S31" s="34">
        <f>'表4-收入税金表'!S32</f>
        <v>2375.95323256637</v>
      </c>
      <c r="T31" s="34">
        <f>'表4-收入税金表'!T32</f>
        <v>2364.87906867257</v>
      </c>
      <c r="U31" s="34">
        <f>'表4-收入税金表'!U32</f>
        <v>2353.80455964602</v>
      </c>
      <c r="V31" s="34">
        <f>'表4-收入税金表'!V32</f>
        <v>2342.73039575221</v>
      </c>
      <c r="W31" s="34">
        <f>'表4-收入税金表'!W32</f>
        <v>2290.37148305594</v>
      </c>
      <c r="X31" s="34">
        <f>'表4-收入税金表'!X32</f>
        <v>2320.58172283186</v>
      </c>
      <c r="Y31" s="34">
        <f>'表4-收入税金表'!Y32</f>
        <v>2309.50755893805</v>
      </c>
      <c r="Z31" s="34">
        <f>'表4-收入税金表'!Z32</f>
        <v>1963.9491219469</v>
      </c>
      <c r="AA31" s="34">
        <f>'表4-收入税金表'!AA32</f>
        <v>1765.19071610619</v>
      </c>
      <c r="AB31" s="34">
        <f>'表4-收入税金表'!AB32</f>
        <v>1715.40124765771</v>
      </c>
      <c r="AC31" s="34">
        <f>'表4-收入税金表'!AC32</f>
        <v>1748.18093168142</v>
      </c>
      <c r="AD31" s="34">
        <f>'表4-收入税金表'!AD32</f>
        <v>1739.6762120354</v>
      </c>
      <c r="AE31" s="34">
        <f>'表4-收入税金表'!AE32</f>
        <v>1731.17114725664</v>
      </c>
      <c r="AF31" s="34">
        <f ca="1">'表4-收入税金表'!AF32</f>
        <v>430.666434336283</v>
      </c>
    </row>
    <row r="32" spans="2:32">
      <c r="B32" s="246">
        <v>2.7</v>
      </c>
      <c r="C32" s="240" t="s">
        <v>837</v>
      </c>
      <c r="D32" s="241">
        <f ca="1" t="shared" si="14"/>
        <v>3568.26854587069</v>
      </c>
      <c r="E32" s="18" t="s">
        <v>24</v>
      </c>
      <c r="F32" s="44"/>
      <c r="G32" s="44"/>
      <c r="H32" s="44"/>
      <c r="I32" s="44"/>
      <c r="J32" s="34">
        <f>'表4-收入税金表'!J62+'表4-收入税金表'!J66</f>
        <v>0</v>
      </c>
      <c r="K32" s="34">
        <f>'表4-收入税金表'!K62+'表4-收入税金表'!K66</f>
        <v>0</v>
      </c>
      <c r="L32" s="34">
        <f>'表4-收入税金表'!L62+'表4-收入税金表'!L66</f>
        <v>0</v>
      </c>
      <c r="M32" s="34">
        <f>'表4-收入税金表'!M62+'表4-收入税金表'!M66</f>
        <v>0</v>
      </c>
      <c r="N32" s="34">
        <f>'表4-收入税金表'!N62+'表4-收入税金表'!N66</f>
        <v>0</v>
      </c>
      <c r="O32" s="34">
        <f>'表4-收入税金表'!O62+'表4-收入税金表'!O66</f>
        <v>0</v>
      </c>
      <c r="P32" s="34">
        <f>'表4-收入税金表'!P62+'表4-收入税金表'!P66</f>
        <v>0</v>
      </c>
      <c r="Q32" s="34">
        <f>'表4-收入税金表'!Q62+'表4-收入税金表'!Q66</f>
        <v>0</v>
      </c>
      <c r="R32" s="34">
        <f>'表4-收入税金表'!R62+'表4-收入税金表'!R66</f>
        <v>274.020885972662</v>
      </c>
      <c r="S32" s="34">
        <f>'表4-收入税金表'!S62+'表4-收入税金表'!S66</f>
        <v>285.114387907965</v>
      </c>
      <c r="T32" s="34">
        <f>'表4-收入税金表'!T62+'表4-收入税金表'!T66</f>
        <v>283.785488240708</v>
      </c>
      <c r="U32" s="34">
        <f>'表4-收入税金表'!U62+'表4-收入税金表'!U66</f>
        <v>282.456547157522</v>
      </c>
      <c r="V32" s="34">
        <f>'表4-收入税金表'!V62+'表4-收入税金表'!V66</f>
        <v>281.127647490266</v>
      </c>
      <c r="W32" s="34">
        <f>'表4-收入税金表'!W62+'表4-收入税金表'!W66</f>
        <v>274.844577966713</v>
      </c>
      <c r="X32" s="34">
        <f>'表4-收入税金表'!X62+'表4-收入税金表'!X66</f>
        <v>278.469806739823</v>
      </c>
      <c r="Y32" s="34">
        <f>'表4-收入税金表'!Y62+'表4-收入税金表'!Y66</f>
        <v>277.140907072566</v>
      </c>
      <c r="Z32" s="34">
        <f>'表4-收入税金表'!Z62+'表4-收入税金表'!Z66</f>
        <v>235.673894633628</v>
      </c>
      <c r="AA32" s="34">
        <f>'表4-收入税金表'!AA62+'表4-收入税金表'!AA66</f>
        <v>211.822885932743</v>
      </c>
      <c r="AB32" s="34">
        <f>'表4-收入税金表'!AB62+'表4-收入税金表'!AB66</f>
        <v>205.848149718925</v>
      </c>
      <c r="AC32" s="34">
        <f>'表4-收入税金表'!AC62+'表4-收入税金表'!AC66</f>
        <v>209.78171180177</v>
      </c>
      <c r="AD32" s="34">
        <f>'表4-收入税金表'!AD62+'表4-收入税金表'!AD66</f>
        <v>208.761145444248</v>
      </c>
      <c r="AE32" s="34">
        <f>'表4-收入税金表'!AE62+'表4-收入税金表'!AE66</f>
        <v>207.740537670796</v>
      </c>
      <c r="AF32" s="34">
        <f ca="1">'表4-收入税金表'!AF62+'表4-收入税金表'!AF66</f>
        <v>51.679972120354</v>
      </c>
    </row>
    <row r="33" spans="2:32">
      <c r="B33" s="246">
        <v>2.8</v>
      </c>
      <c r="C33" s="240" t="s">
        <v>838</v>
      </c>
      <c r="D33" s="241">
        <f t="shared" si="14"/>
        <v>0</v>
      </c>
      <c r="E33" s="18" t="s">
        <v>24</v>
      </c>
      <c r="F33" s="44"/>
      <c r="G33" s="44"/>
      <c r="H33" s="44"/>
      <c r="I33" s="44"/>
      <c r="J33" s="34">
        <f>参数输入表!$I$500</f>
        <v>0</v>
      </c>
      <c r="K33" s="34">
        <f>参数输入表!$I$501</f>
        <v>0</v>
      </c>
      <c r="L33" s="34">
        <f>参数输入表!$I$502</f>
        <v>0</v>
      </c>
      <c r="M33" s="34">
        <f>参数输入表!$I$503</f>
        <v>0</v>
      </c>
      <c r="N33" s="34">
        <f>参数输入表!$I$504</f>
        <v>0</v>
      </c>
      <c r="O33" s="34">
        <f>参数输入表!$I$505</f>
        <v>0</v>
      </c>
      <c r="P33" s="34">
        <f>参数输入表!$I$506</f>
        <v>0</v>
      </c>
      <c r="Q33" s="34">
        <f>参数输入表!$I$507</f>
        <v>0</v>
      </c>
      <c r="R33" s="34">
        <f>参数输入表!$I$508</f>
        <v>0</v>
      </c>
      <c r="S33" s="34">
        <f>参数输入表!$I$509</f>
        <v>0</v>
      </c>
      <c r="T33" s="34">
        <f>参数输入表!$I$510</f>
        <v>0</v>
      </c>
      <c r="U33" s="34">
        <f>参数输入表!$I$511</f>
        <v>0</v>
      </c>
      <c r="V33" s="34">
        <f>参数输入表!$I$512</f>
        <v>0</v>
      </c>
      <c r="W33" s="34">
        <f>参数输入表!$I$513</f>
        <v>0</v>
      </c>
      <c r="X33" s="34">
        <f>参数输入表!$I$514</f>
        <v>0</v>
      </c>
      <c r="Y33" s="34">
        <f>参数输入表!$I$515</f>
        <v>0</v>
      </c>
      <c r="Z33" s="34">
        <f>参数输入表!$I$516</f>
        <v>0</v>
      </c>
      <c r="AA33" s="34">
        <f>参数输入表!$I$517</f>
        <v>0</v>
      </c>
      <c r="AB33" s="34">
        <f>参数输入表!$I$518</f>
        <v>0</v>
      </c>
      <c r="AC33" s="34">
        <f>参数输入表!$I$519</f>
        <v>0</v>
      </c>
      <c r="AD33" s="34">
        <f>参数输入表!$I$520</f>
        <v>0</v>
      </c>
      <c r="AE33" s="34">
        <f>参数输入表!$I$521</f>
        <v>0</v>
      </c>
      <c r="AF33" s="34">
        <f>参数输入表!$I$522</f>
        <v>0</v>
      </c>
    </row>
    <row r="34" spans="2:32">
      <c r="B34" s="236">
        <v>3</v>
      </c>
      <c r="C34" s="237" t="s">
        <v>839</v>
      </c>
      <c r="D34" s="238">
        <f ca="1" t="shared" si="14"/>
        <v>71747.4622713954</v>
      </c>
      <c r="E34" s="18" t="s">
        <v>24</v>
      </c>
      <c r="F34" s="19"/>
      <c r="G34" s="19"/>
      <c r="H34" s="19"/>
      <c r="I34" s="28">
        <f>-参数输入表!$I$11</f>
        <v>-8000</v>
      </c>
      <c r="J34" s="39">
        <f ca="1" t="shared" ref="J34:P34" si="15">J5-J19</f>
        <v>-7491.55411086445</v>
      </c>
      <c r="K34" s="39">
        <f ca="1" t="shared" si="15"/>
        <v>-16134.3550693928</v>
      </c>
      <c r="L34" s="39">
        <f ca="1" t="shared" si="15"/>
        <v>6903.71716765634</v>
      </c>
      <c r="M34" s="39">
        <f ca="1" t="shared" si="15"/>
        <v>5196.36513228781</v>
      </c>
      <c r="N34" s="39">
        <f ca="1" t="shared" si="15"/>
        <v>5374.3536752878</v>
      </c>
      <c r="O34" s="39">
        <f ca="1" t="shared" si="15"/>
        <v>5327.2936352878</v>
      </c>
      <c r="P34" s="39">
        <f ca="1" t="shared" si="15"/>
        <v>5280.2311952878</v>
      </c>
      <c r="Q34" s="39">
        <f ca="1" t="shared" ref="Q34:AF34" si="16">Q5-Q19</f>
        <v>5233.17055528781</v>
      </c>
      <c r="R34" s="39">
        <f ca="1" t="shared" si="16"/>
        <v>1945.04749405145</v>
      </c>
      <c r="S34" s="39">
        <f ca="1" t="shared" si="16"/>
        <v>2294.44750265529</v>
      </c>
      <c r="T34" s="39">
        <f ca="1" t="shared" si="16"/>
        <v>2259.79052621635</v>
      </c>
      <c r="U34" s="39">
        <f ca="1" t="shared" si="16"/>
        <v>4825.13153632609</v>
      </c>
      <c r="V34" s="39">
        <f ca="1" t="shared" si="16"/>
        <v>4712.47395988715</v>
      </c>
      <c r="W34" s="39">
        <f ca="1" t="shared" si="16"/>
        <v>3962.52114994879</v>
      </c>
      <c r="X34" s="39">
        <f ca="1" t="shared" si="16"/>
        <v>4303.62504139976</v>
      </c>
      <c r="Y34" s="39">
        <f ca="1" t="shared" si="16"/>
        <v>4190.96806496082</v>
      </c>
      <c r="Z34" s="39">
        <f ca="1" t="shared" si="16"/>
        <v>2126.98129839092</v>
      </c>
      <c r="AA34" s="39">
        <f ca="1" t="shared" si="16"/>
        <v>9951.78594656296</v>
      </c>
      <c r="AB34" s="39">
        <f ca="1" t="shared" si="16"/>
        <v>-2218.61687293291</v>
      </c>
      <c r="AC34" s="39">
        <f ca="1" t="shared" si="16"/>
        <v>9656.58582089454</v>
      </c>
      <c r="AD34" s="39">
        <f ca="1" t="shared" si="16"/>
        <v>9563.38546689808</v>
      </c>
      <c r="AE34" s="39">
        <f ca="1" t="shared" si="16"/>
        <v>9470.18309945029</v>
      </c>
      <c r="AF34" s="39">
        <f ca="1" t="shared" si="16"/>
        <v>3013.93005584771</v>
      </c>
    </row>
    <row r="35" spans="2:32">
      <c r="B35" s="236">
        <v>4</v>
      </c>
      <c r="C35" s="251" t="s">
        <v>840</v>
      </c>
      <c r="D35" s="16"/>
      <c r="E35" s="18" t="s">
        <v>24</v>
      </c>
      <c r="F35" s="19"/>
      <c r="G35" s="19"/>
      <c r="H35" s="19"/>
      <c r="I35" s="19">
        <f t="shared" ref="I35:O35" si="17">H35+I34</f>
        <v>-8000</v>
      </c>
      <c r="J35" s="39">
        <f ca="1" t="shared" si="17"/>
        <v>-15491.5541108645</v>
      </c>
      <c r="K35" s="39">
        <f ca="1" t="shared" si="17"/>
        <v>-31625.9091802572</v>
      </c>
      <c r="L35" s="39">
        <f ca="1" t="shared" si="17"/>
        <v>-24722.1920126009</v>
      </c>
      <c r="M35" s="39">
        <f ca="1" t="shared" si="17"/>
        <v>-19525.8268803131</v>
      </c>
      <c r="N35" s="39">
        <f ca="1" t="shared" si="17"/>
        <v>-14151.4732050253</v>
      </c>
      <c r="O35" s="39">
        <f ca="1" t="shared" si="17"/>
        <v>-8824.17956973748</v>
      </c>
      <c r="P35" s="39">
        <f ca="1" t="shared" ref="P35:AF35" si="18">O35+P34</f>
        <v>-3543.94837444968</v>
      </c>
      <c r="Q35" s="39">
        <f ca="1" t="shared" si="18"/>
        <v>1689.22218083813</v>
      </c>
      <c r="R35" s="39">
        <f ca="1" t="shared" si="18"/>
        <v>3634.26967488958</v>
      </c>
      <c r="S35" s="39">
        <f ca="1" t="shared" si="18"/>
        <v>5928.71717754487</v>
      </c>
      <c r="T35" s="39">
        <f ca="1" t="shared" si="18"/>
        <v>8188.50770376121</v>
      </c>
      <c r="U35" s="39">
        <f ca="1" t="shared" si="18"/>
        <v>13013.6392400873</v>
      </c>
      <c r="V35" s="39">
        <f ca="1" t="shared" si="18"/>
        <v>17726.1131999744</v>
      </c>
      <c r="W35" s="39">
        <f ca="1" t="shared" si="18"/>
        <v>21688.6343499232</v>
      </c>
      <c r="X35" s="39">
        <f ca="1" t="shared" si="18"/>
        <v>25992.259391323</v>
      </c>
      <c r="Y35" s="39">
        <f ca="1" t="shared" si="18"/>
        <v>30183.2274562838</v>
      </c>
      <c r="Z35" s="39">
        <f ca="1" t="shared" si="18"/>
        <v>32310.2087546747</v>
      </c>
      <c r="AA35" s="39">
        <f ca="1" t="shared" si="18"/>
        <v>42261.9947012377</v>
      </c>
      <c r="AB35" s="39">
        <f ca="1" t="shared" si="18"/>
        <v>40043.3778283048</v>
      </c>
      <c r="AC35" s="39">
        <f ca="1" t="shared" si="18"/>
        <v>49699.9636491993</v>
      </c>
      <c r="AD35" s="39">
        <f ca="1" t="shared" si="18"/>
        <v>59263.3491160974</v>
      </c>
      <c r="AE35" s="39">
        <f ca="1" t="shared" si="18"/>
        <v>68733.5322155477</v>
      </c>
      <c r="AF35" s="39">
        <f ca="1" t="shared" si="18"/>
        <v>71747.4622713954</v>
      </c>
    </row>
    <row r="36" spans="2:32">
      <c r="B36" s="236">
        <v>5</v>
      </c>
      <c r="C36" s="251" t="s">
        <v>841</v>
      </c>
      <c r="D36" s="238">
        <f ca="1">SUM(F36:AF36)</f>
        <v>18074.4421519081</v>
      </c>
      <c r="E36" s="18" t="s">
        <v>24</v>
      </c>
      <c r="F36" s="19"/>
      <c r="G36" s="19"/>
      <c r="H36" s="19"/>
      <c r="I36" s="19">
        <f>'表5-利润表-资本金(标准格式)'!I50</f>
        <v>0</v>
      </c>
      <c r="J36" s="39">
        <f ca="1">'表5-利润表-资本金(标准格式)'!J50</f>
        <v>0</v>
      </c>
      <c r="K36" s="39">
        <f ca="1">'表5-利润表-资本金(标准格式)'!K50</f>
        <v>0</v>
      </c>
      <c r="L36" s="39">
        <f ca="1">'表5-利润表-资本金(标准格式)'!L50</f>
        <v>66.2030193729878</v>
      </c>
      <c r="M36" s="39">
        <f ca="1">'表5-利润表-资本金(标准格式)'!M50</f>
        <v>259.317161172908</v>
      </c>
      <c r="N36" s="39">
        <f ca="1">'表5-利润表-资本金(标准格式)'!N50</f>
        <v>291.050382585559</v>
      </c>
      <c r="O36" s="39">
        <f ca="1">'表5-利润表-资本金(标准格式)'!O50</f>
        <v>321.525028919838</v>
      </c>
      <c r="P36" s="39">
        <f ca="1">'表5-利润表-资本金(标准格式)'!P50</f>
        <v>353.541795717288</v>
      </c>
      <c r="Q36" s="39">
        <f ca="1">'表5-利润表-资本金(标准格式)'!Q50</f>
        <v>387.167807741895</v>
      </c>
      <c r="R36" s="39">
        <f ca="1">'表5-利润表-资本金(标准格式)'!R50</f>
        <v>589.730772057886</v>
      </c>
      <c r="S36" s="39">
        <f ca="1">'表5-利润表-资本金(标准格式)'!S50</f>
        <v>648.714433306502</v>
      </c>
      <c r="T36" s="39">
        <f ca="1">'表5-利润表-资本金(标准格式)'!T50</f>
        <v>714.032120903394</v>
      </c>
      <c r="U36" s="39">
        <f ca="1">'表5-利润表-资本金(标准格式)'!U50</f>
        <v>782.52237911724</v>
      </c>
      <c r="V36" s="39">
        <f ca="1">'表5-利润表-资本金(标准格式)'!V50</f>
        <v>834.636938104833</v>
      </c>
      <c r="W36" s="39">
        <f ca="1">'表5-利润表-资本金(标准格式)'!W50</f>
        <v>845.558276333328</v>
      </c>
      <c r="X36" s="39">
        <f ca="1">'表5-利润表-资本金(标准格式)'!X50</f>
        <v>1165.70013982877</v>
      </c>
      <c r="Y36" s="39">
        <f ca="1">'表5-利润表-资本金(标准格式)'!Y50</f>
        <v>1490.83577770814</v>
      </c>
      <c r="Z36" s="39">
        <f ca="1">'表5-利润表-资本金(标准格式)'!Z50</f>
        <v>924.470250701735</v>
      </c>
      <c r="AA36" s="39">
        <f ca="1">'表5-利润表-资本金(标准格式)'!AA50</f>
        <v>640.09361152556</v>
      </c>
      <c r="AB36" s="39">
        <f ca="1">'表5-利润表-资本金(标准格式)'!AB50</f>
        <v>833.303358878959</v>
      </c>
      <c r="AC36" s="39">
        <f ca="1">'表5-利润表-资本金(标准格式)'!AC50</f>
        <v>2215.91102997725</v>
      </c>
      <c r="AD36" s="39">
        <f ca="1">'表5-利润表-资本金(标准格式)'!AD50</f>
        <v>2366.71430490801</v>
      </c>
      <c r="AE36" s="39">
        <f ca="1">'表5-利润表-资本金(标准格式)'!AE50</f>
        <v>2343.41356304606</v>
      </c>
      <c r="AF36" s="39">
        <f ca="1">'表5-利润表-资本金(标准格式)'!AF50</f>
        <v>0</v>
      </c>
    </row>
    <row r="37" spans="2:32">
      <c r="B37" s="252">
        <v>6</v>
      </c>
      <c r="C37" s="237" t="s">
        <v>842</v>
      </c>
      <c r="D37" s="253">
        <f ca="1">SUM(F37:AF37)</f>
        <v>53673.0201194873</v>
      </c>
      <c r="E37" s="18" t="s">
        <v>24</v>
      </c>
      <c r="F37" s="19"/>
      <c r="G37" s="19"/>
      <c r="H37" s="19"/>
      <c r="I37" s="28">
        <f>-参数输入表!$I$11</f>
        <v>-8000</v>
      </c>
      <c r="J37" s="39">
        <f ca="1" t="shared" ref="J37:T37" si="19">J34-J36</f>
        <v>-7491.55411086445</v>
      </c>
      <c r="K37" s="39">
        <f ca="1" t="shared" si="19"/>
        <v>-16134.3550693928</v>
      </c>
      <c r="L37" s="39">
        <f ca="1" t="shared" si="19"/>
        <v>6837.51414828335</v>
      </c>
      <c r="M37" s="39">
        <f ca="1" t="shared" si="19"/>
        <v>4937.0479711149</v>
      </c>
      <c r="N37" s="39">
        <f ca="1" t="shared" si="19"/>
        <v>5083.30329270225</v>
      </c>
      <c r="O37" s="39">
        <f ca="1" t="shared" si="19"/>
        <v>5005.76860636797</v>
      </c>
      <c r="P37" s="39">
        <f ca="1" t="shared" si="19"/>
        <v>4926.68939957052</v>
      </c>
      <c r="Q37" s="39">
        <f ca="1" t="shared" si="19"/>
        <v>4846.00274754591</v>
      </c>
      <c r="R37" s="39">
        <f ca="1" t="shared" si="19"/>
        <v>1355.31672199356</v>
      </c>
      <c r="S37" s="39">
        <f ca="1" t="shared" si="19"/>
        <v>1645.73306934878</v>
      </c>
      <c r="T37" s="39">
        <f ca="1" t="shared" si="19"/>
        <v>1545.75840531295</v>
      </c>
      <c r="U37" s="39">
        <f ca="1" t="shared" ref="U37:AF37" si="20">U34-U36</f>
        <v>4042.60915720885</v>
      </c>
      <c r="V37" s="39">
        <f ca="1" t="shared" si="20"/>
        <v>3877.83702178231</v>
      </c>
      <c r="W37" s="39">
        <f ca="1" t="shared" si="20"/>
        <v>3116.96287361546</v>
      </c>
      <c r="X37" s="39">
        <f ca="1" t="shared" si="20"/>
        <v>3137.92490157099</v>
      </c>
      <c r="Y37" s="39">
        <f ca="1" t="shared" si="20"/>
        <v>2700.13228725268</v>
      </c>
      <c r="Z37" s="39">
        <f ca="1" t="shared" si="20"/>
        <v>1202.51104768918</v>
      </c>
      <c r="AA37" s="39">
        <f ca="1" t="shared" si="20"/>
        <v>9311.69233503741</v>
      </c>
      <c r="AB37" s="39">
        <f ca="1" t="shared" si="20"/>
        <v>-3051.92023181187</v>
      </c>
      <c r="AC37" s="39">
        <f ca="1" t="shared" si="20"/>
        <v>7440.67479091728</v>
      </c>
      <c r="AD37" s="39">
        <f ca="1" t="shared" si="20"/>
        <v>7196.67116199007</v>
      </c>
      <c r="AE37" s="39">
        <f ca="1" t="shared" si="20"/>
        <v>7126.76953640423</v>
      </c>
      <c r="AF37" s="39">
        <f ca="1" t="shared" si="20"/>
        <v>3013.93005584771</v>
      </c>
    </row>
    <row r="38" ht="17.25" spans="2:32">
      <c r="B38" s="254">
        <v>7</v>
      </c>
      <c r="C38" s="255" t="s">
        <v>843</v>
      </c>
      <c r="D38" s="256"/>
      <c r="E38" s="58" t="s">
        <v>24</v>
      </c>
      <c r="F38" s="257"/>
      <c r="G38" s="257"/>
      <c r="H38" s="257"/>
      <c r="I38" s="257">
        <f>H38+I37</f>
        <v>-8000</v>
      </c>
      <c r="J38" s="265">
        <f ca="1" t="shared" ref="J38:V38" si="21">I38+J37</f>
        <v>-15491.5541108645</v>
      </c>
      <c r="K38" s="265">
        <f ca="1" t="shared" si="21"/>
        <v>-31625.9091802572</v>
      </c>
      <c r="L38" s="265">
        <f ca="1" t="shared" si="21"/>
        <v>-24788.3950319739</v>
      </c>
      <c r="M38" s="265">
        <f ca="1" t="shared" si="21"/>
        <v>-19851.347060859</v>
      </c>
      <c r="N38" s="265">
        <f ca="1" t="shared" si="21"/>
        <v>-14768.0437681567</v>
      </c>
      <c r="O38" s="265">
        <f ca="1" t="shared" si="21"/>
        <v>-9762.27516178878</v>
      </c>
      <c r="P38" s="265">
        <f ca="1" t="shared" si="21"/>
        <v>-4835.58576221826</v>
      </c>
      <c r="Q38" s="265">
        <f ca="1" t="shared" si="21"/>
        <v>10.4169853276544</v>
      </c>
      <c r="R38" s="265">
        <f ca="1" t="shared" si="21"/>
        <v>1365.73370732122</v>
      </c>
      <c r="S38" s="265">
        <f ca="1" t="shared" si="21"/>
        <v>3011.46677667</v>
      </c>
      <c r="T38" s="265">
        <f ca="1" t="shared" si="21"/>
        <v>4557.22518198296</v>
      </c>
      <c r="U38" s="265">
        <f ca="1" t="shared" si="21"/>
        <v>8599.8343391918</v>
      </c>
      <c r="V38" s="265">
        <f ca="1" t="shared" si="21"/>
        <v>12477.6713609741</v>
      </c>
      <c r="W38" s="265">
        <f ca="1" t="shared" ref="W38:AF38" si="22">V38+W37</f>
        <v>15594.6342345896</v>
      </c>
      <c r="X38" s="265">
        <f ca="1" t="shared" si="22"/>
        <v>18732.5591361606</v>
      </c>
      <c r="Y38" s="265">
        <f ca="1" t="shared" si="22"/>
        <v>21432.6914234133</v>
      </c>
      <c r="Z38" s="265">
        <f ca="1" t="shared" si="22"/>
        <v>22635.2024711024</v>
      </c>
      <c r="AA38" s="265">
        <f ca="1" t="shared" si="22"/>
        <v>31946.8948061398</v>
      </c>
      <c r="AB38" s="265">
        <f ca="1" t="shared" si="22"/>
        <v>28894.974574328</v>
      </c>
      <c r="AC38" s="265">
        <f ca="1" t="shared" si="22"/>
        <v>36335.6493652453</v>
      </c>
      <c r="AD38" s="265">
        <f ca="1" t="shared" si="22"/>
        <v>43532.3205272353</v>
      </c>
      <c r="AE38" s="265">
        <f ca="1" t="shared" si="22"/>
        <v>50659.0900636396</v>
      </c>
      <c r="AF38" s="265">
        <f ca="1" t="shared" si="22"/>
        <v>53673.0201194873</v>
      </c>
    </row>
    <row r="40" spans="3:32">
      <c r="C40" s="16" t="s">
        <v>844</v>
      </c>
      <c r="D40" s="258">
        <f ca="1">XIRR(I34:AF34,I3:AF3)</f>
        <v>0.13231420508451</v>
      </c>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row>
    <row r="41" spans="3:32">
      <c r="C41" s="16" t="s">
        <v>845</v>
      </c>
      <c r="D41" s="258">
        <f ca="1">XIRR(I37:AF37,I3:AF3)</f>
        <v>0.113054196186367</v>
      </c>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row>
    <row r="42" spans="3:32">
      <c r="C42" s="16" t="s">
        <v>846</v>
      </c>
      <c r="D42" s="19">
        <f ca="1">SUM(F42:AF42)</f>
        <v>7.49785039632243</v>
      </c>
      <c r="E42" s="18" t="s">
        <v>55</v>
      </c>
      <c r="F42" s="44"/>
      <c r="G42" s="44"/>
      <c r="H42" s="44"/>
      <c r="I42" s="44"/>
      <c r="J42" s="44">
        <f ca="1">IF(J38/I38&lt;0,I4-参数输入表!$I$7-MONTH(参数输入表!$I$8)/12+ABS(I38/J37),0)</f>
        <v>0</v>
      </c>
      <c r="K42" s="44">
        <f ca="1">IF(K38/J38&lt;0,J4-参数输入表!$I$7-MONTH(参数输入表!$I$8)/12+ABS(J38/K37),0)</f>
        <v>0</v>
      </c>
      <c r="L42" s="44">
        <f ca="1">IF(L38/K38&lt;0,K4-参数输入表!$I$7-MONTH(参数输入表!$I$8)/12+ABS(K38/L37),0)</f>
        <v>0</v>
      </c>
      <c r="M42" s="44">
        <f ca="1">IF(M38/L38&lt;0,L4-参数输入表!$I$7-MONTH(参数输入表!$I$8)/12+ABS(L38/M37),0)</f>
        <v>0</v>
      </c>
      <c r="N42" s="44">
        <f ca="1">IF(N38/M38&lt;0,M4-参数输入表!$I$7-MONTH(参数输入表!$I$8)/12+ABS(M38/N37),0)</f>
        <v>0</v>
      </c>
      <c r="O42" s="44">
        <f ca="1">IF(O38/N38&lt;0,N4-参数输入表!$I$7-MONTH(参数输入表!$I$8)/12+ABS(N38/O37),0)</f>
        <v>0</v>
      </c>
      <c r="P42" s="44">
        <f ca="1">IF(P38/O38&lt;0,O4-参数输入表!$I$7-MONTH(参数输入表!$I$8)/12+ABS(O38/P37),0)</f>
        <v>0</v>
      </c>
      <c r="Q42" s="44">
        <f ca="1">IF(Q38/P38&lt;0,P4-参数输入表!$I$7-MONTH(参数输入表!$I$8)/12+ABS(P38/Q37),0)</f>
        <v>7.49785039632243</v>
      </c>
      <c r="R42" s="44">
        <f ca="1">IF(R38/Q38&lt;0,Q4-参数输入表!$I$7-MONTH(参数输入表!$I$8)/12+ABS(Q38/R37),0)</f>
        <v>0</v>
      </c>
      <c r="S42" s="44">
        <f ca="1">IF(S38/R38&lt;0,R4-参数输入表!$I$7-MONTH(参数输入表!$I$8)/12+ABS(R38/S37),0)</f>
        <v>0</v>
      </c>
      <c r="T42" s="44">
        <f ca="1">IF(T38/S38&lt;0,S4-参数输入表!$I$7-MONTH(参数输入表!$I$8)/12+ABS(S38/T37),0)</f>
        <v>0</v>
      </c>
      <c r="U42" s="44">
        <f ca="1">IF(U38/T38&lt;0,T4-参数输入表!$I$7-MONTH(参数输入表!$I$8)/12+ABS(T38/U37),0)</f>
        <v>0</v>
      </c>
      <c r="V42" s="44">
        <f ca="1">IF(V38/U38&lt;0,U4-参数输入表!$I$7-MONTH(参数输入表!$I$8)/12+ABS(U38/V37),0)</f>
        <v>0</v>
      </c>
      <c r="W42" s="44">
        <f ca="1">IF(W38/V38&lt;0,V4-参数输入表!$I$7-MONTH(参数输入表!$I$8)/12+ABS(V38/W37),0)</f>
        <v>0</v>
      </c>
      <c r="X42" s="44">
        <f ca="1">IF(X38/W38&lt;0,W4-参数输入表!$I$7-MONTH(参数输入表!$I$8)/12+ABS(W38/X37),0)</f>
        <v>0</v>
      </c>
      <c r="Y42" s="44">
        <f ca="1">IF(Y38/X38&lt;0,X4-参数输入表!$I$7-MONTH(参数输入表!$I$8)/12+ABS(X38/Y37),0)</f>
        <v>0</v>
      </c>
      <c r="Z42" s="44">
        <f ca="1">IF(Z38/Y38&lt;0,Y4-参数输入表!$I$7-MONTH(参数输入表!$I$8)/12+ABS(Y38/Z37),0)</f>
        <v>0</v>
      </c>
      <c r="AA42" s="44">
        <f ca="1">IF(AA38/Z38&lt;0,Z4-参数输入表!$I$7-MONTH(参数输入表!$I$8)/12+ABS(Z38/AA37),0)</f>
        <v>0</v>
      </c>
      <c r="AB42" s="44">
        <f ca="1">IF(AB38/AA38&lt;0,AA4-参数输入表!$I$7-MONTH(参数输入表!$I$8)/12+ABS(AA38/AB37),0)</f>
        <v>0</v>
      </c>
      <c r="AC42" s="44">
        <f ca="1">IF(AC38/AB38&lt;0,AB4-参数输入表!$I$7-MONTH(参数输入表!$I$8)/12+ABS(AB38/AC37),0)</f>
        <v>0</v>
      </c>
      <c r="AD42" s="44">
        <f ca="1">IF(AD38/AC38&lt;0,AC4-参数输入表!$I$7-MONTH(参数输入表!$I$8)/12+ABS(AC38/AD37),0)</f>
        <v>0</v>
      </c>
      <c r="AE42" s="44">
        <f ca="1">IF(AE38/AD38&lt;0,AD4-参数输入表!$I$7-MONTH(参数输入表!$I$8)/12+ABS(AD38/AE37),0)</f>
        <v>0</v>
      </c>
      <c r="AF42" s="44">
        <f ca="1">IF(AF38/AE38&lt;0,AE4-参数输入表!$I$7-MONTH(参数输入表!$I$8)/12+ABS(AE38/AF37),0)</f>
        <v>0</v>
      </c>
    </row>
    <row r="44" ht="21.5" spans="3:3">
      <c r="C44" s="59" t="s">
        <v>645</v>
      </c>
    </row>
    <row r="45" ht="22.5" spans="3:3">
      <c r="C45" s="93" t="s">
        <v>847</v>
      </c>
    </row>
    <row r="46" ht="22.5" spans="3:3">
      <c r="C46" s="93" t="s">
        <v>848</v>
      </c>
    </row>
    <row r="47" ht="21.5" spans="3:3">
      <c r="C47" s="59" t="s">
        <v>849</v>
      </c>
    </row>
    <row r="48" ht="21.5" spans="3:3">
      <c r="C48" s="275"/>
    </row>
    <row r="51" spans="3:4">
      <c r="C51" s="261"/>
      <c r="D51" s="262"/>
    </row>
    <row r="52" spans="4:4">
      <c r="D52" s="276"/>
    </row>
  </sheetData>
  <mergeCells count="4">
    <mergeCell ref="B3:B4"/>
    <mergeCell ref="C3:C4"/>
    <mergeCell ref="D3:D4"/>
    <mergeCell ref="E3:E4"/>
  </mergeCell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rgb="FF0070C0"/>
  </sheetPr>
  <dimension ref="B1:AF100"/>
  <sheetViews>
    <sheetView showGridLines="0" zoomScale="70" zoomScaleNormal="70" topLeftCell="A64" workbookViewId="0">
      <selection activeCell="J62" sqref="J62"/>
    </sheetView>
  </sheetViews>
  <sheetFormatPr defaultColWidth="9" defaultRowHeight="16.5"/>
  <cols>
    <col min="1" max="1" width="2.89090909090909" style="4" customWidth="1"/>
    <col min="2" max="2" width="7.10909090909091" style="5" customWidth="1"/>
    <col min="3" max="3" width="56.6636363636364" style="4" customWidth="1"/>
    <col min="4" max="4" width="14.5545454545455" style="5"/>
    <col min="5" max="5" width="9" style="5"/>
    <col min="6" max="7" width="10.5545454545455" style="4" customWidth="1"/>
    <col min="8" max="9" width="12.8909090909091" style="4" customWidth="1"/>
    <col min="10" max="10" width="14.7818181818182" style="4" customWidth="1"/>
    <col min="11" max="32" width="12.8909090909091" style="4" customWidth="1"/>
    <col min="33" max="16384" width="9" style="4"/>
  </cols>
  <sheetData>
    <row r="1" ht="7.95" customHeight="1"/>
    <row r="2" ht="24" customHeight="1" spans="2:2">
      <c r="B2" s="6" t="s">
        <v>850</v>
      </c>
    </row>
    <row r="3" spans="2:32">
      <c r="B3" s="7" t="s">
        <v>15</v>
      </c>
      <c r="C3" s="8" t="s">
        <v>463</v>
      </c>
      <c r="D3" s="9" t="s">
        <v>17</v>
      </c>
      <c r="E3" s="9" t="s">
        <v>18</v>
      </c>
      <c r="F3" s="10" t="s">
        <v>464</v>
      </c>
      <c r="G3" s="10" t="s">
        <v>465</v>
      </c>
      <c r="H3" s="10" t="s">
        <v>466</v>
      </c>
      <c r="I3" s="37">
        <v>45107</v>
      </c>
      <c r="J3" s="37">
        <v>45261</v>
      </c>
      <c r="K3" s="10" t="s">
        <v>20</v>
      </c>
      <c r="L3" s="10" t="s">
        <v>467</v>
      </c>
      <c r="M3" s="10" t="s">
        <v>468</v>
      </c>
      <c r="N3" s="10" t="s">
        <v>469</v>
      </c>
      <c r="O3" s="10" t="s">
        <v>470</v>
      </c>
      <c r="P3" s="10" t="s">
        <v>471</v>
      </c>
      <c r="Q3" s="10" t="s">
        <v>472</v>
      </c>
      <c r="R3" s="10" t="s">
        <v>473</v>
      </c>
      <c r="S3" s="10" t="s">
        <v>474</v>
      </c>
      <c r="T3" s="10" t="s">
        <v>475</v>
      </c>
      <c r="U3" s="10" t="s">
        <v>476</v>
      </c>
      <c r="V3" s="10" t="s">
        <v>477</v>
      </c>
      <c r="W3" s="10" t="s">
        <v>478</v>
      </c>
      <c r="X3" s="10" t="s">
        <v>479</v>
      </c>
      <c r="Y3" s="10" t="s">
        <v>480</v>
      </c>
      <c r="Z3" s="10" t="s">
        <v>481</v>
      </c>
      <c r="AA3" s="10" t="s">
        <v>482</v>
      </c>
      <c r="AB3" s="10" t="s">
        <v>483</v>
      </c>
      <c r="AC3" s="10" t="s">
        <v>484</v>
      </c>
      <c r="AD3" s="10" t="s">
        <v>485</v>
      </c>
      <c r="AE3" s="10" t="s">
        <v>486</v>
      </c>
      <c r="AF3" s="37">
        <v>53051</v>
      </c>
    </row>
    <row r="4" spans="2:32">
      <c r="B4" s="11"/>
      <c r="C4" s="12"/>
      <c r="D4" s="13"/>
      <c r="E4" s="13"/>
      <c r="F4" s="14">
        <v>1</v>
      </c>
      <c r="G4" s="14">
        <v>2</v>
      </c>
      <c r="H4" s="14">
        <v>3</v>
      </c>
      <c r="I4" s="14">
        <v>4</v>
      </c>
      <c r="J4" s="38">
        <v>5</v>
      </c>
      <c r="K4" s="38">
        <v>6</v>
      </c>
      <c r="L4" s="38">
        <v>7</v>
      </c>
      <c r="M4" s="38">
        <v>8</v>
      </c>
      <c r="N4" s="38">
        <v>9</v>
      </c>
      <c r="O4" s="38">
        <v>10</v>
      </c>
      <c r="P4" s="38">
        <v>11</v>
      </c>
      <c r="Q4" s="38">
        <v>12</v>
      </c>
      <c r="R4" s="38">
        <v>13</v>
      </c>
      <c r="S4" s="38">
        <v>14</v>
      </c>
      <c r="T4" s="38">
        <v>15</v>
      </c>
      <c r="U4" s="38">
        <v>16</v>
      </c>
      <c r="V4" s="38">
        <v>17</v>
      </c>
      <c r="W4" s="38">
        <v>18</v>
      </c>
      <c r="X4" s="38">
        <v>19</v>
      </c>
      <c r="Y4" s="38">
        <v>20</v>
      </c>
      <c r="Z4" s="38">
        <v>21</v>
      </c>
      <c r="AA4" s="38">
        <v>22</v>
      </c>
      <c r="AB4" s="38">
        <v>23</v>
      </c>
      <c r="AC4" s="38">
        <v>24</v>
      </c>
      <c r="AD4" s="38">
        <v>25</v>
      </c>
      <c r="AE4" s="38">
        <v>26</v>
      </c>
      <c r="AF4" s="38">
        <v>27</v>
      </c>
    </row>
    <row r="5" s="1" customFormat="1" spans="2:32">
      <c r="B5" s="15" t="s">
        <v>724</v>
      </c>
      <c r="C5" s="16" t="s">
        <v>725</v>
      </c>
      <c r="D5" s="17">
        <f t="shared" ref="D5:D11" si="0">SUM(F5:AF5)</f>
        <v>352199.740125664</v>
      </c>
      <c r="E5" s="18" t="s">
        <v>24</v>
      </c>
      <c r="F5" s="19">
        <f>SUM(F6:F9)</f>
        <v>0</v>
      </c>
      <c r="G5" s="19">
        <f t="shared" ref="G5:P5" si="1">SUM(G6:G9)</f>
        <v>0</v>
      </c>
      <c r="H5" s="19">
        <f t="shared" si="1"/>
        <v>0</v>
      </c>
      <c r="I5" s="19">
        <f t="shared" si="1"/>
        <v>0</v>
      </c>
      <c r="J5" s="39">
        <f t="shared" si="1"/>
        <v>1656.15906039823</v>
      </c>
      <c r="K5" s="39">
        <f t="shared" si="1"/>
        <v>14152.0508528761</v>
      </c>
      <c r="L5" s="39">
        <f t="shared" si="1"/>
        <v>18589.6865840708</v>
      </c>
      <c r="M5" s="39">
        <f t="shared" si="1"/>
        <v>18504.4980530973</v>
      </c>
      <c r="N5" s="39">
        <f t="shared" si="1"/>
        <v>18419.3121769912</v>
      </c>
      <c r="O5" s="39">
        <f t="shared" si="1"/>
        <v>18334.126300885</v>
      </c>
      <c r="P5" s="39">
        <f t="shared" si="1"/>
        <v>18248.9377699115</v>
      </c>
      <c r="Q5" s="39">
        <f t="shared" ref="Q5:AF5" si="2">SUM(Q6:Q9)</f>
        <v>18163.7518938053</v>
      </c>
      <c r="R5" s="39">
        <f t="shared" si="2"/>
        <v>18078.5633628319</v>
      </c>
      <c r="S5" s="39">
        <f t="shared" si="2"/>
        <v>17993.3774867257</v>
      </c>
      <c r="T5" s="39">
        <f t="shared" si="2"/>
        <v>17908.1916106195</v>
      </c>
      <c r="U5" s="39">
        <f t="shared" si="2"/>
        <v>17823.003079646</v>
      </c>
      <c r="V5" s="39">
        <f t="shared" si="2"/>
        <v>17737.8172035398</v>
      </c>
      <c r="W5" s="39">
        <f t="shared" si="2"/>
        <v>17652.6286725664</v>
      </c>
      <c r="X5" s="39">
        <f t="shared" si="2"/>
        <v>17567.4427964602</v>
      </c>
      <c r="Y5" s="39">
        <f t="shared" si="2"/>
        <v>17482.256920354</v>
      </c>
      <c r="Z5" s="39">
        <f t="shared" si="2"/>
        <v>14824.1150973451</v>
      </c>
      <c r="AA5" s="39">
        <f t="shared" si="2"/>
        <v>13295.2042831858</v>
      </c>
      <c r="AB5" s="39">
        <f t="shared" si="2"/>
        <v>13229.7807079646</v>
      </c>
      <c r="AC5" s="39">
        <f t="shared" si="2"/>
        <v>13164.3597876106</v>
      </c>
      <c r="AD5" s="39">
        <f t="shared" si="2"/>
        <v>13098.9388672566</v>
      </c>
      <c r="AE5" s="39">
        <f t="shared" si="2"/>
        <v>13033.5152920354</v>
      </c>
      <c r="AF5" s="39">
        <f t="shared" si="2"/>
        <v>3242.02226548672</v>
      </c>
    </row>
    <row r="6" spans="2:32">
      <c r="B6" s="20"/>
      <c r="C6" s="21" t="s">
        <v>726</v>
      </c>
      <c r="D6" s="22">
        <f t="shared" si="0"/>
        <v>352199.740125664</v>
      </c>
      <c r="E6" s="18" t="s">
        <v>24</v>
      </c>
      <c r="F6" s="23"/>
      <c r="G6" s="23"/>
      <c r="H6" s="23"/>
      <c r="I6" s="23"/>
      <c r="J6" s="22">
        <f>'表4-收入税金表'!J6</f>
        <v>1656.15906039823</v>
      </c>
      <c r="K6" s="22">
        <f>'表4-收入税金表'!K6</f>
        <v>14152.0508528761</v>
      </c>
      <c r="L6" s="22">
        <f>'表4-收入税金表'!L6</f>
        <v>18589.6865840708</v>
      </c>
      <c r="M6" s="22">
        <f>'表4-收入税金表'!M6</f>
        <v>18504.4980530973</v>
      </c>
      <c r="N6" s="22">
        <f>'表4-收入税金表'!N6</f>
        <v>18419.3121769912</v>
      </c>
      <c r="O6" s="22">
        <f>'表4-收入税金表'!O6</f>
        <v>18334.126300885</v>
      </c>
      <c r="P6" s="22">
        <f>'表4-收入税金表'!P6</f>
        <v>18248.9377699115</v>
      </c>
      <c r="Q6" s="22">
        <f>'表4-收入税金表'!Q6</f>
        <v>18163.7518938053</v>
      </c>
      <c r="R6" s="22">
        <f>'表4-收入税金表'!R6</f>
        <v>18078.5633628319</v>
      </c>
      <c r="S6" s="22">
        <f>'表4-收入税金表'!S6</f>
        <v>17993.3774867257</v>
      </c>
      <c r="T6" s="22">
        <f>'表4-收入税金表'!T6</f>
        <v>17908.1916106195</v>
      </c>
      <c r="U6" s="22">
        <f>'表4-收入税金表'!U6</f>
        <v>17823.003079646</v>
      </c>
      <c r="V6" s="22">
        <f>'表4-收入税金表'!V6</f>
        <v>17737.8172035398</v>
      </c>
      <c r="W6" s="22">
        <f>'表4-收入税金表'!W6</f>
        <v>17652.6286725664</v>
      </c>
      <c r="X6" s="22">
        <f>'表4-收入税金表'!X6</f>
        <v>17567.4427964602</v>
      </c>
      <c r="Y6" s="22">
        <f>'表4-收入税金表'!Y6</f>
        <v>17482.256920354</v>
      </c>
      <c r="Z6" s="22">
        <f>'表4-收入税金表'!Z6</f>
        <v>14824.1150973451</v>
      </c>
      <c r="AA6" s="22">
        <f>'表4-收入税金表'!AA6</f>
        <v>13295.2042831858</v>
      </c>
      <c r="AB6" s="22">
        <f>'表4-收入税金表'!AB6</f>
        <v>13229.7807079646</v>
      </c>
      <c r="AC6" s="22">
        <f>'表4-收入税金表'!AC6</f>
        <v>13164.3597876106</v>
      </c>
      <c r="AD6" s="22">
        <f>'表4-收入税金表'!AD6</f>
        <v>13098.9388672566</v>
      </c>
      <c r="AE6" s="22">
        <f>'表4-收入税金表'!AE6</f>
        <v>13033.5152920354</v>
      </c>
      <c r="AF6" s="22">
        <f>'表4-收入税金表'!AF6</f>
        <v>3242.02226548672</v>
      </c>
    </row>
    <row r="7" spans="2:32">
      <c r="B7" s="20"/>
      <c r="C7" s="24" t="s">
        <v>727</v>
      </c>
      <c r="D7" s="22">
        <f t="shared" si="0"/>
        <v>0</v>
      </c>
      <c r="E7" s="18" t="s">
        <v>24</v>
      </c>
      <c r="F7" s="23"/>
      <c r="G7" s="23"/>
      <c r="H7" s="23"/>
      <c r="I7" s="23"/>
      <c r="J7" s="22"/>
      <c r="K7" s="22"/>
      <c r="L7" s="22"/>
      <c r="M7" s="22"/>
      <c r="N7" s="22"/>
      <c r="O7" s="22"/>
      <c r="P7" s="22"/>
      <c r="Q7" s="22"/>
      <c r="R7" s="22"/>
      <c r="S7" s="22"/>
      <c r="T7" s="22"/>
      <c r="U7" s="22"/>
      <c r="V7" s="22"/>
      <c r="W7" s="22"/>
      <c r="X7" s="22"/>
      <c r="Y7" s="22"/>
      <c r="Z7" s="22"/>
      <c r="AA7" s="22"/>
      <c r="AB7" s="22"/>
      <c r="AC7" s="22"/>
      <c r="AD7" s="22"/>
      <c r="AE7" s="22"/>
      <c r="AF7" s="22"/>
    </row>
    <row r="8" spans="2:32">
      <c r="B8" s="20"/>
      <c r="C8" s="24" t="s">
        <v>728</v>
      </c>
      <c r="D8" s="22">
        <f t="shared" si="0"/>
        <v>0</v>
      </c>
      <c r="E8" s="18" t="s">
        <v>24</v>
      </c>
      <c r="F8" s="23"/>
      <c r="G8" s="23"/>
      <c r="H8" s="23"/>
      <c r="I8" s="23"/>
      <c r="J8" s="22"/>
      <c r="K8" s="22"/>
      <c r="L8" s="22"/>
      <c r="M8" s="22"/>
      <c r="N8" s="22"/>
      <c r="O8" s="22"/>
      <c r="P8" s="22"/>
      <c r="Q8" s="22"/>
      <c r="R8" s="22"/>
      <c r="S8" s="22"/>
      <c r="T8" s="22"/>
      <c r="U8" s="22"/>
      <c r="V8" s="22"/>
      <c r="W8" s="22"/>
      <c r="X8" s="22"/>
      <c r="Y8" s="22"/>
      <c r="Z8" s="22"/>
      <c r="AA8" s="22"/>
      <c r="AB8" s="22"/>
      <c r="AC8" s="22"/>
      <c r="AD8" s="22"/>
      <c r="AE8" s="22"/>
      <c r="AF8" s="22"/>
    </row>
    <row r="9" spans="2:32">
      <c r="B9" s="20"/>
      <c r="C9" s="24" t="s">
        <v>729</v>
      </c>
      <c r="D9" s="22">
        <f t="shared" si="0"/>
        <v>0</v>
      </c>
      <c r="E9" s="18" t="s">
        <v>24</v>
      </c>
      <c r="F9" s="23"/>
      <c r="G9" s="23"/>
      <c r="H9" s="23"/>
      <c r="I9" s="23"/>
      <c r="J9" s="22"/>
      <c r="K9" s="22"/>
      <c r="L9" s="22"/>
      <c r="M9" s="22"/>
      <c r="N9" s="22"/>
      <c r="O9" s="22"/>
      <c r="P9" s="22"/>
      <c r="Q9" s="22"/>
      <c r="R9" s="22"/>
      <c r="S9" s="22"/>
      <c r="T9" s="22"/>
      <c r="U9" s="22"/>
      <c r="V9" s="22"/>
      <c r="W9" s="22"/>
      <c r="X9" s="22"/>
      <c r="Y9" s="22"/>
      <c r="Z9" s="22"/>
      <c r="AA9" s="22"/>
      <c r="AB9" s="22"/>
      <c r="AC9" s="22"/>
      <c r="AD9" s="22"/>
      <c r="AE9" s="22"/>
      <c r="AF9" s="22"/>
    </row>
    <row r="10" s="1" customFormat="1" spans="2:32">
      <c r="B10" s="15" t="s">
        <v>730</v>
      </c>
      <c r="C10" s="16" t="s">
        <v>731</v>
      </c>
      <c r="D10" s="17">
        <f ca="1" t="shared" si="0"/>
        <v>226643.573343507</v>
      </c>
      <c r="E10" s="18" t="s">
        <v>24</v>
      </c>
      <c r="F10" s="19">
        <f>SUM(F11:F23)+F27</f>
        <v>0</v>
      </c>
      <c r="G10" s="19">
        <f t="shared" ref="G10:S10" si="3">SUM(G11:G23)+G27</f>
        <v>0</v>
      </c>
      <c r="H10" s="19">
        <f t="shared" si="3"/>
        <v>0</v>
      </c>
      <c r="I10" s="19">
        <f t="shared" si="3"/>
        <v>0</v>
      </c>
      <c r="J10" s="39">
        <f t="shared" si="3"/>
        <v>2378.47682621559</v>
      </c>
      <c r="K10" s="39">
        <f t="shared" si="3"/>
        <v>10100.5625794468</v>
      </c>
      <c r="L10" s="39">
        <f t="shared" si="3"/>
        <v>11313.9379120519</v>
      </c>
      <c r="M10" s="39">
        <f t="shared" si="3"/>
        <v>11687.1291269365</v>
      </c>
      <c r="N10" s="39">
        <f t="shared" si="3"/>
        <v>11715.9291269365</v>
      </c>
      <c r="O10" s="39">
        <f t="shared" si="3"/>
        <v>11744.7291269365</v>
      </c>
      <c r="P10" s="39">
        <f t="shared" si="3"/>
        <v>11773.5291269365</v>
      </c>
      <c r="Q10" s="39">
        <f t="shared" si="3"/>
        <v>11802.3291269365</v>
      </c>
      <c r="R10" s="39">
        <f t="shared" si="3"/>
        <v>12288.6823650673</v>
      </c>
      <c r="S10" s="39">
        <f t="shared" si="3"/>
        <v>12328.5758670026</v>
      </c>
      <c r="T10" s="39">
        <f t="shared" ref="T10:AF10" si="4">SUM(T11:T23)+T27</f>
        <v>12355.3028665353</v>
      </c>
      <c r="U10" s="39">
        <f t="shared" si="4"/>
        <v>12382.0298246522</v>
      </c>
      <c r="V10" s="39">
        <f t="shared" si="4"/>
        <v>12409.5009249849</v>
      </c>
      <c r="W10" s="39">
        <f t="shared" si="4"/>
        <v>12615.5502076195</v>
      </c>
      <c r="X10" s="39">
        <f t="shared" si="4"/>
        <v>11599.1217402141</v>
      </c>
      <c r="Y10" s="39">
        <f t="shared" si="4"/>
        <v>10577.7391443682</v>
      </c>
      <c r="Z10" s="39">
        <f t="shared" si="4"/>
        <v>10565.0721319293</v>
      </c>
      <c r="AA10" s="39">
        <f t="shared" si="4"/>
        <v>10570.0211232284</v>
      </c>
      <c r="AB10" s="39">
        <f t="shared" si="4"/>
        <v>9736.56910218795</v>
      </c>
      <c r="AC10" s="39">
        <f t="shared" si="4"/>
        <v>4570.25447934666</v>
      </c>
      <c r="AD10" s="39">
        <f t="shared" si="4"/>
        <v>3904.82748833258</v>
      </c>
      <c r="AE10" s="39">
        <f t="shared" si="4"/>
        <v>3932.60688055913</v>
      </c>
      <c r="AF10" s="39">
        <f ca="1" t="shared" si="4"/>
        <v>4291.09624508206</v>
      </c>
    </row>
    <row r="11" spans="2:32">
      <c r="B11" s="20"/>
      <c r="C11" s="21" t="s">
        <v>732</v>
      </c>
      <c r="D11" s="22">
        <f t="shared" si="0"/>
        <v>218761.687942025</v>
      </c>
      <c r="E11" s="18" t="s">
        <v>24</v>
      </c>
      <c r="F11" s="23"/>
      <c r="G11" s="23"/>
      <c r="H11" s="23"/>
      <c r="I11" s="23"/>
      <c r="J11" s="22">
        <f>'表3-成本费用表'!J32</f>
        <v>2376.7749339634</v>
      </c>
      <c r="K11" s="22">
        <f>'表3-成本费用表'!K32</f>
        <v>10085.9534158661</v>
      </c>
      <c r="L11" s="22">
        <f>'表3-成本费用表'!L32</f>
        <v>11294.6598405227</v>
      </c>
      <c r="M11" s="22">
        <f>'表3-成本费用表'!M32</f>
        <v>11632.8000162633</v>
      </c>
      <c r="N11" s="22">
        <f>'表3-成本费用表'!N32</f>
        <v>11661.6000162633</v>
      </c>
      <c r="O11" s="22">
        <f>'表3-成本费用表'!O32</f>
        <v>11690.4000162633</v>
      </c>
      <c r="P11" s="22">
        <f>'表3-成本费用表'!P32</f>
        <v>11719.2000162633</v>
      </c>
      <c r="Q11" s="22">
        <f>'表3-成本费用表'!Q32</f>
        <v>11748.0000162633</v>
      </c>
      <c r="R11" s="22">
        <f>'表3-成本费用表'!R32</f>
        <v>11960.3323684214</v>
      </c>
      <c r="S11" s="22">
        <f>'表3-成本费用表'!S32</f>
        <v>11989.1323684214</v>
      </c>
      <c r="T11" s="22">
        <f>'表3-成本费用表'!T32</f>
        <v>12017.1882676214</v>
      </c>
      <c r="U11" s="22">
        <f>'表3-成本费用表'!U32</f>
        <v>12045.2441668214</v>
      </c>
      <c r="V11" s="22">
        <f>'表3-成本费用表'!V32</f>
        <v>12074.0441668214</v>
      </c>
      <c r="W11" s="22">
        <f>'表3-成本费用表'!W32</f>
        <v>12286.3765189796</v>
      </c>
      <c r="X11" s="22">
        <f>'表3-成本费用表'!X32</f>
        <v>11266.322822801</v>
      </c>
      <c r="Y11" s="22">
        <f>'表3-成本费用表'!Y32</f>
        <v>10246.2691266225</v>
      </c>
      <c r="Z11" s="22">
        <f>'表3-成本费用表'!Z32</f>
        <v>10275.0691266225</v>
      </c>
      <c r="AA11" s="22">
        <f>'表3-成本费用表'!AA32</f>
        <v>10303.8691266225</v>
      </c>
      <c r="AB11" s="22">
        <f>'表3-成本费用表'!AB32</f>
        <v>9476.39184179583</v>
      </c>
      <c r="AC11" s="22">
        <f>'表3-成本费用表'!AC32</f>
        <v>4306.14365687169</v>
      </c>
      <c r="AD11" s="22">
        <f>'表3-成本费用表'!AD32</f>
        <v>3641.73723221513</v>
      </c>
      <c r="AE11" s="22">
        <f>'表3-成本费用表'!AE32</f>
        <v>3670.53723221513</v>
      </c>
      <c r="AF11" s="22">
        <f>'表3-成本费用表'!AF32</f>
        <v>993.641647503324</v>
      </c>
    </row>
    <row r="12" spans="2:32">
      <c r="B12" s="20"/>
      <c r="C12" s="24" t="s">
        <v>733</v>
      </c>
      <c r="D12" s="22">
        <f t="shared" ref="D12:D28" si="5">SUM(F12:AF12)</f>
        <v>0</v>
      </c>
      <c r="E12" s="18" t="s">
        <v>24</v>
      </c>
      <c r="F12" s="23"/>
      <c r="G12" s="23"/>
      <c r="H12" s="23"/>
      <c r="I12" s="23"/>
      <c r="J12" s="22"/>
      <c r="K12" s="22"/>
      <c r="L12" s="22"/>
      <c r="M12" s="22"/>
      <c r="N12" s="22"/>
      <c r="O12" s="22"/>
      <c r="P12" s="22"/>
      <c r="Q12" s="22"/>
      <c r="R12" s="22"/>
      <c r="S12" s="22"/>
      <c r="T12" s="22"/>
      <c r="U12" s="22"/>
      <c r="V12" s="22"/>
      <c r="W12" s="22"/>
      <c r="X12" s="22"/>
      <c r="Y12" s="22"/>
      <c r="Z12" s="22"/>
      <c r="AA12" s="22"/>
      <c r="AB12" s="22"/>
      <c r="AC12" s="22"/>
      <c r="AD12" s="22"/>
      <c r="AE12" s="22"/>
      <c r="AF12" s="22"/>
    </row>
    <row r="13" spans="2:32">
      <c r="B13" s="20"/>
      <c r="C13" s="24" t="s">
        <v>734</v>
      </c>
      <c r="D13" s="22">
        <f t="shared" si="5"/>
        <v>0</v>
      </c>
      <c r="E13" s="18" t="s">
        <v>24</v>
      </c>
      <c r="F13" s="23"/>
      <c r="G13" s="23"/>
      <c r="H13" s="23"/>
      <c r="I13" s="23"/>
      <c r="J13" s="22"/>
      <c r="K13" s="22"/>
      <c r="L13" s="22"/>
      <c r="M13" s="22"/>
      <c r="N13" s="22"/>
      <c r="O13" s="22"/>
      <c r="P13" s="22"/>
      <c r="Q13" s="22"/>
      <c r="R13" s="22"/>
      <c r="S13" s="22"/>
      <c r="T13" s="22"/>
      <c r="U13" s="22"/>
      <c r="V13" s="22"/>
      <c r="W13" s="22"/>
      <c r="X13" s="22"/>
      <c r="Y13" s="22"/>
      <c r="Z13" s="22"/>
      <c r="AA13" s="22"/>
      <c r="AB13" s="22"/>
      <c r="AC13" s="22"/>
      <c r="AD13" s="22"/>
      <c r="AE13" s="22"/>
      <c r="AF13" s="22"/>
    </row>
    <row r="14" spans="2:32">
      <c r="B14" s="20"/>
      <c r="C14" s="24" t="s">
        <v>735</v>
      </c>
      <c r="D14" s="22">
        <f t="shared" si="5"/>
        <v>0</v>
      </c>
      <c r="E14" s="18" t="s">
        <v>24</v>
      </c>
      <c r="F14" s="23"/>
      <c r="G14" s="23"/>
      <c r="H14" s="23"/>
      <c r="I14" s="23"/>
      <c r="J14" s="22"/>
      <c r="K14" s="22"/>
      <c r="L14" s="22"/>
      <c r="M14" s="22"/>
      <c r="N14" s="22"/>
      <c r="O14" s="22"/>
      <c r="P14" s="22"/>
      <c r="Q14" s="22"/>
      <c r="R14" s="22"/>
      <c r="S14" s="22"/>
      <c r="T14" s="22"/>
      <c r="U14" s="22"/>
      <c r="V14" s="22"/>
      <c r="W14" s="22"/>
      <c r="X14" s="22"/>
      <c r="Y14" s="22"/>
      <c r="Z14" s="22"/>
      <c r="AA14" s="22"/>
      <c r="AB14" s="22"/>
      <c r="AC14" s="22"/>
      <c r="AD14" s="22"/>
      <c r="AE14" s="22"/>
      <c r="AF14" s="22"/>
    </row>
    <row r="15" spans="2:32">
      <c r="B15" s="20"/>
      <c r="C15" s="24" t="s">
        <v>736</v>
      </c>
      <c r="D15" s="22">
        <f t="shared" si="5"/>
        <v>0</v>
      </c>
      <c r="E15" s="18" t="s">
        <v>24</v>
      </c>
      <c r="F15" s="23"/>
      <c r="G15" s="23"/>
      <c r="H15" s="23"/>
      <c r="I15" s="23"/>
      <c r="J15" s="22"/>
      <c r="K15" s="22"/>
      <c r="L15" s="22"/>
      <c r="M15" s="22"/>
      <c r="N15" s="22"/>
      <c r="O15" s="22"/>
      <c r="P15" s="22"/>
      <c r="Q15" s="22"/>
      <c r="R15" s="22"/>
      <c r="S15" s="22"/>
      <c r="T15" s="22"/>
      <c r="U15" s="22"/>
      <c r="V15" s="22"/>
      <c r="W15" s="22"/>
      <c r="X15" s="22"/>
      <c r="Y15" s="22"/>
      <c r="Z15" s="22"/>
      <c r="AA15" s="22"/>
      <c r="AB15" s="22"/>
      <c r="AC15" s="22"/>
      <c r="AD15" s="22"/>
      <c r="AE15" s="22"/>
      <c r="AF15" s="22"/>
    </row>
    <row r="16" spans="2:32">
      <c r="B16" s="20"/>
      <c r="C16" s="24" t="s">
        <v>737</v>
      </c>
      <c r="D16" s="22">
        <f t="shared" si="5"/>
        <v>0</v>
      </c>
      <c r="E16" s="18" t="s">
        <v>24</v>
      </c>
      <c r="F16" s="23"/>
      <c r="G16" s="23"/>
      <c r="H16" s="23"/>
      <c r="I16" s="23"/>
      <c r="J16" s="22"/>
      <c r="K16" s="22"/>
      <c r="L16" s="22"/>
      <c r="M16" s="22"/>
      <c r="N16" s="22"/>
      <c r="O16" s="22"/>
      <c r="P16" s="22"/>
      <c r="Q16" s="22"/>
      <c r="R16" s="22"/>
      <c r="S16" s="22"/>
      <c r="T16" s="22"/>
      <c r="U16" s="22"/>
      <c r="V16" s="22"/>
      <c r="W16" s="22"/>
      <c r="X16" s="22"/>
      <c r="Y16" s="22"/>
      <c r="Z16" s="22"/>
      <c r="AA16" s="22"/>
      <c r="AB16" s="22"/>
      <c r="AC16" s="22"/>
      <c r="AD16" s="22"/>
      <c r="AE16" s="22"/>
      <c r="AF16" s="22"/>
    </row>
    <row r="17" spans="2:32">
      <c r="B17" s="20"/>
      <c r="C17" s="24" t="s">
        <v>738</v>
      </c>
      <c r="D17" s="22">
        <f t="shared" si="5"/>
        <v>0</v>
      </c>
      <c r="E17" s="18" t="s">
        <v>24</v>
      </c>
      <c r="F17" s="23"/>
      <c r="G17" s="23"/>
      <c r="H17" s="23"/>
      <c r="I17" s="23"/>
      <c r="J17" s="22"/>
      <c r="K17" s="22"/>
      <c r="L17" s="22"/>
      <c r="M17" s="22"/>
      <c r="N17" s="22"/>
      <c r="O17" s="22"/>
      <c r="P17" s="22"/>
      <c r="Q17" s="22"/>
      <c r="R17" s="22"/>
      <c r="S17" s="22"/>
      <c r="T17" s="22"/>
      <c r="U17" s="22"/>
      <c r="V17" s="22"/>
      <c r="W17" s="22"/>
      <c r="X17" s="22"/>
      <c r="Y17" s="22"/>
      <c r="Z17" s="22"/>
      <c r="AA17" s="22"/>
      <c r="AB17" s="22"/>
      <c r="AC17" s="22"/>
      <c r="AD17" s="22"/>
      <c r="AE17" s="22"/>
      <c r="AF17" s="22"/>
    </row>
    <row r="18" spans="2:32">
      <c r="B18" s="20"/>
      <c r="C18" s="24" t="s">
        <v>739</v>
      </c>
      <c r="D18" s="22">
        <f t="shared" si="5"/>
        <v>0</v>
      </c>
      <c r="E18" s="18" t="s">
        <v>24</v>
      </c>
      <c r="F18" s="23"/>
      <c r="G18" s="23"/>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row>
    <row r="19" spans="2:32">
      <c r="B19" s="20"/>
      <c r="C19" s="25" t="s">
        <v>740</v>
      </c>
      <c r="D19" s="22">
        <f ca="1" t="shared" si="5"/>
        <v>3568.26854587069</v>
      </c>
      <c r="E19" s="18" t="s">
        <v>24</v>
      </c>
      <c r="F19" s="23"/>
      <c r="G19" s="23"/>
      <c r="H19" s="23"/>
      <c r="I19" s="23"/>
      <c r="J19" s="22">
        <f>'表4-收入税金表'!J62+'表4-收入税金表'!J66</f>
        <v>0</v>
      </c>
      <c r="K19" s="22">
        <f>'表4-收入税金表'!K62+'表4-收入税金表'!K66</f>
        <v>0</v>
      </c>
      <c r="L19" s="22">
        <f>'表4-收入税金表'!L62+'表4-收入税金表'!L66</f>
        <v>0</v>
      </c>
      <c r="M19" s="22">
        <f>'表4-收入税金表'!M62+'表4-收入税金表'!M66</f>
        <v>0</v>
      </c>
      <c r="N19" s="22">
        <f>'表4-收入税金表'!N62+'表4-收入税金表'!N66</f>
        <v>0</v>
      </c>
      <c r="O19" s="22">
        <f>'表4-收入税金表'!O62+'表4-收入税金表'!O66</f>
        <v>0</v>
      </c>
      <c r="P19" s="22">
        <f>'表4-收入税金表'!P62+'表4-收入税金表'!P66</f>
        <v>0</v>
      </c>
      <c r="Q19" s="22">
        <f>'表4-收入税金表'!Q62+'表4-收入税金表'!Q66</f>
        <v>0</v>
      </c>
      <c r="R19" s="22">
        <f>'表4-收入税金表'!R62+'表4-收入税金表'!R66</f>
        <v>274.020885972662</v>
      </c>
      <c r="S19" s="22">
        <f>'表4-收入税金表'!S62+'表4-收入税金表'!S66</f>
        <v>285.114387907965</v>
      </c>
      <c r="T19" s="22">
        <f>'表4-收入税金表'!T62+'表4-收入税金表'!T66</f>
        <v>283.785488240708</v>
      </c>
      <c r="U19" s="22">
        <f>'表4-收入税金表'!U62+'表4-收入税金表'!U66</f>
        <v>282.456547157522</v>
      </c>
      <c r="V19" s="22">
        <f>'表4-收入税金表'!V62+'表4-收入税金表'!V66</f>
        <v>281.127647490266</v>
      </c>
      <c r="W19" s="22">
        <f>'表4-收入税金表'!W62+'表4-收入税金表'!W66</f>
        <v>274.844577966713</v>
      </c>
      <c r="X19" s="22">
        <f>'表4-收入税金表'!X62+'表4-收入税金表'!X66</f>
        <v>278.469806739823</v>
      </c>
      <c r="Y19" s="22">
        <f>'表4-收入税金表'!Y62+'表4-收入税金表'!Y66</f>
        <v>277.140907072566</v>
      </c>
      <c r="Z19" s="22">
        <f>'表4-收入税金表'!Z62+'表4-收入税金表'!Z66</f>
        <v>235.673894633628</v>
      </c>
      <c r="AA19" s="22">
        <f>'表4-收入税金表'!AA62+'表4-收入税金表'!AA66</f>
        <v>211.822885932743</v>
      </c>
      <c r="AB19" s="22">
        <f>'表4-收入税金表'!AB62+'表4-收入税金表'!AB66</f>
        <v>205.848149718925</v>
      </c>
      <c r="AC19" s="22">
        <f>'表4-收入税金表'!AC62+'表4-收入税金表'!AC66</f>
        <v>209.78171180177</v>
      </c>
      <c r="AD19" s="22">
        <f>'表4-收入税金表'!AD62+'表4-收入税金表'!AD66</f>
        <v>208.761145444248</v>
      </c>
      <c r="AE19" s="22">
        <f>'表4-收入税金表'!AE62+'表4-收入税金表'!AE66</f>
        <v>207.740537670796</v>
      </c>
      <c r="AF19" s="22">
        <f ca="1">'表4-收入税金表'!AF62+'表4-收入税金表'!AF66</f>
        <v>51.679972120354</v>
      </c>
    </row>
    <row r="20" spans="2:32">
      <c r="B20" s="20"/>
      <c r="C20" s="25" t="s">
        <v>621</v>
      </c>
      <c r="D20" s="22">
        <f t="shared" si="5"/>
        <v>0</v>
      </c>
      <c r="E20" s="18" t="s">
        <v>24</v>
      </c>
      <c r="F20" s="23"/>
      <c r="G20" s="23"/>
      <c r="H20" s="23"/>
      <c r="I20" s="23"/>
      <c r="J20" s="22">
        <f>'表3-成本费用表'!J41</f>
        <v>0</v>
      </c>
      <c r="K20" s="22">
        <f>'表3-成本费用表'!K41</f>
        <v>0</v>
      </c>
      <c r="L20" s="22">
        <f>'表3-成本费用表'!L41</f>
        <v>0</v>
      </c>
      <c r="M20" s="22">
        <f>'表3-成本费用表'!M41</f>
        <v>0</v>
      </c>
      <c r="N20" s="22">
        <f>'表3-成本费用表'!N41</f>
        <v>0</v>
      </c>
      <c r="O20" s="22">
        <f>'表3-成本费用表'!O41</f>
        <v>0</v>
      </c>
      <c r="P20" s="22">
        <f>'表3-成本费用表'!P41</f>
        <v>0</v>
      </c>
      <c r="Q20" s="22">
        <f>'表3-成本费用表'!Q41</f>
        <v>0</v>
      </c>
      <c r="R20" s="22">
        <f>'表3-成本费用表'!R41</f>
        <v>0</v>
      </c>
      <c r="S20" s="22">
        <f>'表3-成本费用表'!S41</f>
        <v>0</v>
      </c>
      <c r="T20" s="22">
        <f>'表3-成本费用表'!T41</f>
        <v>0</v>
      </c>
      <c r="U20" s="22">
        <f>'表3-成本费用表'!U41</f>
        <v>0</v>
      </c>
      <c r="V20" s="22">
        <f>'表3-成本费用表'!V41</f>
        <v>0</v>
      </c>
      <c r="W20" s="22">
        <f>'表3-成本费用表'!W41</f>
        <v>0</v>
      </c>
      <c r="X20" s="22">
        <f>'表3-成本费用表'!X41</f>
        <v>0</v>
      </c>
      <c r="Y20" s="22">
        <f>'表3-成本费用表'!Y41</f>
        <v>0</v>
      </c>
      <c r="Z20" s="22">
        <f>'表3-成本费用表'!Z41</f>
        <v>0</v>
      </c>
      <c r="AA20" s="22">
        <f>'表3-成本费用表'!AA41</f>
        <v>0</v>
      </c>
      <c r="AB20" s="22">
        <f>'表3-成本费用表'!AB41</f>
        <v>0</v>
      </c>
      <c r="AC20" s="22">
        <f>'表3-成本费用表'!AC41</f>
        <v>0</v>
      </c>
      <c r="AD20" s="22">
        <f>'表3-成本费用表'!AD41</f>
        <v>0</v>
      </c>
      <c r="AE20" s="22">
        <f>'表3-成本费用表'!AE41</f>
        <v>0</v>
      </c>
      <c r="AF20" s="22">
        <f>'表3-成本费用表'!AF41</f>
        <v>0</v>
      </c>
    </row>
    <row r="21" spans="2:32">
      <c r="B21" s="20"/>
      <c r="C21" s="25" t="s">
        <v>622</v>
      </c>
      <c r="D21" s="22">
        <f ca="1" t="shared" si="5"/>
        <v>4313.61685561129</v>
      </c>
      <c r="E21" s="18" t="s">
        <v>24</v>
      </c>
      <c r="F21" s="23"/>
      <c r="G21" s="23"/>
      <c r="H21" s="23"/>
      <c r="I21" s="23"/>
      <c r="J21" s="22">
        <f>'表3-成本费用表'!J42</f>
        <v>1.70189225218719</v>
      </c>
      <c r="K21" s="22">
        <f>'表3-成本费用表'!K42</f>
        <v>14.6091635807219</v>
      </c>
      <c r="L21" s="22">
        <f>'表3-成本费用表'!L42</f>
        <v>19.2780715292</v>
      </c>
      <c r="M21" s="22">
        <f>'表3-成本费用表'!M42</f>
        <v>54.3291106732</v>
      </c>
      <c r="N21" s="22">
        <f>'表3-成本费用表'!N42</f>
        <v>54.3291106732</v>
      </c>
      <c r="O21" s="22">
        <f>'表3-成本费用表'!O42</f>
        <v>54.3291106732</v>
      </c>
      <c r="P21" s="22">
        <f>'表3-成本费用表'!P42</f>
        <v>54.3291106732</v>
      </c>
      <c r="Q21" s="22">
        <f>'表3-成本费用表'!Q42</f>
        <v>54.3291106732</v>
      </c>
      <c r="R21" s="22">
        <f>'表3-成本费用表'!R42</f>
        <v>54.3291106732</v>
      </c>
      <c r="S21" s="22">
        <f>'表3-成本费用表'!S42</f>
        <v>54.3291106732</v>
      </c>
      <c r="T21" s="22">
        <f>'表3-成本费用表'!T42</f>
        <v>54.3291106732</v>
      </c>
      <c r="U21" s="22">
        <f>'表3-成本费用表'!U42</f>
        <v>54.3291106732</v>
      </c>
      <c r="V21" s="22">
        <f>'表3-成本费用表'!V42</f>
        <v>54.3291106732</v>
      </c>
      <c r="W21" s="22">
        <f>'表3-成本费用表'!W42</f>
        <v>54.3291106732</v>
      </c>
      <c r="X21" s="22">
        <f>'表3-成本费用表'!X42</f>
        <v>54.3291106732</v>
      </c>
      <c r="Y21" s="22">
        <f>'表3-成本费用表'!Y42</f>
        <v>54.3291106732</v>
      </c>
      <c r="Z21" s="22">
        <f>'表3-成本费用表'!Z42</f>
        <v>54.3291106732</v>
      </c>
      <c r="AA21" s="22">
        <f>'表3-成本费用表'!AA42</f>
        <v>54.3291106732</v>
      </c>
      <c r="AB21" s="22">
        <f>'表3-成本费用表'!AB42</f>
        <v>54.3291106732</v>
      </c>
      <c r="AC21" s="22">
        <f>'表3-成本费用表'!AC42</f>
        <v>54.3291106732</v>
      </c>
      <c r="AD21" s="22">
        <f>'表3-成本费用表'!AD42</f>
        <v>54.3291106732</v>
      </c>
      <c r="AE21" s="22">
        <f>'表3-成本费用表'!AE42</f>
        <v>54.3291106732</v>
      </c>
      <c r="AF21" s="22">
        <f ca="1">'表3-成本费用表'!AF42</f>
        <v>3245.77462545838</v>
      </c>
    </row>
    <row r="22" spans="2:32">
      <c r="B22" s="20"/>
      <c r="C22" s="25" t="s">
        <v>624</v>
      </c>
      <c r="D22" s="22">
        <f t="shared" si="5"/>
        <v>0</v>
      </c>
      <c r="E22" s="18" t="s">
        <v>24</v>
      </c>
      <c r="F22" s="23"/>
      <c r="G22" s="23"/>
      <c r="H22" s="23"/>
      <c r="I22" s="23"/>
      <c r="J22" s="22">
        <f>'表3-成本费用表'!J45</f>
        <v>0</v>
      </c>
      <c r="K22" s="22">
        <f>'表3-成本费用表'!K45</f>
        <v>0</v>
      </c>
      <c r="L22" s="22">
        <f>'表3-成本费用表'!L45</f>
        <v>0</v>
      </c>
      <c r="M22" s="22">
        <f>'表3-成本费用表'!M45</f>
        <v>0</v>
      </c>
      <c r="N22" s="22">
        <f>'表3-成本费用表'!N45</f>
        <v>0</v>
      </c>
      <c r="O22" s="22">
        <f>'表3-成本费用表'!O45</f>
        <v>0</v>
      </c>
      <c r="P22" s="22">
        <f>'表3-成本费用表'!P45</f>
        <v>0</v>
      </c>
      <c r="Q22" s="22">
        <f>'表3-成本费用表'!Q45</f>
        <v>0</v>
      </c>
      <c r="R22" s="22">
        <f>'表3-成本费用表'!R45</f>
        <v>0</v>
      </c>
      <c r="S22" s="22">
        <f>'表3-成本费用表'!S45</f>
        <v>0</v>
      </c>
      <c r="T22" s="22">
        <f>'表3-成本费用表'!T45</f>
        <v>0</v>
      </c>
      <c r="U22" s="22">
        <f>'表3-成本费用表'!U45</f>
        <v>0</v>
      </c>
      <c r="V22" s="22">
        <f>'表3-成本费用表'!V45</f>
        <v>0</v>
      </c>
      <c r="W22" s="22">
        <f>'表3-成本费用表'!W45</f>
        <v>0</v>
      </c>
      <c r="X22" s="22">
        <f>'表3-成本费用表'!X45</f>
        <v>0</v>
      </c>
      <c r="Y22" s="22">
        <f>'表3-成本费用表'!Y45</f>
        <v>0</v>
      </c>
      <c r="Z22" s="22">
        <f>'表3-成本费用表'!Z45</f>
        <v>0</v>
      </c>
      <c r="AA22" s="22">
        <f>'表3-成本费用表'!AA45</f>
        <v>0</v>
      </c>
      <c r="AB22" s="22">
        <f>'表3-成本费用表'!AB45</f>
        <v>0</v>
      </c>
      <c r="AC22" s="22">
        <f>'表3-成本费用表'!AC45</f>
        <v>0</v>
      </c>
      <c r="AD22" s="22">
        <f>'表3-成本费用表'!AD45</f>
        <v>0</v>
      </c>
      <c r="AE22" s="22">
        <f>'表3-成本费用表'!AE45</f>
        <v>0</v>
      </c>
      <c r="AF22" s="22">
        <f>'表3-成本费用表'!AF45</f>
        <v>0</v>
      </c>
    </row>
    <row r="23" spans="2:32">
      <c r="B23" s="20"/>
      <c r="C23" s="25" t="s">
        <v>625</v>
      </c>
      <c r="D23" s="22">
        <f t="shared" si="5"/>
        <v>0</v>
      </c>
      <c r="E23" s="18" t="s">
        <v>24</v>
      </c>
      <c r="F23" s="23"/>
      <c r="G23" s="23"/>
      <c r="H23" s="23"/>
      <c r="I23" s="23"/>
      <c r="J23" s="22">
        <f t="shared" ref="J23:P23" si="6">J24-J25+J26</f>
        <v>0</v>
      </c>
      <c r="K23" s="22">
        <f t="shared" si="6"/>
        <v>0</v>
      </c>
      <c r="L23" s="22">
        <f t="shared" si="6"/>
        <v>0</v>
      </c>
      <c r="M23" s="22">
        <f t="shared" si="6"/>
        <v>0</v>
      </c>
      <c r="N23" s="22">
        <f t="shared" si="6"/>
        <v>0</v>
      </c>
      <c r="O23" s="22">
        <f t="shared" si="6"/>
        <v>0</v>
      </c>
      <c r="P23" s="22">
        <f t="shared" si="6"/>
        <v>0</v>
      </c>
      <c r="Q23" s="22">
        <f t="shared" ref="Q23:AF23" si="7">Q24-Q25+Q26</f>
        <v>0</v>
      </c>
      <c r="R23" s="22">
        <f t="shared" si="7"/>
        <v>0</v>
      </c>
      <c r="S23" s="22">
        <f t="shared" si="7"/>
        <v>0</v>
      </c>
      <c r="T23" s="22">
        <f t="shared" si="7"/>
        <v>0</v>
      </c>
      <c r="U23" s="22">
        <f t="shared" si="7"/>
        <v>0</v>
      </c>
      <c r="V23" s="22">
        <f t="shared" si="7"/>
        <v>0</v>
      </c>
      <c r="W23" s="22">
        <f t="shared" si="7"/>
        <v>0</v>
      </c>
      <c r="X23" s="22">
        <f t="shared" si="7"/>
        <v>0</v>
      </c>
      <c r="Y23" s="22">
        <f t="shared" si="7"/>
        <v>0</v>
      </c>
      <c r="Z23" s="22">
        <f t="shared" si="7"/>
        <v>0</v>
      </c>
      <c r="AA23" s="22">
        <f t="shared" si="7"/>
        <v>0</v>
      </c>
      <c r="AB23" s="22">
        <f t="shared" si="7"/>
        <v>0</v>
      </c>
      <c r="AC23" s="22">
        <f t="shared" si="7"/>
        <v>0</v>
      </c>
      <c r="AD23" s="22">
        <f t="shared" si="7"/>
        <v>0</v>
      </c>
      <c r="AE23" s="22">
        <f t="shared" si="7"/>
        <v>0</v>
      </c>
      <c r="AF23" s="22">
        <f t="shared" si="7"/>
        <v>0</v>
      </c>
    </row>
    <row r="24" spans="2:32">
      <c r="B24" s="20"/>
      <c r="C24" s="26" t="s">
        <v>741</v>
      </c>
      <c r="D24" s="22">
        <f t="shared" si="5"/>
        <v>0</v>
      </c>
      <c r="E24" s="18" t="s">
        <v>24</v>
      </c>
      <c r="F24" s="23"/>
      <c r="G24" s="23"/>
      <c r="H24" s="23"/>
      <c r="I24" s="23"/>
      <c r="J24" s="22"/>
      <c r="K24" s="22"/>
      <c r="L24" s="22"/>
      <c r="M24" s="22"/>
      <c r="N24" s="22"/>
      <c r="O24" s="22"/>
      <c r="P24" s="22"/>
      <c r="Q24" s="22"/>
      <c r="R24" s="22"/>
      <c r="S24" s="22"/>
      <c r="T24" s="22"/>
      <c r="U24" s="22"/>
      <c r="V24" s="22"/>
      <c r="W24" s="22"/>
      <c r="X24" s="22"/>
      <c r="Y24" s="22"/>
      <c r="Z24" s="22"/>
      <c r="AA24" s="22"/>
      <c r="AB24" s="22"/>
      <c r="AC24" s="22"/>
      <c r="AD24" s="22"/>
      <c r="AE24" s="22"/>
      <c r="AF24" s="22"/>
    </row>
    <row r="25" spans="2:32">
      <c r="B25" s="20"/>
      <c r="C25" s="27" t="s">
        <v>742</v>
      </c>
      <c r="D25" s="22">
        <f t="shared" si="5"/>
        <v>0</v>
      </c>
      <c r="E25" s="18" t="s">
        <v>24</v>
      </c>
      <c r="F25" s="23"/>
      <c r="G25" s="23"/>
      <c r="H25" s="23"/>
      <c r="I25" s="23"/>
      <c r="J25" s="22"/>
      <c r="K25" s="22"/>
      <c r="L25" s="22"/>
      <c r="M25" s="22"/>
      <c r="N25" s="22"/>
      <c r="O25" s="22"/>
      <c r="P25" s="22"/>
      <c r="Q25" s="22"/>
      <c r="R25" s="22"/>
      <c r="S25" s="22"/>
      <c r="T25" s="22"/>
      <c r="U25" s="22"/>
      <c r="V25" s="22"/>
      <c r="W25" s="22"/>
      <c r="X25" s="22"/>
      <c r="Y25" s="22"/>
      <c r="Z25" s="22"/>
      <c r="AA25" s="22"/>
      <c r="AB25" s="22"/>
      <c r="AC25" s="22"/>
      <c r="AD25" s="22"/>
      <c r="AE25" s="22"/>
      <c r="AF25" s="22"/>
    </row>
    <row r="26" spans="2:32">
      <c r="B26" s="20"/>
      <c r="C26" s="27" t="s">
        <v>743</v>
      </c>
      <c r="D26" s="22">
        <f t="shared" si="5"/>
        <v>0</v>
      </c>
      <c r="E26" s="18" t="s">
        <v>24</v>
      </c>
      <c r="F26" s="23"/>
      <c r="G26" s="23"/>
      <c r="H26" s="23"/>
      <c r="I26" s="23"/>
      <c r="J26" s="22"/>
      <c r="K26" s="22"/>
      <c r="L26" s="22"/>
      <c r="M26" s="22"/>
      <c r="N26" s="22"/>
      <c r="O26" s="22"/>
      <c r="P26" s="22"/>
      <c r="Q26" s="22"/>
      <c r="R26" s="22"/>
      <c r="S26" s="22"/>
      <c r="T26" s="22"/>
      <c r="U26" s="22"/>
      <c r="V26" s="22"/>
      <c r="W26" s="22"/>
      <c r="X26" s="22"/>
      <c r="Y26" s="22"/>
      <c r="Z26" s="22"/>
      <c r="AA26" s="22"/>
      <c r="AB26" s="22"/>
      <c r="AC26" s="22"/>
      <c r="AD26" s="22"/>
      <c r="AE26" s="22"/>
      <c r="AF26" s="22"/>
    </row>
    <row r="27" spans="2:32">
      <c r="B27" s="20"/>
      <c r="C27" s="25" t="s">
        <v>459</v>
      </c>
      <c r="D27" s="22">
        <f t="shared" si="5"/>
        <v>0</v>
      </c>
      <c r="E27" s="18" t="s">
        <v>24</v>
      </c>
      <c r="F27" s="23"/>
      <c r="G27" s="23"/>
      <c r="H27" s="23"/>
      <c r="I27" s="23"/>
      <c r="J27" s="22"/>
      <c r="K27" s="22"/>
      <c r="L27" s="22"/>
      <c r="M27" s="22"/>
      <c r="N27" s="22"/>
      <c r="O27" s="22"/>
      <c r="P27" s="22"/>
      <c r="Q27" s="22"/>
      <c r="R27" s="22"/>
      <c r="S27" s="22"/>
      <c r="T27" s="22"/>
      <c r="U27" s="22"/>
      <c r="V27" s="22"/>
      <c r="W27" s="22"/>
      <c r="X27" s="22"/>
      <c r="Y27" s="22"/>
      <c r="Z27" s="22"/>
      <c r="AA27" s="22"/>
      <c r="AB27" s="22"/>
      <c r="AC27" s="22"/>
      <c r="AD27" s="22"/>
      <c r="AE27" s="22"/>
      <c r="AF27" s="22"/>
    </row>
    <row r="28" spans="2:32">
      <c r="B28" s="20"/>
      <c r="C28" s="21" t="s">
        <v>744</v>
      </c>
      <c r="D28" s="22">
        <f ca="1" t="shared" si="5"/>
        <v>5974.11504424779</v>
      </c>
      <c r="E28" s="18" t="s">
        <v>24</v>
      </c>
      <c r="F28" s="23"/>
      <c r="G28" s="23"/>
      <c r="H28" s="23"/>
      <c r="I28" s="23"/>
      <c r="J28" s="22">
        <f>'表4-收入税金表'!J23</f>
        <v>25</v>
      </c>
      <c r="K28" s="22">
        <f>'表4-收入税金表'!K23</f>
        <v>214.601769911504</v>
      </c>
      <c r="L28" s="22">
        <f>'表4-收入税金表'!L23</f>
        <v>283.185840707965</v>
      </c>
      <c r="M28" s="22">
        <f>'表4-收入税金表'!M23</f>
        <v>283.185840707965</v>
      </c>
      <c r="N28" s="22">
        <f>'表4-收入税金表'!N23</f>
        <v>283.185840707965</v>
      </c>
      <c r="O28" s="22">
        <f>'表4-收入税金表'!O23</f>
        <v>283.185840707965</v>
      </c>
      <c r="P28" s="22">
        <f>'表4-收入税金表'!P23</f>
        <v>283.185840707965</v>
      </c>
      <c r="Q28" s="22">
        <f>'表4-收入税金表'!Q23</f>
        <v>283.185840707965</v>
      </c>
      <c r="R28" s="22">
        <f>'表4-收入税金表'!R23</f>
        <v>283.185840707965</v>
      </c>
      <c r="S28" s="22">
        <f>'表4-收入税金表'!S23</f>
        <v>283.185840707965</v>
      </c>
      <c r="T28" s="22">
        <f>'表4-收入税金表'!T23</f>
        <v>283.185840707965</v>
      </c>
      <c r="U28" s="22">
        <f>'表4-收入税金表'!U23</f>
        <v>283.185840707965</v>
      </c>
      <c r="V28" s="22">
        <f>'表4-收入税金表'!V23</f>
        <v>283.185840707965</v>
      </c>
      <c r="W28" s="22">
        <f>'表4-收入税金表'!W23</f>
        <v>283.185840707965</v>
      </c>
      <c r="X28" s="22">
        <f>'表4-收入税金表'!X23</f>
        <v>283.185840707965</v>
      </c>
      <c r="Y28" s="22">
        <f>'表4-收入税金表'!Y23</f>
        <v>283.185840707965</v>
      </c>
      <c r="Z28" s="22">
        <f>'表4-收入税金表'!Z23</f>
        <v>283.185840707965</v>
      </c>
      <c r="AA28" s="22">
        <f>'表4-收入税金表'!AA23</f>
        <v>283.185840707965</v>
      </c>
      <c r="AB28" s="22">
        <f>'表4-收入税金表'!AB23</f>
        <v>283.185840707965</v>
      </c>
      <c r="AC28" s="22">
        <f>'表4-收入税金表'!AC23</f>
        <v>283.185840707965</v>
      </c>
      <c r="AD28" s="22">
        <f>'表4-收入税金表'!AD23</f>
        <v>283.185840707965</v>
      </c>
      <c r="AE28" s="22">
        <f>'表4-收入税金表'!AE23</f>
        <v>283.185840707965</v>
      </c>
      <c r="AF28" s="22">
        <f ca="1">'表4-收入税金表'!AF23</f>
        <v>70.7964601769912</v>
      </c>
    </row>
    <row r="29" spans="2:32">
      <c r="B29" s="20"/>
      <c r="C29" s="25" t="s">
        <v>745</v>
      </c>
      <c r="D29" s="22">
        <f t="shared" ref="D29:D44" si="8">SUM(F29:AF29)</f>
        <v>0</v>
      </c>
      <c r="E29" s="18" t="s">
        <v>24</v>
      </c>
      <c r="F29" s="23"/>
      <c r="G29" s="23"/>
      <c r="H29" s="23"/>
      <c r="I29" s="23"/>
      <c r="J29" s="22"/>
      <c r="K29" s="22"/>
      <c r="L29" s="22"/>
      <c r="M29" s="22"/>
      <c r="N29" s="22"/>
      <c r="O29" s="22"/>
      <c r="P29" s="22"/>
      <c r="Q29" s="22"/>
      <c r="R29" s="22"/>
      <c r="S29" s="22"/>
      <c r="T29" s="22"/>
      <c r="U29" s="22"/>
      <c r="V29" s="22"/>
      <c r="W29" s="22"/>
      <c r="X29" s="22"/>
      <c r="Y29" s="22"/>
      <c r="Z29" s="22"/>
      <c r="AA29" s="22"/>
      <c r="AB29" s="22"/>
      <c r="AC29" s="22"/>
      <c r="AD29" s="22"/>
      <c r="AE29" s="22"/>
      <c r="AF29" s="22"/>
    </row>
    <row r="30" spans="2:32">
      <c r="B30" s="20"/>
      <c r="C30" s="26" t="s">
        <v>746</v>
      </c>
      <c r="D30" s="22">
        <f t="shared" si="8"/>
        <v>0</v>
      </c>
      <c r="E30" s="18" t="s">
        <v>24</v>
      </c>
      <c r="F30" s="23"/>
      <c r="G30" s="23"/>
      <c r="H30" s="23"/>
      <c r="I30" s="23"/>
      <c r="J30" s="22"/>
      <c r="K30" s="22"/>
      <c r="L30" s="22"/>
      <c r="M30" s="22"/>
      <c r="N30" s="22"/>
      <c r="O30" s="22"/>
      <c r="P30" s="22"/>
      <c r="Q30" s="22"/>
      <c r="R30" s="22"/>
      <c r="S30" s="22"/>
      <c r="T30" s="22"/>
      <c r="U30" s="22"/>
      <c r="V30" s="22"/>
      <c r="W30" s="22"/>
      <c r="X30" s="22"/>
      <c r="Y30" s="22"/>
      <c r="Z30" s="22"/>
      <c r="AA30" s="22"/>
      <c r="AB30" s="22"/>
      <c r="AC30" s="22"/>
      <c r="AD30" s="22"/>
      <c r="AE30" s="22"/>
      <c r="AF30" s="22"/>
    </row>
    <row r="31" spans="2:32">
      <c r="B31" s="20"/>
      <c r="C31" s="27" t="s">
        <v>747</v>
      </c>
      <c r="D31" s="22">
        <f t="shared" si="8"/>
        <v>0</v>
      </c>
      <c r="E31" s="18" t="s">
        <v>24</v>
      </c>
      <c r="F31" s="23"/>
      <c r="G31" s="23"/>
      <c r="H31" s="23"/>
      <c r="I31" s="23"/>
      <c r="J31" s="22"/>
      <c r="K31" s="22"/>
      <c r="L31" s="22"/>
      <c r="M31" s="22"/>
      <c r="N31" s="22"/>
      <c r="O31" s="22"/>
      <c r="P31" s="22"/>
      <c r="Q31" s="22"/>
      <c r="R31" s="22"/>
      <c r="S31" s="22"/>
      <c r="T31" s="22"/>
      <c r="U31" s="22"/>
      <c r="V31" s="22"/>
      <c r="W31" s="22"/>
      <c r="X31" s="22"/>
      <c r="Y31" s="22"/>
      <c r="Z31" s="22"/>
      <c r="AA31" s="22"/>
      <c r="AB31" s="22"/>
      <c r="AC31" s="22"/>
      <c r="AD31" s="22"/>
      <c r="AE31" s="22"/>
      <c r="AF31" s="22"/>
    </row>
    <row r="32" spans="2:32">
      <c r="B32" s="20"/>
      <c r="C32" s="24" t="s">
        <v>748</v>
      </c>
      <c r="D32" s="22">
        <f t="shared" si="8"/>
        <v>0</v>
      </c>
      <c r="E32" s="18" t="s">
        <v>24</v>
      </c>
      <c r="F32" s="23"/>
      <c r="G32" s="23"/>
      <c r="H32" s="23"/>
      <c r="I32" s="23"/>
      <c r="J32" s="22"/>
      <c r="K32" s="22"/>
      <c r="L32" s="22"/>
      <c r="M32" s="22"/>
      <c r="N32" s="22"/>
      <c r="O32" s="22"/>
      <c r="P32" s="22"/>
      <c r="Q32" s="22"/>
      <c r="R32" s="22"/>
      <c r="S32" s="22"/>
      <c r="T32" s="22"/>
      <c r="U32" s="22"/>
      <c r="V32" s="22"/>
      <c r="W32" s="22"/>
      <c r="X32" s="22"/>
      <c r="Y32" s="22"/>
      <c r="Z32" s="22"/>
      <c r="AA32" s="22"/>
      <c r="AB32" s="22"/>
      <c r="AC32" s="22"/>
      <c r="AD32" s="22"/>
      <c r="AE32" s="22"/>
      <c r="AF32" s="22"/>
    </row>
    <row r="33" spans="2:32">
      <c r="B33" s="20"/>
      <c r="C33" s="25" t="s">
        <v>749</v>
      </c>
      <c r="D33" s="22">
        <f t="shared" si="8"/>
        <v>0</v>
      </c>
      <c r="E33" s="18" t="s">
        <v>24</v>
      </c>
      <c r="F33" s="23"/>
      <c r="G33" s="23"/>
      <c r="H33" s="23"/>
      <c r="I33" s="23"/>
      <c r="J33" s="22"/>
      <c r="K33" s="22"/>
      <c r="L33" s="22"/>
      <c r="M33" s="22"/>
      <c r="N33" s="22"/>
      <c r="O33" s="22"/>
      <c r="P33" s="22"/>
      <c r="Q33" s="22"/>
      <c r="R33" s="22"/>
      <c r="S33" s="22"/>
      <c r="T33" s="22"/>
      <c r="U33" s="22"/>
      <c r="V33" s="22"/>
      <c r="W33" s="22"/>
      <c r="X33" s="22"/>
      <c r="Y33" s="22"/>
      <c r="Z33" s="22"/>
      <c r="AA33" s="22"/>
      <c r="AB33" s="22"/>
      <c r="AC33" s="22"/>
      <c r="AD33" s="22"/>
      <c r="AE33" s="22"/>
      <c r="AF33" s="22"/>
    </row>
    <row r="34" spans="2:32">
      <c r="B34" s="20"/>
      <c r="C34" s="25" t="s">
        <v>750</v>
      </c>
      <c r="D34" s="22">
        <f t="shared" si="8"/>
        <v>0</v>
      </c>
      <c r="E34" s="18" t="s">
        <v>24</v>
      </c>
      <c r="F34" s="23"/>
      <c r="G34" s="23"/>
      <c r="H34" s="23"/>
      <c r="I34" s="23"/>
      <c r="J34" s="22"/>
      <c r="K34" s="22"/>
      <c r="L34" s="22"/>
      <c r="M34" s="22"/>
      <c r="N34" s="22"/>
      <c r="O34" s="22"/>
      <c r="P34" s="22"/>
      <c r="Q34" s="22"/>
      <c r="R34" s="22"/>
      <c r="S34" s="22"/>
      <c r="T34" s="22"/>
      <c r="U34" s="22"/>
      <c r="V34" s="22"/>
      <c r="W34" s="22"/>
      <c r="X34" s="22"/>
      <c r="Y34" s="22"/>
      <c r="Z34" s="22"/>
      <c r="AA34" s="22"/>
      <c r="AB34" s="22"/>
      <c r="AC34" s="22"/>
      <c r="AD34" s="22"/>
      <c r="AE34" s="22"/>
      <c r="AF34" s="22"/>
    </row>
    <row r="35" spans="2:32">
      <c r="B35" s="20"/>
      <c r="C35" s="25" t="s">
        <v>751</v>
      </c>
      <c r="D35" s="22">
        <f t="shared" si="8"/>
        <v>0</v>
      </c>
      <c r="E35" s="18" t="s">
        <v>24</v>
      </c>
      <c r="F35" s="23"/>
      <c r="G35" s="23"/>
      <c r="H35" s="23"/>
      <c r="I35" s="23"/>
      <c r="J35" s="22"/>
      <c r="K35" s="22"/>
      <c r="L35" s="22"/>
      <c r="M35" s="22"/>
      <c r="N35" s="22"/>
      <c r="O35" s="22"/>
      <c r="P35" s="22"/>
      <c r="Q35" s="22"/>
      <c r="R35" s="22"/>
      <c r="S35" s="22"/>
      <c r="T35" s="22"/>
      <c r="U35" s="22"/>
      <c r="V35" s="22"/>
      <c r="W35" s="22"/>
      <c r="X35" s="22"/>
      <c r="Y35" s="22"/>
      <c r="Z35" s="22"/>
      <c r="AA35" s="22"/>
      <c r="AB35" s="22"/>
      <c r="AC35" s="22"/>
      <c r="AD35" s="22"/>
      <c r="AE35" s="22"/>
      <c r="AF35" s="22"/>
    </row>
    <row r="36" spans="2:32">
      <c r="B36" s="20"/>
      <c r="C36" s="25" t="s">
        <v>752</v>
      </c>
      <c r="D36" s="22">
        <f t="shared" si="8"/>
        <v>0</v>
      </c>
      <c r="E36" s="18" t="s">
        <v>24</v>
      </c>
      <c r="F36" s="23"/>
      <c r="G36" s="23"/>
      <c r="H36" s="23"/>
      <c r="I36" s="23"/>
      <c r="J36" s="22"/>
      <c r="K36" s="22"/>
      <c r="L36" s="22"/>
      <c r="M36" s="22"/>
      <c r="N36" s="22"/>
      <c r="O36" s="22"/>
      <c r="P36" s="22"/>
      <c r="Q36" s="22"/>
      <c r="R36" s="22"/>
      <c r="S36" s="22"/>
      <c r="T36" s="22"/>
      <c r="U36" s="22"/>
      <c r="V36" s="22"/>
      <c r="W36" s="22"/>
      <c r="X36" s="22"/>
      <c r="Y36" s="22"/>
      <c r="Z36" s="22"/>
      <c r="AA36" s="22"/>
      <c r="AB36" s="22"/>
      <c r="AC36" s="22"/>
      <c r="AD36" s="22"/>
      <c r="AE36" s="22"/>
      <c r="AF36" s="22"/>
    </row>
    <row r="37" spans="2:32">
      <c r="B37" s="20"/>
      <c r="C37" s="25" t="s">
        <v>753</v>
      </c>
      <c r="D37" s="22">
        <f t="shared" si="8"/>
        <v>0</v>
      </c>
      <c r="E37" s="18" t="s">
        <v>24</v>
      </c>
      <c r="F37" s="23"/>
      <c r="G37" s="23"/>
      <c r="H37" s="23"/>
      <c r="I37" s="23"/>
      <c r="J37" s="22"/>
      <c r="K37" s="22"/>
      <c r="L37" s="22"/>
      <c r="M37" s="22"/>
      <c r="N37" s="22"/>
      <c r="O37" s="22"/>
      <c r="P37" s="22"/>
      <c r="Q37" s="22"/>
      <c r="R37" s="22"/>
      <c r="S37" s="22"/>
      <c r="T37" s="22"/>
      <c r="U37" s="22"/>
      <c r="V37" s="22"/>
      <c r="W37" s="22"/>
      <c r="X37" s="22"/>
      <c r="Y37" s="22"/>
      <c r="Z37" s="22"/>
      <c r="AA37" s="22"/>
      <c r="AB37" s="22"/>
      <c r="AC37" s="22"/>
      <c r="AD37" s="22"/>
      <c r="AE37" s="22"/>
      <c r="AF37" s="22"/>
    </row>
    <row r="38" s="1" customFormat="1" spans="2:32">
      <c r="B38" s="15" t="s">
        <v>754</v>
      </c>
      <c r="C38" s="16" t="s">
        <v>755</v>
      </c>
      <c r="D38" s="17">
        <f ca="1" t="shared" si="8"/>
        <v>131530.281826405</v>
      </c>
      <c r="E38" s="18" t="s">
        <v>24</v>
      </c>
      <c r="F38" s="19">
        <f>F5-F10+F28+F29+SUM(F32:F37)</f>
        <v>0</v>
      </c>
      <c r="G38" s="19">
        <f t="shared" ref="G38:P38" si="9">G5-G10+G28+G29+SUM(G32:G37)</f>
        <v>0</v>
      </c>
      <c r="H38" s="19">
        <f t="shared" si="9"/>
        <v>0</v>
      </c>
      <c r="I38" s="19">
        <f t="shared" si="9"/>
        <v>0</v>
      </c>
      <c r="J38" s="39">
        <f t="shared" si="9"/>
        <v>-697.317765817357</v>
      </c>
      <c r="K38" s="39">
        <f t="shared" si="9"/>
        <v>4266.09004334077</v>
      </c>
      <c r="L38" s="39">
        <f t="shared" si="9"/>
        <v>7558.9345127269</v>
      </c>
      <c r="M38" s="39">
        <f t="shared" si="9"/>
        <v>7100.55476686885</v>
      </c>
      <c r="N38" s="39">
        <f t="shared" si="9"/>
        <v>6986.56889076266</v>
      </c>
      <c r="O38" s="39">
        <f t="shared" si="9"/>
        <v>6872.58301465646</v>
      </c>
      <c r="P38" s="39">
        <f t="shared" si="9"/>
        <v>6758.59448368301</v>
      </c>
      <c r="Q38" s="39">
        <f t="shared" ref="Q38:AF38" si="10">Q5-Q10+Q28+Q29+SUM(Q32:Q37)</f>
        <v>6644.60860757682</v>
      </c>
      <c r="R38" s="39">
        <f t="shared" si="10"/>
        <v>6073.06683847252</v>
      </c>
      <c r="S38" s="39">
        <f t="shared" si="10"/>
        <v>5947.98746043103</v>
      </c>
      <c r="T38" s="39">
        <f t="shared" si="10"/>
        <v>5836.07458479209</v>
      </c>
      <c r="U38" s="39">
        <f t="shared" si="10"/>
        <v>5724.15909570182</v>
      </c>
      <c r="V38" s="39">
        <f t="shared" si="10"/>
        <v>5611.50211926288</v>
      </c>
      <c r="W38" s="39">
        <f t="shared" si="10"/>
        <v>5320.2643056548</v>
      </c>
      <c r="X38" s="39">
        <f t="shared" si="10"/>
        <v>6251.50689695408</v>
      </c>
      <c r="Y38" s="39">
        <f t="shared" si="10"/>
        <v>7187.70361669371</v>
      </c>
      <c r="Z38" s="39">
        <f t="shared" si="10"/>
        <v>4542.22880612379</v>
      </c>
      <c r="AA38" s="39">
        <f t="shared" si="10"/>
        <v>3008.36900066539</v>
      </c>
      <c r="AB38" s="39">
        <f t="shared" si="10"/>
        <v>3776.39744648461</v>
      </c>
      <c r="AC38" s="39">
        <f t="shared" si="10"/>
        <v>8877.29114897193</v>
      </c>
      <c r="AD38" s="39">
        <f t="shared" si="10"/>
        <v>9477.29721963202</v>
      </c>
      <c r="AE38" s="39">
        <f t="shared" si="10"/>
        <v>9384.09425218424</v>
      </c>
      <c r="AF38" s="39">
        <f ca="1" t="shared" si="10"/>
        <v>-978.277519418345</v>
      </c>
    </row>
    <row r="39" spans="2:32">
      <c r="B39" s="20"/>
      <c r="C39" s="21" t="s">
        <v>756</v>
      </c>
      <c r="D39" s="22">
        <f t="shared" si="8"/>
        <v>200</v>
      </c>
      <c r="E39" s="18" t="s">
        <v>24</v>
      </c>
      <c r="F39" s="23"/>
      <c r="G39" s="23"/>
      <c r="H39" s="23"/>
      <c r="I39" s="23"/>
      <c r="J39" s="22">
        <f>'表4-收入税金表'!J26</f>
        <v>0</v>
      </c>
      <c r="K39" s="22">
        <f>'表4-收入税金表'!K26</f>
        <v>0</v>
      </c>
      <c r="L39" s="22">
        <f>'表4-收入税金表'!L26</f>
        <v>10</v>
      </c>
      <c r="M39" s="22">
        <f>'表4-收入税金表'!M26</f>
        <v>10</v>
      </c>
      <c r="N39" s="22">
        <f>'表4-收入税金表'!N26</f>
        <v>10</v>
      </c>
      <c r="O39" s="22">
        <f>'表4-收入税金表'!O26</f>
        <v>10</v>
      </c>
      <c r="P39" s="22">
        <f>'表4-收入税金表'!P26</f>
        <v>10</v>
      </c>
      <c r="Q39" s="22">
        <f>'表4-收入税金表'!Q26</f>
        <v>10</v>
      </c>
      <c r="R39" s="22">
        <f>'表4-收入税金表'!R26</f>
        <v>10</v>
      </c>
      <c r="S39" s="22">
        <f>'表4-收入税金表'!S26</f>
        <v>10</v>
      </c>
      <c r="T39" s="22">
        <f>'表4-收入税金表'!T26</f>
        <v>10</v>
      </c>
      <c r="U39" s="22">
        <f>'表4-收入税金表'!U26</f>
        <v>10</v>
      </c>
      <c r="V39" s="22">
        <f>'表4-收入税金表'!V26</f>
        <v>10</v>
      </c>
      <c r="W39" s="22">
        <f>'表4-收入税金表'!W26</f>
        <v>10</v>
      </c>
      <c r="X39" s="22">
        <f>'表4-收入税金表'!X26</f>
        <v>10</v>
      </c>
      <c r="Y39" s="22">
        <f>'表4-收入税金表'!Y26</f>
        <v>10</v>
      </c>
      <c r="Z39" s="22">
        <f>'表4-收入税金表'!Z26</f>
        <v>10</v>
      </c>
      <c r="AA39" s="22">
        <f>'表4-收入税金表'!AA26</f>
        <v>10</v>
      </c>
      <c r="AB39" s="22">
        <f>'表4-收入税金表'!AB26</f>
        <v>10</v>
      </c>
      <c r="AC39" s="22">
        <f>'表4-收入税金表'!AC26</f>
        <v>10</v>
      </c>
      <c r="AD39" s="22">
        <f>'表4-收入税金表'!AD26</f>
        <v>10</v>
      </c>
      <c r="AE39" s="22">
        <f>'表4-收入税金表'!AE26</f>
        <v>10</v>
      </c>
      <c r="AF39" s="22">
        <f>'表4-收入税金表'!AF26</f>
        <v>0</v>
      </c>
    </row>
    <row r="40" spans="2:32">
      <c r="B40" s="20"/>
      <c r="C40" s="25" t="s">
        <v>757</v>
      </c>
      <c r="D40" s="22">
        <f t="shared" si="8"/>
        <v>200</v>
      </c>
      <c r="E40" s="18" t="s">
        <v>24</v>
      </c>
      <c r="F40" s="23"/>
      <c r="G40" s="23"/>
      <c r="H40" s="23"/>
      <c r="I40" s="23"/>
      <c r="J40" s="22">
        <f>'表4-收入税金表'!J27</f>
        <v>0</v>
      </c>
      <c r="K40" s="22">
        <f>'表4-收入税金表'!K27</f>
        <v>0</v>
      </c>
      <c r="L40" s="22">
        <f>'表4-收入税金表'!L27</f>
        <v>10</v>
      </c>
      <c r="M40" s="22">
        <f>'表4-收入税金表'!M27</f>
        <v>10</v>
      </c>
      <c r="N40" s="22">
        <f>'表4-收入税金表'!N27</f>
        <v>10</v>
      </c>
      <c r="O40" s="22">
        <f>'表4-收入税金表'!O27</f>
        <v>10</v>
      </c>
      <c r="P40" s="22">
        <f>'表4-收入税金表'!P27</f>
        <v>10</v>
      </c>
      <c r="Q40" s="22">
        <f>'表4-收入税金表'!Q27</f>
        <v>10</v>
      </c>
      <c r="R40" s="22">
        <f>'表4-收入税金表'!R27</f>
        <v>10</v>
      </c>
      <c r="S40" s="22">
        <f>'表4-收入税金表'!S27</f>
        <v>10</v>
      </c>
      <c r="T40" s="22">
        <f>'表4-收入税金表'!T27</f>
        <v>10</v>
      </c>
      <c r="U40" s="22">
        <f>'表4-收入税金表'!U27</f>
        <v>10</v>
      </c>
      <c r="V40" s="22">
        <f>'表4-收入税金表'!V27</f>
        <v>10</v>
      </c>
      <c r="W40" s="22">
        <f>'表4-收入税金表'!W27</f>
        <v>10</v>
      </c>
      <c r="X40" s="22">
        <f>'表4-收入税金表'!X27</f>
        <v>10</v>
      </c>
      <c r="Y40" s="22">
        <f>'表4-收入税金表'!Y27</f>
        <v>10</v>
      </c>
      <c r="Z40" s="22">
        <f>'表4-收入税金表'!Z27</f>
        <v>10</v>
      </c>
      <c r="AA40" s="22">
        <f>'表4-收入税金表'!AA27</f>
        <v>10</v>
      </c>
      <c r="AB40" s="22">
        <f>'表4-收入税金表'!AB27</f>
        <v>10</v>
      </c>
      <c r="AC40" s="22">
        <f>'表4-收入税金表'!AC27</f>
        <v>10</v>
      </c>
      <c r="AD40" s="22">
        <f>'表4-收入税金表'!AD27</f>
        <v>10</v>
      </c>
      <c r="AE40" s="22">
        <f>'表4-收入税金表'!AE27</f>
        <v>10</v>
      </c>
      <c r="AF40" s="22">
        <f>'表4-收入税金表'!AF27</f>
        <v>0</v>
      </c>
    </row>
    <row r="41" spans="2:32">
      <c r="B41" s="20"/>
      <c r="C41" s="21" t="s">
        <v>758</v>
      </c>
      <c r="D41" s="22">
        <f t="shared" si="8"/>
        <v>0</v>
      </c>
      <c r="E41" s="18" t="s">
        <v>24</v>
      </c>
      <c r="F41" s="23"/>
      <c r="G41" s="23"/>
      <c r="H41" s="23"/>
      <c r="I41" s="23"/>
      <c r="J41" s="22">
        <f>'表3-成本费用表'!J46</f>
        <v>0</v>
      </c>
      <c r="K41" s="22">
        <f>'表3-成本费用表'!K46</f>
        <v>0</v>
      </c>
      <c r="L41" s="22">
        <f>'表3-成本费用表'!L46</f>
        <v>0</v>
      </c>
      <c r="M41" s="22">
        <f>'表3-成本费用表'!M46</f>
        <v>0</v>
      </c>
      <c r="N41" s="22">
        <f>'表3-成本费用表'!N46</f>
        <v>0</v>
      </c>
      <c r="O41" s="22">
        <f>'表3-成本费用表'!O46</f>
        <v>0</v>
      </c>
      <c r="P41" s="22">
        <f>'表3-成本费用表'!P46</f>
        <v>0</v>
      </c>
      <c r="Q41" s="22">
        <f>'表3-成本费用表'!Q46</f>
        <v>0</v>
      </c>
      <c r="R41" s="22">
        <f>'表3-成本费用表'!R46</f>
        <v>0</v>
      </c>
      <c r="S41" s="22">
        <f>'表3-成本费用表'!S46</f>
        <v>0</v>
      </c>
      <c r="T41" s="22">
        <f>'表3-成本费用表'!T46</f>
        <v>0</v>
      </c>
      <c r="U41" s="22">
        <f>'表3-成本费用表'!U46</f>
        <v>0</v>
      </c>
      <c r="V41" s="22">
        <f>'表3-成本费用表'!V46</f>
        <v>0</v>
      </c>
      <c r="W41" s="22">
        <f>'表3-成本费用表'!W46</f>
        <v>0</v>
      </c>
      <c r="X41" s="22">
        <f>'表3-成本费用表'!X46</f>
        <v>0</v>
      </c>
      <c r="Y41" s="22">
        <f>'表3-成本费用表'!Y46</f>
        <v>0</v>
      </c>
      <c r="Z41" s="22">
        <f>'表3-成本费用表'!Z46</f>
        <v>0</v>
      </c>
      <c r="AA41" s="22">
        <f>'表3-成本费用表'!AA46</f>
        <v>0</v>
      </c>
      <c r="AB41" s="22">
        <f>'表3-成本费用表'!AB46</f>
        <v>0</v>
      </c>
      <c r="AC41" s="22">
        <f>'表3-成本费用表'!AC46</f>
        <v>0</v>
      </c>
      <c r="AD41" s="22">
        <f>'表3-成本费用表'!AD46</f>
        <v>0</v>
      </c>
      <c r="AE41" s="22">
        <f>'表3-成本费用表'!AE46</f>
        <v>0</v>
      </c>
      <c r="AF41" s="22">
        <f>'表3-成本费用表'!AF46</f>
        <v>0</v>
      </c>
    </row>
    <row r="42" s="1" customFormat="1" spans="2:32">
      <c r="B42" s="15" t="s">
        <v>759</v>
      </c>
      <c r="C42" s="16" t="s">
        <v>760</v>
      </c>
      <c r="D42" s="17">
        <f ca="1" t="shared" si="8"/>
        <v>131730.281826405</v>
      </c>
      <c r="E42" s="18" t="s">
        <v>24</v>
      </c>
      <c r="F42" s="19">
        <f>F38+F39-F41</f>
        <v>0</v>
      </c>
      <c r="G42" s="19">
        <f t="shared" ref="G42:R42" si="11">G38+G39-G41</f>
        <v>0</v>
      </c>
      <c r="H42" s="19">
        <f t="shared" si="11"/>
        <v>0</v>
      </c>
      <c r="I42" s="19">
        <f t="shared" si="11"/>
        <v>0</v>
      </c>
      <c r="J42" s="39">
        <f t="shared" si="11"/>
        <v>-697.317765817357</v>
      </c>
      <c r="K42" s="39">
        <f t="shared" si="11"/>
        <v>4266.09004334077</v>
      </c>
      <c r="L42" s="39">
        <f t="shared" si="11"/>
        <v>7568.9345127269</v>
      </c>
      <c r="M42" s="39">
        <f t="shared" si="11"/>
        <v>7110.55476686885</v>
      </c>
      <c r="N42" s="39">
        <f t="shared" si="11"/>
        <v>6996.56889076266</v>
      </c>
      <c r="O42" s="39">
        <f t="shared" si="11"/>
        <v>6882.58301465646</v>
      </c>
      <c r="P42" s="39">
        <f t="shared" si="11"/>
        <v>6768.59448368301</v>
      </c>
      <c r="Q42" s="39">
        <f t="shared" si="11"/>
        <v>6654.60860757682</v>
      </c>
      <c r="R42" s="39">
        <f t="shared" si="11"/>
        <v>6083.06683847252</v>
      </c>
      <c r="S42" s="39">
        <f t="shared" ref="S42:AF42" si="12">S38+S39-S41</f>
        <v>5957.98746043103</v>
      </c>
      <c r="T42" s="39">
        <f t="shared" si="12"/>
        <v>5846.07458479209</v>
      </c>
      <c r="U42" s="39">
        <f t="shared" si="12"/>
        <v>5734.15909570182</v>
      </c>
      <c r="V42" s="39">
        <f t="shared" si="12"/>
        <v>5621.50211926288</v>
      </c>
      <c r="W42" s="39">
        <f t="shared" si="12"/>
        <v>5330.2643056548</v>
      </c>
      <c r="X42" s="39">
        <f t="shared" si="12"/>
        <v>6261.50689695408</v>
      </c>
      <c r="Y42" s="39">
        <f t="shared" si="12"/>
        <v>7197.70361669371</v>
      </c>
      <c r="Z42" s="39">
        <f t="shared" si="12"/>
        <v>4552.22880612379</v>
      </c>
      <c r="AA42" s="39">
        <f t="shared" si="12"/>
        <v>3018.36900066539</v>
      </c>
      <c r="AB42" s="39">
        <f t="shared" si="12"/>
        <v>3786.39744648461</v>
      </c>
      <c r="AC42" s="39">
        <f t="shared" si="12"/>
        <v>8887.29114897193</v>
      </c>
      <c r="AD42" s="39">
        <f t="shared" si="12"/>
        <v>9487.29721963202</v>
      </c>
      <c r="AE42" s="39">
        <f t="shared" si="12"/>
        <v>9394.09425218424</v>
      </c>
      <c r="AF42" s="39">
        <f ca="1" t="shared" si="12"/>
        <v>-978.277519418345</v>
      </c>
    </row>
    <row r="43" s="1" customFormat="1" spans="2:32">
      <c r="B43" s="15"/>
      <c r="C43" s="29" t="s">
        <v>761</v>
      </c>
      <c r="D43" s="17">
        <f ca="1" t="shared" si="8"/>
        <v>697.317765817357</v>
      </c>
      <c r="E43" s="18" t="s">
        <v>24</v>
      </c>
      <c r="F43" s="19">
        <f>SUM(F44:F48)</f>
        <v>0</v>
      </c>
      <c r="G43" s="19">
        <f t="shared" ref="G43:R43" si="13">SUM(G44:G48)</f>
        <v>0</v>
      </c>
      <c r="H43" s="19">
        <f t="shared" si="13"/>
        <v>0</v>
      </c>
      <c r="I43" s="31">
        <f t="shared" si="13"/>
        <v>0</v>
      </c>
      <c r="J43" s="39">
        <f t="shared" si="13"/>
        <v>0</v>
      </c>
      <c r="K43" s="39">
        <f t="shared" si="13"/>
        <v>697.317765817357</v>
      </c>
      <c r="L43" s="39">
        <f t="shared" si="13"/>
        <v>0</v>
      </c>
      <c r="M43" s="39">
        <f t="shared" si="13"/>
        <v>0</v>
      </c>
      <c r="N43" s="39">
        <f t="shared" si="13"/>
        <v>0</v>
      </c>
      <c r="O43" s="39">
        <f t="shared" si="13"/>
        <v>0</v>
      </c>
      <c r="P43" s="39">
        <f t="shared" si="13"/>
        <v>0</v>
      </c>
      <c r="Q43" s="39">
        <f t="shared" si="13"/>
        <v>0</v>
      </c>
      <c r="R43" s="39">
        <f t="shared" si="13"/>
        <v>0</v>
      </c>
      <c r="S43" s="39">
        <f t="shared" ref="S43:AF43" si="14">SUM(S44:S48)</f>
        <v>0</v>
      </c>
      <c r="T43" s="39">
        <f t="shared" si="14"/>
        <v>0</v>
      </c>
      <c r="U43" s="39">
        <f t="shared" si="14"/>
        <v>0</v>
      </c>
      <c r="V43" s="39">
        <f t="shared" si="14"/>
        <v>0</v>
      </c>
      <c r="W43" s="39">
        <f t="shared" si="14"/>
        <v>0</v>
      </c>
      <c r="X43" s="39">
        <f t="shared" si="14"/>
        <v>0</v>
      </c>
      <c r="Y43" s="39">
        <f t="shared" si="14"/>
        <v>0</v>
      </c>
      <c r="Z43" s="39">
        <f t="shared" si="14"/>
        <v>0</v>
      </c>
      <c r="AA43" s="39">
        <f t="shared" si="14"/>
        <v>0</v>
      </c>
      <c r="AB43" s="39">
        <f t="shared" si="14"/>
        <v>0</v>
      </c>
      <c r="AC43" s="39">
        <f t="shared" si="14"/>
        <v>0</v>
      </c>
      <c r="AD43" s="39">
        <f t="shared" si="14"/>
        <v>0</v>
      </c>
      <c r="AE43" s="39">
        <f t="shared" si="14"/>
        <v>0</v>
      </c>
      <c r="AF43" s="39">
        <f ca="1" t="shared" si="14"/>
        <v>0</v>
      </c>
    </row>
    <row r="44" s="1" customFormat="1" spans="2:32">
      <c r="B44" s="15"/>
      <c r="C44" s="30" t="s">
        <v>762</v>
      </c>
      <c r="D44" s="22">
        <f ca="1" t="shared" si="8"/>
        <v>697.317765817357</v>
      </c>
      <c r="E44" s="18" t="s">
        <v>24</v>
      </c>
      <c r="F44" s="31"/>
      <c r="G44" s="31"/>
      <c r="H44" s="31"/>
      <c r="I44" s="31"/>
      <c r="J44" s="41">
        <f>IF(I42&gt;0,0,IF(J42&lt;0,0,MIN(J42-SUM(J45:J48),-I42)))</f>
        <v>0</v>
      </c>
      <c r="K44" s="41">
        <f t="shared" ref="K44:O44" si="15">IF(J42&gt;0,0,IF(K42&lt;0,0,MIN(K42-SUM(K45:K48),-J42)))</f>
        <v>697.317765817357</v>
      </c>
      <c r="L44" s="41">
        <f t="shared" si="15"/>
        <v>0</v>
      </c>
      <c r="M44" s="41">
        <f t="shared" si="15"/>
        <v>0</v>
      </c>
      <c r="N44" s="41">
        <f t="shared" si="15"/>
        <v>0</v>
      </c>
      <c r="O44" s="41">
        <f t="shared" si="15"/>
        <v>0</v>
      </c>
      <c r="P44" s="41">
        <f t="shared" ref="P44:AF44" si="16">IF(O42&gt;0,0,IF(P42&lt;0,0,MIN(P42-SUM(P45:P48),-O42)))</f>
        <v>0</v>
      </c>
      <c r="Q44" s="41">
        <f t="shared" si="16"/>
        <v>0</v>
      </c>
      <c r="R44" s="41">
        <f t="shared" si="16"/>
        <v>0</v>
      </c>
      <c r="S44" s="41">
        <f t="shared" si="16"/>
        <v>0</v>
      </c>
      <c r="T44" s="41">
        <f t="shared" si="16"/>
        <v>0</v>
      </c>
      <c r="U44" s="41">
        <f t="shared" si="16"/>
        <v>0</v>
      </c>
      <c r="V44" s="41">
        <f t="shared" si="16"/>
        <v>0</v>
      </c>
      <c r="W44" s="41">
        <f t="shared" si="16"/>
        <v>0</v>
      </c>
      <c r="X44" s="41">
        <f t="shared" si="16"/>
        <v>0</v>
      </c>
      <c r="Y44" s="41">
        <f t="shared" si="16"/>
        <v>0</v>
      </c>
      <c r="Z44" s="41">
        <f t="shared" si="16"/>
        <v>0</v>
      </c>
      <c r="AA44" s="41">
        <f t="shared" si="16"/>
        <v>0</v>
      </c>
      <c r="AB44" s="41">
        <f t="shared" si="16"/>
        <v>0</v>
      </c>
      <c r="AC44" s="41">
        <f t="shared" si="16"/>
        <v>0</v>
      </c>
      <c r="AD44" s="41">
        <f t="shared" si="16"/>
        <v>0</v>
      </c>
      <c r="AE44" s="41">
        <f t="shared" si="16"/>
        <v>0</v>
      </c>
      <c r="AF44" s="41">
        <f ca="1" t="shared" si="16"/>
        <v>0</v>
      </c>
    </row>
    <row r="45" s="1" customFormat="1" spans="2:32">
      <c r="B45" s="15"/>
      <c r="C45" s="30" t="s">
        <v>763</v>
      </c>
      <c r="D45" s="22">
        <f ca="1" t="shared" ref="D45:D54" si="17">SUM(F45:AF45)</f>
        <v>0</v>
      </c>
      <c r="E45" s="18" t="s">
        <v>24</v>
      </c>
      <c r="F45" s="31"/>
      <c r="G45" s="31"/>
      <c r="H45" s="31"/>
      <c r="I45" s="31"/>
      <c r="J45" s="42">
        <f>IF(H42&gt;0,0,IF(J42&lt;0,0,MIN(J42-SUM(J46:J48),-H42-I44)))</f>
        <v>0</v>
      </c>
      <c r="K45" s="41">
        <f>IF(I42&gt;0,0,IF(K42&lt;0,0,MIN(K42-SUM(K46:K48),-I42-J44)))</f>
        <v>0</v>
      </c>
      <c r="L45" s="41">
        <f>IF(J42&gt;0,0,IF(L42&lt;0,0,MIN(L42-SUM(L46:L48),-J42-K44)))</f>
        <v>0</v>
      </c>
      <c r="M45" s="41">
        <f t="shared" ref="M45:P45" si="18">IF(K42&gt;0,0,IF(M42&lt;0,0,MIN(M42-SUM(M46:M48),-K42-L44)))</f>
        <v>0</v>
      </c>
      <c r="N45" s="41">
        <f t="shared" si="18"/>
        <v>0</v>
      </c>
      <c r="O45" s="41">
        <f t="shared" si="18"/>
        <v>0</v>
      </c>
      <c r="P45" s="41">
        <f t="shared" si="18"/>
        <v>0</v>
      </c>
      <c r="Q45" s="41">
        <f t="shared" ref="Q45:AF45" si="19">IF(O42&gt;0,0,IF(Q42&lt;0,0,MIN(Q42-SUM(Q46:Q48),-O42-P44)))</f>
        <v>0</v>
      </c>
      <c r="R45" s="41">
        <f t="shared" si="19"/>
        <v>0</v>
      </c>
      <c r="S45" s="41">
        <f t="shared" si="19"/>
        <v>0</v>
      </c>
      <c r="T45" s="41">
        <f t="shared" si="19"/>
        <v>0</v>
      </c>
      <c r="U45" s="41">
        <f t="shared" si="19"/>
        <v>0</v>
      </c>
      <c r="V45" s="41">
        <f t="shared" si="19"/>
        <v>0</v>
      </c>
      <c r="W45" s="41">
        <f t="shared" si="19"/>
        <v>0</v>
      </c>
      <c r="X45" s="41">
        <f t="shared" si="19"/>
        <v>0</v>
      </c>
      <c r="Y45" s="41">
        <f t="shared" si="19"/>
        <v>0</v>
      </c>
      <c r="Z45" s="41">
        <f t="shared" si="19"/>
        <v>0</v>
      </c>
      <c r="AA45" s="41">
        <f t="shared" si="19"/>
        <v>0</v>
      </c>
      <c r="AB45" s="41">
        <f t="shared" si="19"/>
        <v>0</v>
      </c>
      <c r="AC45" s="41">
        <f t="shared" si="19"/>
        <v>0</v>
      </c>
      <c r="AD45" s="41">
        <f t="shared" si="19"/>
        <v>0</v>
      </c>
      <c r="AE45" s="41">
        <f t="shared" si="19"/>
        <v>0</v>
      </c>
      <c r="AF45" s="41">
        <f ca="1" t="shared" si="19"/>
        <v>0</v>
      </c>
    </row>
    <row r="46" s="1" customFormat="1" spans="2:32">
      <c r="B46" s="15"/>
      <c r="C46" s="30" t="s">
        <v>764</v>
      </c>
      <c r="D46" s="22">
        <f ca="1" t="shared" si="17"/>
        <v>0</v>
      </c>
      <c r="E46" s="18" t="s">
        <v>24</v>
      </c>
      <c r="F46" s="31"/>
      <c r="G46" s="31"/>
      <c r="H46" s="31"/>
      <c r="I46" s="31"/>
      <c r="J46" s="42">
        <f>IF(G42&gt;0,0,IF(J42&lt;0,0,MIN(J42-SUM(J47:J48),-G42-H44-I45)))</f>
        <v>0</v>
      </c>
      <c r="K46" s="42">
        <f>IF(H42&gt;0,0,IF(K42&lt;0,0,MIN(K42-SUM(K47:K48),-H42-I44-J45)))</f>
        <v>0</v>
      </c>
      <c r="L46" s="41">
        <f>IF(I42&gt;0,0,IF(L42&lt;0,0,MIN(L42-SUM(L47:L48),-I42-J44-K45)))</f>
        <v>0</v>
      </c>
      <c r="M46" s="41">
        <f t="shared" ref="M46:Q46" si="20">IF(J42&gt;0,0,IF(M42&lt;0,0,MIN(M42-SUM(M47:M48),-J42-K44-L45)))</f>
        <v>0</v>
      </c>
      <c r="N46" s="41">
        <f t="shared" si="20"/>
        <v>0</v>
      </c>
      <c r="O46" s="41">
        <f t="shared" si="20"/>
        <v>0</v>
      </c>
      <c r="P46" s="41">
        <f t="shared" si="20"/>
        <v>0</v>
      </c>
      <c r="Q46" s="41">
        <f t="shared" si="20"/>
        <v>0</v>
      </c>
      <c r="R46" s="41">
        <f t="shared" ref="R46:AF46" si="21">IF(O42&gt;0,0,IF(R42&lt;0,0,MIN(R42-SUM(R47:R48),-O42-P44-Q45)))</f>
        <v>0</v>
      </c>
      <c r="S46" s="41">
        <f t="shared" si="21"/>
        <v>0</v>
      </c>
      <c r="T46" s="41">
        <f t="shared" si="21"/>
        <v>0</v>
      </c>
      <c r="U46" s="41">
        <f t="shared" si="21"/>
        <v>0</v>
      </c>
      <c r="V46" s="41">
        <f t="shared" si="21"/>
        <v>0</v>
      </c>
      <c r="W46" s="41">
        <f t="shared" si="21"/>
        <v>0</v>
      </c>
      <c r="X46" s="41">
        <f t="shared" si="21"/>
        <v>0</v>
      </c>
      <c r="Y46" s="41">
        <f t="shared" si="21"/>
        <v>0</v>
      </c>
      <c r="Z46" s="41">
        <f t="shared" si="21"/>
        <v>0</v>
      </c>
      <c r="AA46" s="41">
        <f t="shared" si="21"/>
        <v>0</v>
      </c>
      <c r="AB46" s="41">
        <f t="shared" si="21"/>
        <v>0</v>
      </c>
      <c r="AC46" s="41">
        <f t="shared" si="21"/>
        <v>0</v>
      </c>
      <c r="AD46" s="41">
        <f t="shared" si="21"/>
        <v>0</v>
      </c>
      <c r="AE46" s="41">
        <f t="shared" si="21"/>
        <v>0</v>
      </c>
      <c r="AF46" s="41">
        <f ca="1" t="shared" si="21"/>
        <v>0</v>
      </c>
    </row>
    <row r="47" s="1" customFormat="1" spans="2:32">
      <c r="B47" s="15"/>
      <c r="C47" s="30" t="s">
        <v>765</v>
      </c>
      <c r="D47" s="22">
        <f ca="1" t="shared" si="17"/>
        <v>0</v>
      </c>
      <c r="E47" s="18" t="s">
        <v>24</v>
      </c>
      <c r="F47" s="31"/>
      <c r="G47" s="31"/>
      <c r="H47" s="31"/>
      <c r="I47" s="31"/>
      <c r="J47" s="42">
        <f>IF(F42&gt;0,0,IF(J42&lt;0,0,MIN(J42-J48,-F42-G44-H45-I46)))</f>
        <v>0</v>
      </c>
      <c r="K47" s="42">
        <f>IF(G42&gt;0,0,IF(K42&lt;0,0,MIN(K42-K48,-G42-H44-I45-J46)))</f>
        <v>0</v>
      </c>
      <c r="L47" s="42">
        <f>IF(H42&gt;0,0,IF(L42&lt;0,0,MIN(L42-L48,-H42-I44-J45-K46)))</f>
        <v>0</v>
      </c>
      <c r="M47" s="41">
        <f>IF(I42&gt;0,0,IF(M42&lt;0,0,MIN(M42-M48,-I42-J44-K45-L46)))</f>
        <v>0</v>
      </c>
      <c r="N47" s="41">
        <f t="shared" ref="N47:R47" si="22">IF(J42&gt;0,0,IF(N42&lt;0,0,MIN(N42-N48,-J42-K44-L45-M46)))</f>
        <v>0</v>
      </c>
      <c r="O47" s="41">
        <f t="shared" si="22"/>
        <v>0</v>
      </c>
      <c r="P47" s="41">
        <f t="shared" si="22"/>
        <v>0</v>
      </c>
      <c r="Q47" s="41">
        <f t="shared" si="22"/>
        <v>0</v>
      </c>
      <c r="R47" s="41">
        <f t="shared" si="22"/>
        <v>0</v>
      </c>
      <c r="S47" s="41">
        <f t="shared" ref="S47:AF47" si="23">IF(O42&gt;0,0,IF(S42&lt;0,0,MIN(S42-S48,-O42-P44-Q45-R46)))</f>
        <v>0</v>
      </c>
      <c r="T47" s="41">
        <f t="shared" si="23"/>
        <v>0</v>
      </c>
      <c r="U47" s="41">
        <f t="shared" si="23"/>
        <v>0</v>
      </c>
      <c r="V47" s="41">
        <f t="shared" si="23"/>
        <v>0</v>
      </c>
      <c r="W47" s="41">
        <f t="shared" si="23"/>
        <v>0</v>
      </c>
      <c r="X47" s="41">
        <f t="shared" si="23"/>
        <v>0</v>
      </c>
      <c r="Y47" s="41">
        <f t="shared" si="23"/>
        <v>0</v>
      </c>
      <c r="Z47" s="41">
        <f t="shared" si="23"/>
        <v>0</v>
      </c>
      <c r="AA47" s="41">
        <f t="shared" si="23"/>
        <v>0</v>
      </c>
      <c r="AB47" s="41">
        <f t="shared" si="23"/>
        <v>0</v>
      </c>
      <c r="AC47" s="41">
        <f t="shared" si="23"/>
        <v>0</v>
      </c>
      <c r="AD47" s="41">
        <f t="shared" si="23"/>
        <v>0</v>
      </c>
      <c r="AE47" s="41">
        <f t="shared" si="23"/>
        <v>0</v>
      </c>
      <c r="AF47" s="41">
        <f ca="1" t="shared" si="23"/>
        <v>0</v>
      </c>
    </row>
    <row r="48" s="1" customFormat="1" spans="2:32">
      <c r="B48" s="15"/>
      <c r="C48" s="30" t="s">
        <v>766</v>
      </c>
      <c r="D48" s="22">
        <f ca="1" t="shared" si="17"/>
        <v>0</v>
      </c>
      <c r="E48" s="18" t="s">
        <v>24</v>
      </c>
      <c r="F48" s="31"/>
      <c r="G48" s="31"/>
      <c r="H48" s="31"/>
      <c r="I48" s="31"/>
      <c r="J48" s="17"/>
      <c r="K48" s="42">
        <f>IF(F42&gt;0,0,IF(K42&lt;0,0,MIN(K42,-F42-G44-H45-I46-J47)))</f>
        <v>0</v>
      </c>
      <c r="L48" s="42">
        <f>IF(G42&gt;0,0,IF(L42&lt;0,0,MIN(L42,-G42-H44-I45-J46-K47)))</f>
        <v>0</v>
      </c>
      <c r="M48" s="42">
        <f>IF(H42&gt;0,0,IF(M42&lt;0,0,MIN(M42,-H42-I44-J45-K46-L47)))</f>
        <v>0</v>
      </c>
      <c r="N48" s="41">
        <f>IF(I42&gt;0,0,IF(N42&lt;0,0,MIN(N42,-I42-J44-K45-L46-M47)))</f>
        <v>0</v>
      </c>
      <c r="O48" s="41">
        <f t="shared" ref="O48:S48" si="24">IF(J42&gt;0,0,IF(O42&lt;0,0,MIN(O42,-J42-K44-L45-M46-N47)))</f>
        <v>0</v>
      </c>
      <c r="P48" s="41">
        <f t="shared" si="24"/>
        <v>0</v>
      </c>
      <c r="Q48" s="41">
        <f t="shared" si="24"/>
        <v>0</v>
      </c>
      <c r="R48" s="41">
        <f t="shared" si="24"/>
        <v>0</v>
      </c>
      <c r="S48" s="41">
        <f t="shared" si="24"/>
        <v>0</v>
      </c>
      <c r="T48" s="41">
        <f t="shared" ref="T48:AF48" si="25">IF(O42&gt;0,0,IF(T42&lt;0,0,MIN(T42,-O42-P44-Q45-R46-S47)))</f>
        <v>0</v>
      </c>
      <c r="U48" s="41">
        <f t="shared" si="25"/>
        <v>0</v>
      </c>
      <c r="V48" s="41">
        <f t="shared" si="25"/>
        <v>0</v>
      </c>
      <c r="W48" s="41">
        <f t="shared" si="25"/>
        <v>0</v>
      </c>
      <c r="X48" s="41">
        <f t="shared" si="25"/>
        <v>0</v>
      </c>
      <c r="Y48" s="41">
        <f t="shared" si="25"/>
        <v>0</v>
      </c>
      <c r="Z48" s="41">
        <f t="shared" si="25"/>
        <v>0</v>
      </c>
      <c r="AA48" s="41">
        <f t="shared" si="25"/>
        <v>0</v>
      </c>
      <c r="AB48" s="41">
        <f t="shared" si="25"/>
        <v>0</v>
      </c>
      <c r="AC48" s="41">
        <f t="shared" si="25"/>
        <v>0</v>
      </c>
      <c r="AD48" s="41">
        <f t="shared" si="25"/>
        <v>0</v>
      </c>
      <c r="AE48" s="41">
        <f t="shared" si="25"/>
        <v>0</v>
      </c>
      <c r="AF48" s="41">
        <f ca="1" t="shared" si="25"/>
        <v>0</v>
      </c>
    </row>
    <row r="49" s="1" customFormat="1" spans="2:32">
      <c r="B49" s="15"/>
      <c r="C49" s="29" t="s">
        <v>767</v>
      </c>
      <c r="D49" s="17">
        <f ca="1" t="shared" si="17"/>
        <v>132708.559345823</v>
      </c>
      <c r="E49" s="18" t="s">
        <v>24</v>
      </c>
      <c r="F49" s="19">
        <f>IF(F42-F43&gt;0,F42-F43,0)</f>
        <v>0</v>
      </c>
      <c r="G49" s="19">
        <f>IF(G42-G43&gt;0,G42-G43,0)</f>
        <v>0</v>
      </c>
      <c r="H49" s="19">
        <f t="shared" ref="H49:P49" si="26">IF(H42-H43&gt;0,H42-H43,0)</f>
        <v>0</v>
      </c>
      <c r="I49" s="19">
        <f t="shared" si="26"/>
        <v>0</v>
      </c>
      <c r="J49" s="39">
        <f t="shared" si="26"/>
        <v>0</v>
      </c>
      <c r="K49" s="39">
        <f t="shared" si="26"/>
        <v>3568.77227752342</v>
      </c>
      <c r="L49" s="39">
        <f t="shared" si="26"/>
        <v>7568.9345127269</v>
      </c>
      <c r="M49" s="39">
        <f t="shared" si="26"/>
        <v>7110.55476686885</v>
      </c>
      <c r="N49" s="39">
        <f t="shared" si="26"/>
        <v>6996.56889076266</v>
      </c>
      <c r="O49" s="39">
        <f t="shared" si="26"/>
        <v>6882.58301465646</v>
      </c>
      <c r="P49" s="39">
        <f t="shared" si="26"/>
        <v>6768.59448368301</v>
      </c>
      <c r="Q49" s="39">
        <f t="shared" ref="Q49:AF49" si="27">IF(Q42-Q43&gt;0,Q42-Q43,0)</f>
        <v>6654.60860757682</v>
      </c>
      <c r="R49" s="39">
        <f t="shared" si="27"/>
        <v>6083.06683847252</v>
      </c>
      <c r="S49" s="39">
        <f t="shared" si="27"/>
        <v>5957.98746043103</v>
      </c>
      <c r="T49" s="39">
        <f t="shared" si="27"/>
        <v>5846.07458479209</v>
      </c>
      <c r="U49" s="39">
        <f t="shared" si="27"/>
        <v>5734.15909570182</v>
      </c>
      <c r="V49" s="39">
        <f t="shared" si="27"/>
        <v>5621.50211926288</v>
      </c>
      <c r="W49" s="39">
        <f t="shared" si="27"/>
        <v>5330.2643056548</v>
      </c>
      <c r="X49" s="39">
        <f t="shared" si="27"/>
        <v>6261.50689695408</v>
      </c>
      <c r="Y49" s="39">
        <f t="shared" si="27"/>
        <v>7197.70361669371</v>
      </c>
      <c r="Z49" s="39">
        <f t="shared" si="27"/>
        <v>4552.22880612379</v>
      </c>
      <c r="AA49" s="39">
        <f t="shared" si="27"/>
        <v>3018.36900066539</v>
      </c>
      <c r="AB49" s="39">
        <f t="shared" si="27"/>
        <v>3786.39744648461</v>
      </c>
      <c r="AC49" s="39">
        <f t="shared" si="27"/>
        <v>8887.29114897193</v>
      </c>
      <c r="AD49" s="39">
        <f t="shared" si="27"/>
        <v>9487.29721963202</v>
      </c>
      <c r="AE49" s="39">
        <f t="shared" si="27"/>
        <v>9394.09425218424</v>
      </c>
      <c r="AF49" s="39">
        <f ca="1" t="shared" si="27"/>
        <v>0</v>
      </c>
    </row>
    <row r="50" s="229" customFormat="1" spans="2:32">
      <c r="B50" s="267"/>
      <c r="C50" s="36" t="s">
        <v>768</v>
      </c>
      <c r="D50" s="23">
        <f ca="1" t="shared" si="17"/>
        <v>27786.7501718072</v>
      </c>
      <c r="E50" s="245" t="s">
        <v>24</v>
      </c>
      <c r="F50" s="23"/>
      <c r="G50" s="23"/>
      <c r="H50" s="23"/>
      <c r="I50" s="31"/>
      <c r="J50" s="23">
        <f>J49*参数输入表!$I657</f>
        <v>0</v>
      </c>
      <c r="K50" s="23">
        <f>K49*参数输入表!$I658</f>
        <v>267.657920814256</v>
      </c>
      <c r="L50" s="23">
        <f>L49*参数输入表!$I659</f>
        <v>567.670088454517</v>
      </c>
      <c r="M50" s="23">
        <f>M49*参数输入表!$I660</f>
        <v>1066.58321503033</v>
      </c>
      <c r="N50" s="23">
        <f>N49*参数输入表!$I661</f>
        <v>1049.4853336144</v>
      </c>
      <c r="O50" s="23">
        <f>O49*参数输入表!$I662</f>
        <v>1032.38745219847</v>
      </c>
      <c r="P50" s="23">
        <f>P49*参数输入表!$I663</f>
        <v>1015.28917255245</v>
      </c>
      <c r="Q50" s="23">
        <f>Q49*参数输入表!$I664</f>
        <v>998.191291136522</v>
      </c>
      <c r="R50" s="23">
        <f>R49*参数输入表!$I665</f>
        <v>1520.76670961813</v>
      </c>
      <c r="S50" s="23">
        <f>S49*参数输入表!$I666</f>
        <v>1489.49686510776</v>
      </c>
      <c r="T50" s="23">
        <f>T49*参数输入表!$I667</f>
        <v>1461.51864619802</v>
      </c>
      <c r="U50" s="23">
        <f>U49*参数输入表!$I668</f>
        <v>1433.53977392546</v>
      </c>
      <c r="V50" s="23">
        <f>V49*参数输入表!$I669</f>
        <v>1405.37552981572</v>
      </c>
      <c r="W50" s="23">
        <f>W49*参数输入表!$I670</f>
        <v>1332.5660764137</v>
      </c>
      <c r="X50" s="23">
        <f>X49*参数输入表!$I671</f>
        <v>1565.37672423852</v>
      </c>
      <c r="Y50" s="23">
        <f>Y49*参数输入表!$I672</f>
        <v>1799.42590417343</v>
      </c>
      <c r="Z50" s="23">
        <f>Z49*参数输入表!$I673</f>
        <v>1138.05720153095</v>
      </c>
      <c r="AA50" s="23">
        <f>AA49*参数输入表!$I674</f>
        <v>754.592250166347</v>
      </c>
      <c r="AB50" s="23">
        <f>AB49*参数输入表!$I675</f>
        <v>946.599361621153</v>
      </c>
      <c r="AC50" s="23">
        <f>AC49*参数输入表!$I676</f>
        <v>2221.82278724298</v>
      </c>
      <c r="AD50" s="23">
        <f>AD49*参数输入表!$I677</f>
        <v>2371.82430490801</v>
      </c>
      <c r="AE50" s="23">
        <f>AE49*参数输入表!$I678</f>
        <v>2348.52356304606</v>
      </c>
      <c r="AF50" s="23">
        <f ca="1">AF49*参数输入表!$I679</f>
        <v>0</v>
      </c>
    </row>
    <row r="51" s="1" customFormat="1" spans="2:32">
      <c r="B51" s="15" t="s">
        <v>769</v>
      </c>
      <c r="C51" s="16" t="s">
        <v>770</v>
      </c>
      <c r="D51" s="17">
        <f ca="1" t="shared" si="17"/>
        <v>103943.531654598</v>
      </c>
      <c r="E51" s="18" t="s">
        <v>24</v>
      </c>
      <c r="F51" s="31">
        <f>F42-F50</f>
        <v>0</v>
      </c>
      <c r="G51" s="31">
        <f t="shared" ref="G51:Q51" si="28">G42-G50</f>
        <v>0</v>
      </c>
      <c r="H51" s="31">
        <f t="shared" si="28"/>
        <v>0</v>
      </c>
      <c r="I51" s="19">
        <f t="shared" si="28"/>
        <v>0</v>
      </c>
      <c r="J51" s="17">
        <f t="shared" si="28"/>
        <v>-697.317765817357</v>
      </c>
      <c r="K51" s="17">
        <f t="shared" si="28"/>
        <v>3998.43212252652</v>
      </c>
      <c r="L51" s="17">
        <f t="shared" si="28"/>
        <v>7001.26442427238</v>
      </c>
      <c r="M51" s="17">
        <f t="shared" si="28"/>
        <v>6043.97155183853</v>
      </c>
      <c r="N51" s="17">
        <f t="shared" si="28"/>
        <v>5947.08355714826</v>
      </c>
      <c r="O51" s="17">
        <f t="shared" si="28"/>
        <v>5850.19556245799</v>
      </c>
      <c r="P51" s="17">
        <f t="shared" si="28"/>
        <v>5753.30531113056</v>
      </c>
      <c r="Q51" s="17">
        <f t="shared" si="28"/>
        <v>5656.41731644029</v>
      </c>
      <c r="R51" s="17">
        <f t="shared" ref="R51:AF51" si="29">R42-R50</f>
        <v>4562.30012885439</v>
      </c>
      <c r="S51" s="17">
        <f t="shared" si="29"/>
        <v>4468.49059532327</v>
      </c>
      <c r="T51" s="17">
        <f t="shared" si="29"/>
        <v>4384.55593859406</v>
      </c>
      <c r="U51" s="17">
        <f t="shared" si="29"/>
        <v>4300.61932177637</v>
      </c>
      <c r="V51" s="17">
        <f t="shared" si="29"/>
        <v>4216.12658944716</v>
      </c>
      <c r="W51" s="17">
        <f t="shared" si="29"/>
        <v>3997.6982292411</v>
      </c>
      <c r="X51" s="17">
        <f t="shared" si="29"/>
        <v>4696.13017271556</v>
      </c>
      <c r="Y51" s="17">
        <f t="shared" si="29"/>
        <v>5398.27771252028</v>
      </c>
      <c r="Z51" s="17">
        <f t="shared" si="29"/>
        <v>3414.17160459284</v>
      </c>
      <c r="AA51" s="17">
        <f t="shared" si="29"/>
        <v>2263.77675049904</v>
      </c>
      <c r="AB51" s="17">
        <f t="shared" si="29"/>
        <v>2839.79808486346</v>
      </c>
      <c r="AC51" s="17">
        <f t="shared" si="29"/>
        <v>6665.46836172895</v>
      </c>
      <c r="AD51" s="17">
        <f t="shared" si="29"/>
        <v>7115.47291472402</v>
      </c>
      <c r="AE51" s="17">
        <f t="shared" si="29"/>
        <v>7045.57068913818</v>
      </c>
      <c r="AF51" s="17">
        <f ca="1" t="shared" si="29"/>
        <v>-978.277519418345</v>
      </c>
    </row>
    <row r="52" s="1" customFormat="1" spans="2:32">
      <c r="B52" s="15"/>
      <c r="C52" s="268" t="s">
        <v>771</v>
      </c>
      <c r="D52" s="22">
        <f t="shared" si="17"/>
        <v>0</v>
      </c>
      <c r="E52" s="18" t="s">
        <v>24</v>
      </c>
      <c r="F52" s="22">
        <v>0</v>
      </c>
      <c r="G52" s="34">
        <f>F61</f>
        <v>0</v>
      </c>
      <c r="H52" s="34">
        <f t="shared" ref="H52:Q52" si="30">G61</f>
        <v>0</v>
      </c>
      <c r="I52" s="34">
        <f t="shared" si="30"/>
        <v>0</v>
      </c>
      <c r="J52" s="34">
        <f t="shared" si="30"/>
        <v>0</v>
      </c>
      <c r="K52" s="34">
        <f t="shared" si="30"/>
        <v>0</v>
      </c>
      <c r="L52" s="34">
        <f t="shared" si="30"/>
        <v>0</v>
      </c>
      <c r="M52" s="34">
        <f t="shared" si="30"/>
        <v>0</v>
      </c>
      <c r="N52" s="34">
        <f t="shared" si="30"/>
        <v>0</v>
      </c>
      <c r="O52" s="34">
        <f t="shared" si="30"/>
        <v>0</v>
      </c>
      <c r="P52" s="34">
        <f t="shared" si="30"/>
        <v>0</v>
      </c>
      <c r="Q52" s="34">
        <f t="shared" si="30"/>
        <v>0</v>
      </c>
      <c r="R52" s="34">
        <f t="shared" ref="R52:AF52" si="31">Q61</f>
        <v>0</v>
      </c>
      <c r="S52" s="34">
        <f t="shared" si="31"/>
        <v>0</v>
      </c>
      <c r="T52" s="34">
        <f t="shared" si="31"/>
        <v>0</v>
      </c>
      <c r="U52" s="34">
        <f t="shared" si="31"/>
        <v>0</v>
      </c>
      <c r="V52" s="34">
        <f t="shared" si="31"/>
        <v>0</v>
      </c>
      <c r="W52" s="34">
        <f t="shared" si="31"/>
        <v>0</v>
      </c>
      <c r="X52" s="34">
        <f t="shared" si="31"/>
        <v>0</v>
      </c>
      <c r="Y52" s="34">
        <f t="shared" si="31"/>
        <v>0</v>
      </c>
      <c r="Z52" s="34">
        <f t="shared" si="31"/>
        <v>0</v>
      </c>
      <c r="AA52" s="34">
        <f t="shared" si="31"/>
        <v>0</v>
      </c>
      <c r="AB52" s="34">
        <f t="shared" si="31"/>
        <v>0</v>
      </c>
      <c r="AC52" s="34">
        <f t="shared" si="31"/>
        <v>0</v>
      </c>
      <c r="AD52" s="34">
        <f t="shared" si="31"/>
        <v>0</v>
      </c>
      <c r="AE52" s="34">
        <f t="shared" si="31"/>
        <v>0</v>
      </c>
      <c r="AF52" s="34">
        <f t="shared" si="31"/>
        <v>0</v>
      </c>
    </row>
    <row r="53" s="1" customFormat="1" spans="2:32">
      <c r="B53" s="15"/>
      <c r="C53" s="268" t="s">
        <v>772</v>
      </c>
      <c r="D53" s="22">
        <f ca="1" t="shared" si="17"/>
        <v>103943.531654598</v>
      </c>
      <c r="E53" s="18" t="s">
        <v>24</v>
      </c>
      <c r="F53" s="34">
        <f>F51+F52</f>
        <v>0</v>
      </c>
      <c r="G53" s="34">
        <f>G51+G52</f>
        <v>0</v>
      </c>
      <c r="H53" s="34">
        <f t="shared" ref="H53:O53" si="32">H51+H52</f>
        <v>0</v>
      </c>
      <c r="I53" s="34">
        <f t="shared" si="32"/>
        <v>0</v>
      </c>
      <c r="J53" s="34">
        <f t="shared" si="32"/>
        <v>-697.317765817357</v>
      </c>
      <c r="K53" s="34">
        <f t="shared" si="32"/>
        <v>3998.43212252652</v>
      </c>
      <c r="L53" s="34">
        <f t="shared" si="32"/>
        <v>7001.26442427238</v>
      </c>
      <c r="M53" s="34">
        <f t="shared" si="32"/>
        <v>6043.97155183853</v>
      </c>
      <c r="N53" s="34">
        <f t="shared" si="32"/>
        <v>5947.08355714826</v>
      </c>
      <c r="O53" s="34">
        <f t="shared" si="32"/>
        <v>5850.19556245799</v>
      </c>
      <c r="P53" s="34">
        <f t="shared" ref="P53:AF53" si="33">P51+P52</f>
        <v>5753.30531113056</v>
      </c>
      <c r="Q53" s="34">
        <f t="shared" si="33"/>
        <v>5656.41731644029</v>
      </c>
      <c r="R53" s="34">
        <f t="shared" si="33"/>
        <v>4562.30012885439</v>
      </c>
      <c r="S53" s="34">
        <f t="shared" si="33"/>
        <v>4468.49059532327</v>
      </c>
      <c r="T53" s="34">
        <f t="shared" si="33"/>
        <v>4384.55593859406</v>
      </c>
      <c r="U53" s="34">
        <f t="shared" si="33"/>
        <v>4300.61932177637</v>
      </c>
      <c r="V53" s="34">
        <f t="shared" si="33"/>
        <v>4216.12658944716</v>
      </c>
      <c r="W53" s="34">
        <f t="shared" si="33"/>
        <v>3997.6982292411</v>
      </c>
      <c r="X53" s="34">
        <f t="shared" si="33"/>
        <v>4696.13017271556</v>
      </c>
      <c r="Y53" s="34">
        <f t="shared" si="33"/>
        <v>5398.27771252028</v>
      </c>
      <c r="Z53" s="34">
        <f t="shared" si="33"/>
        <v>3414.17160459284</v>
      </c>
      <c r="AA53" s="34">
        <f t="shared" si="33"/>
        <v>2263.77675049904</v>
      </c>
      <c r="AB53" s="34">
        <f t="shared" si="33"/>
        <v>2839.79808486346</v>
      </c>
      <c r="AC53" s="34">
        <f t="shared" si="33"/>
        <v>6665.46836172895</v>
      </c>
      <c r="AD53" s="34">
        <f t="shared" si="33"/>
        <v>7115.47291472402</v>
      </c>
      <c r="AE53" s="34">
        <f t="shared" si="33"/>
        <v>7045.57068913818</v>
      </c>
      <c r="AF53" s="34">
        <f ca="1" t="shared" si="33"/>
        <v>-978.277519418345</v>
      </c>
    </row>
    <row r="54" s="1" customFormat="1" spans="2:32">
      <c r="B54" s="15"/>
      <c r="C54" s="268" t="s">
        <v>773</v>
      </c>
      <c r="D54" s="22">
        <f ca="1" t="shared" si="17"/>
        <v>5000</v>
      </c>
      <c r="E54" s="18" t="s">
        <v>24</v>
      </c>
      <c r="F54" s="34">
        <v>0</v>
      </c>
      <c r="G54" s="269">
        <f>IF(F56&gt;=参数输入表!$I$226,0,IF(G53&lt;0,0,IF(G53*参数输入表!$I$227&gt;=G55,G55,G53*参数输入表!$I$227)))</f>
        <v>0</v>
      </c>
      <c r="H54" s="269">
        <f>IF(G56&gt;=参数输入表!$I$226,0,IF(H53&lt;0,0,IF(H53*参数输入表!$I$227&gt;=H55,H55,H53*参数输入表!$I$227)))</f>
        <v>0</v>
      </c>
      <c r="I54" s="269">
        <f>IF(H56&gt;=参数输入表!$I$226,0,IF(I53&lt;0,0,IF(I53*参数输入表!$I$227&gt;=I55,I55,I53*参数输入表!$I$227)))</f>
        <v>0</v>
      </c>
      <c r="J54" s="269">
        <f>IF(I56&gt;=参数输入表!$I$226,0,IF(J53&lt;0,0,IF(J53*参数输入表!$I$227&gt;=J55,J55,J53*参数输入表!$I$227)))</f>
        <v>0</v>
      </c>
      <c r="K54" s="269">
        <f>IF(J56&gt;=参数输入表!$I$226,0,IF(K53&lt;0,0,IF(K53*参数输入表!$I$227&gt;=K55,K55,K53*参数输入表!$I$227)))</f>
        <v>399.843212252652</v>
      </c>
      <c r="L54" s="269">
        <f>IF(K56&gt;=参数输入表!$I$226,0,IF(L53&lt;0,0,IF(L53*参数输入表!$I$227&gt;=L55,L55,L53*参数输入表!$I$227)))</f>
        <v>700.126442427238</v>
      </c>
      <c r="M54" s="269">
        <f>IF(L56&gt;=参数输入表!$I$226,0,IF(M53&lt;0,0,IF(M53*参数输入表!$I$227&gt;=M55,M55,M53*参数输入表!$I$227)))</f>
        <v>604.397155183853</v>
      </c>
      <c r="N54" s="269">
        <f>IF(M56&gt;=参数输入表!$I$226,0,IF(N53&lt;0,0,IF(N53*参数输入表!$I$227&gt;=N55,N55,N53*参数输入表!$I$227)))</f>
        <v>594.708355714826</v>
      </c>
      <c r="O54" s="269">
        <f>IF(N56&gt;=参数输入表!$I$226,0,IF(O53&lt;0,0,IF(O53*参数输入表!$I$227&gt;=O55,O55,O53*参数输入表!$I$227)))</f>
        <v>585.019556245799</v>
      </c>
      <c r="P54" s="269">
        <f>IF(O56&gt;=参数输入表!$I$226,0,IF(P53&lt;0,0,IF(P53*参数输入表!$I$227&gt;=P55,P55,P53*参数输入表!$I$227)))</f>
        <v>575.330531113056</v>
      </c>
      <c r="Q54" s="269">
        <f>IF(P56&gt;=参数输入表!$I$226,0,IF(Q53&lt;0,0,IF(Q53*参数输入表!$I$227&gt;=Q55,Q55,Q53*参数输入表!$I$227)))</f>
        <v>565.641731644029</v>
      </c>
      <c r="R54" s="269">
        <f>IF(Q56&gt;=参数输入表!$I$226,0,IF(R53&lt;0,0,IF(R53*参数输入表!$I$227&gt;=R55,R55,R53*参数输入表!$I$227)))</f>
        <v>456.230012885439</v>
      </c>
      <c r="S54" s="269">
        <f>IF(R56&gt;=参数输入表!$I$226,0,IF(S53&lt;0,0,IF(S53*参数输入表!$I$227&gt;=S55,S55,S53*参数输入表!$I$227)))</f>
        <v>446.849059532327</v>
      </c>
      <c r="T54" s="269">
        <f>IF(S56&gt;=参数输入表!$I$226,0,IF(T53&lt;0,0,IF(T53*参数输入表!$I$227&gt;=T55,T55,T53*参数输入表!$I$227)))</f>
        <v>71.8539430007804</v>
      </c>
      <c r="U54" s="269">
        <f>IF(T56&gt;=参数输入表!$I$226,0,IF(U53&lt;0,0,IF(U53*参数输入表!$I$227&gt;=U55,U55,U53*参数输入表!$I$227)))</f>
        <v>0</v>
      </c>
      <c r="V54" s="269">
        <f>IF(U56&gt;=参数输入表!$I$226,0,IF(V53&lt;0,0,IF(V53*参数输入表!$I$227&gt;=V55,V55,V53*参数输入表!$I$227)))</f>
        <v>0</v>
      </c>
      <c r="W54" s="269">
        <f>IF(V56&gt;=参数输入表!$I$226,0,IF(W53&lt;0,0,IF(W53*参数输入表!$I$227&gt;=W55,W55,W53*参数输入表!$I$227)))</f>
        <v>0</v>
      </c>
      <c r="X54" s="269">
        <f>IF(W56&gt;=参数输入表!$I$226,0,IF(X53&lt;0,0,IF(X53*参数输入表!$I$227&gt;=X55,X55,X53*参数输入表!$I$227)))</f>
        <v>0</v>
      </c>
      <c r="Y54" s="269">
        <f>IF(X56&gt;=参数输入表!$I$226,0,IF(Y53&lt;0,0,IF(Y53*参数输入表!$I$227&gt;=Y55,Y55,Y53*参数输入表!$I$227)))</f>
        <v>0</v>
      </c>
      <c r="Z54" s="269">
        <f>IF(Y56&gt;=参数输入表!$I$226,0,IF(Z53&lt;0,0,IF(Z53*参数输入表!$I$227&gt;=Z55,Z55,Z53*参数输入表!$I$227)))</f>
        <v>0</v>
      </c>
      <c r="AA54" s="269">
        <f>IF(Z56&gt;=参数输入表!$I$226,0,IF(AA53&lt;0,0,IF(AA53*参数输入表!$I$227&gt;=AA55,AA55,AA53*参数输入表!$I$227)))</f>
        <v>0</v>
      </c>
      <c r="AB54" s="269">
        <f>IF(AA56&gt;=参数输入表!$I$226,0,IF(AB53&lt;0,0,IF(AB53*参数输入表!$I$227&gt;=AB55,AB55,AB53*参数输入表!$I$227)))</f>
        <v>0</v>
      </c>
      <c r="AC54" s="269">
        <f>IF(AB56&gt;=参数输入表!$I$226,0,IF(AC53&lt;0,0,IF(AC53*参数输入表!$I$227&gt;=AC55,AC55,AC53*参数输入表!$I$227)))</f>
        <v>0</v>
      </c>
      <c r="AD54" s="269">
        <f>IF(AC56&gt;=参数输入表!$I$226,0,IF(AD53&lt;0,0,IF(AD53*参数输入表!$I$227&gt;=AD55,AD55,AD53*参数输入表!$I$227)))</f>
        <v>0</v>
      </c>
      <c r="AE54" s="269">
        <f>IF(AD56&gt;=参数输入表!$I$226,0,IF(AE53&lt;0,0,IF(AE53*参数输入表!$I$227&gt;=AE55,AE55,AE53*参数输入表!$I$227)))</f>
        <v>0</v>
      </c>
      <c r="AF54" s="269">
        <f ca="1">IF(AE56&gt;=参数输入表!$I$226,0,IF(AF53&lt;0,0,IF(AF53*参数输入表!$I$227&gt;=AF55,AF55,AF53*参数输入表!$I$227)))</f>
        <v>0</v>
      </c>
    </row>
    <row r="55" s="1" customFormat="1" spans="2:32">
      <c r="B55" s="15"/>
      <c r="C55" s="30" t="s">
        <v>774</v>
      </c>
      <c r="D55" s="22"/>
      <c r="E55" s="18" t="s">
        <v>24</v>
      </c>
      <c r="F55" s="22">
        <f>参数输入表!$I$226</f>
        <v>5000</v>
      </c>
      <c r="G55" s="34">
        <f>参数输入表!$I$226-F56</f>
        <v>5000</v>
      </c>
      <c r="H55" s="34">
        <f>参数输入表!$I$226-G56</f>
        <v>5000</v>
      </c>
      <c r="I55" s="34">
        <f>参数输入表!$I$226-H56</f>
        <v>5000</v>
      </c>
      <c r="J55" s="34">
        <f>参数输入表!$I$226-I56</f>
        <v>5000</v>
      </c>
      <c r="K55" s="34">
        <f>参数输入表!$I$226-J56</f>
        <v>5000</v>
      </c>
      <c r="L55" s="34">
        <f>参数输入表!$I$226-K56</f>
        <v>4600.15678774735</v>
      </c>
      <c r="M55" s="34">
        <f>参数输入表!$I$226-L56</f>
        <v>3900.03034532011</v>
      </c>
      <c r="N55" s="34">
        <f>参数输入表!$I$226-M56</f>
        <v>3295.63319013626</v>
      </c>
      <c r="O55" s="34">
        <f>参数输入表!$I$226-N56</f>
        <v>2700.92483442143</v>
      </c>
      <c r="P55" s="34">
        <f>参数输入表!$I$226-O56</f>
        <v>2115.90527817563</v>
      </c>
      <c r="Q55" s="34">
        <f>参数输入表!$I$226-P56</f>
        <v>1540.57474706258</v>
      </c>
      <c r="R55" s="34">
        <f>参数输入表!$I$226-Q56</f>
        <v>974.933015418547</v>
      </c>
      <c r="S55" s="34">
        <f>参数输入表!$I$226-R56</f>
        <v>518.703002533108</v>
      </c>
      <c r="T55" s="34">
        <f>参数输入表!$I$226-S56</f>
        <v>71.8539430007804</v>
      </c>
      <c r="U55" s="34">
        <f>参数输入表!$I$226-T56</f>
        <v>0</v>
      </c>
      <c r="V55" s="34">
        <f>参数输入表!$I$226-U56</f>
        <v>0</v>
      </c>
      <c r="W55" s="34">
        <f>参数输入表!$I$226-V56</f>
        <v>0</v>
      </c>
      <c r="X55" s="34">
        <f>参数输入表!$I$226-W56</f>
        <v>0</v>
      </c>
      <c r="Y55" s="34">
        <f>参数输入表!$I$226-X56</f>
        <v>0</v>
      </c>
      <c r="Z55" s="34">
        <f>参数输入表!$I$226-Y56</f>
        <v>0</v>
      </c>
      <c r="AA55" s="34">
        <f>参数输入表!$I$226-Z56</f>
        <v>0</v>
      </c>
      <c r="AB55" s="34">
        <f>参数输入表!$I$226-AA56</f>
        <v>0</v>
      </c>
      <c r="AC55" s="34">
        <f>参数输入表!$I$226-AB56</f>
        <v>0</v>
      </c>
      <c r="AD55" s="34">
        <f>参数输入表!$I$226-AC56</f>
        <v>0</v>
      </c>
      <c r="AE55" s="34">
        <f>参数输入表!$I$226-AD56</f>
        <v>0</v>
      </c>
      <c r="AF55" s="34">
        <f>参数输入表!$I$226-AE56</f>
        <v>0</v>
      </c>
    </row>
    <row r="56" s="1" customFormat="1" spans="2:32">
      <c r="B56" s="15"/>
      <c r="C56" s="30" t="s">
        <v>775</v>
      </c>
      <c r="D56" s="22"/>
      <c r="E56" s="18" t="s">
        <v>24</v>
      </c>
      <c r="F56" s="22">
        <f>F54</f>
        <v>0</v>
      </c>
      <c r="G56" s="34">
        <f>G54+F56</f>
        <v>0</v>
      </c>
      <c r="H56" s="34">
        <f t="shared" ref="H56:O56" si="34">H54+G56</f>
        <v>0</v>
      </c>
      <c r="I56" s="34">
        <f t="shared" si="34"/>
        <v>0</v>
      </c>
      <c r="J56" s="34">
        <f t="shared" si="34"/>
        <v>0</v>
      </c>
      <c r="K56" s="34">
        <f t="shared" si="34"/>
        <v>399.843212252652</v>
      </c>
      <c r="L56" s="34">
        <f t="shared" si="34"/>
        <v>1099.96965467989</v>
      </c>
      <c r="M56" s="34">
        <f t="shared" si="34"/>
        <v>1704.36680986374</v>
      </c>
      <c r="N56" s="34">
        <f t="shared" si="34"/>
        <v>2299.07516557857</v>
      </c>
      <c r="O56" s="34">
        <f t="shared" si="34"/>
        <v>2884.09472182437</v>
      </c>
      <c r="P56" s="34">
        <f t="shared" ref="P56:AF56" si="35">P54+O56</f>
        <v>3459.42525293742</v>
      </c>
      <c r="Q56" s="34">
        <f t="shared" si="35"/>
        <v>4025.06698458145</v>
      </c>
      <c r="R56" s="34">
        <f t="shared" si="35"/>
        <v>4481.29699746689</v>
      </c>
      <c r="S56" s="34">
        <f t="shared" si="35"/>
        <v>4928.14605699922</v>
      </c>
      <c r="T56" s="34">
        <f t="shared" si="35"/>
        <v>5000</v>
      </c>
      <c r="U56" s="34">
        <f t="shared" si="35"/>
        <v>5000</v>
      </c>
      <c r="V56" s="34">
        <f t="shared" si="35"/>
        <v>5000</v>
      </c>
      <c r="W56" s="34">
        <f t="shared" si="35"/>
        <v>5000</v>
      </c>
      <c r="X56" s="34">
        <f t="shared" si="35"/>
        <v>5000</v>
      </c>
      <c r="Y56" s="34">
        <f t="shared" si="35"/>
        <v>5000</v>
      </c>
      <c r="Z56" s="34">
        <f t="shared" si="35"/>
        <v>5000</v>
      </c>
      <c r="AA56" s="34">
        <f t="shared" si="35"/>
        <v>5000</v>
      </c>
      <c r="AB56" s="34">
        <f t="shared" si="35"/>
        <v>5000</v>
      </c>
      <c r="AC56" s="34">
        <f t="shared" si="35"/>
        <v>5000</v>
      </c>
      <c r="AD56" s="34">
        <f t="shared" si="35"/>
        <v>5000</v>
      </c>
      <c r="AE56" s="34">
        <f t="shared" si="35"/>
        <v>5000</v>
      </c>
      <c r="AF56" s="34">
        <f ca="1" t="shared" si="35"/>
        <v>5000</v>
      </c>
    </row>
    <row r="57" s="1" customFormat="1" spans="2:32">
      <c r="B57" s="15"/>
      <c r="C57" s="268" t="s">
        <v>776</v>
      </c>
      <c r="D57" s="22">
        <f ca="1">SUM(F57:AF57)</f>
        <v>98943.5316545975</v>
      </c>
      <c r="E57" s="18" t="s">
        <v>24</v>
      </c>
      <c r="F57" s="34">
        <f>F53-F54</f>
        <v>0</v>
      </c>
      <c r="G57" s="34">
        <f>G53-G54</f>
        <v>0</v>
      </c>
      <c r="H57" s="34">
        <f t="shared" ref="H57:O57" si="36">H53-H54</f>
        <v>0</v>
      </c>
      <c r="I57" s="34">
        <f t="shared" si="36"/>
        <v>0</v>
      </c>
      <c r="J57" s="34">
        <f t="shared" si="36"/>
        <v>-697.317765817357</v>
      </c>
      <c r="K57" s="34">
        <f t="shared" si="36"/>
        <v>3598.58891027386</v>
      </c>
      <c r="L57" s="34">
        <f t="shared" si="36"/>
        <v>6301.13798184514</v>
      </c>
      <c r="M57" s="34">
        <f t="shared" si="36"/>
        <v>5439.57439665467</v>
      </c>
      <c r="N57" s="34">
        <f t="shared" si="36"/>
        <v>5352.37520143343</v>
      </c>
      <c r="O57" s="34">
        <f t="shared" si="36"/>
        <v>5265.17600621219</v>
      </c>
      <c r="P57" s="34">
        <f t="shared" ref="P57:AF57" si="37">P53-P54</f>
        <v>5177.9747800175</v>
      </c>
      <c r="Q57" s="34">
        <f t="shared" si="37"/>
        <v>5090.77558479626</v>
      </c>
      <c r="R57" s="34">
        <f t="shared" si="37"/>
        <v>4106.07011596895</v>
      </c>
      <c r="S57" s="34">
        <f t="shared" si="37"/>
        <v>4021.64153579094</v>
      </c>
      <c r="T57" s="34">
        <f t="shared" si="37"/>
        <v>4312.70199559328</v>
      </c>
      <c r="U57" s="34">
        <f t="shared" si="37"/>
        <v>4300.61932177637</v>
      </c>
      <c r="V57" s="34">
        <f t="shared" si="37"/>
        <v>4216.12658944716</v>
      </c>
      <c r="W57" s="34">
        <f t="shared" si="37"/>
        <v>3997.6982292411</v>
      </c>
      <c r="X57" s="34">
        <f t="shared" si="37"/>
        <v>4696.13017271556</v>
      </c>
      <c r="Y57" s="34">
        <f t="shared" si="37"/>
        <v>5398.27771252028</v>
      </c>
      <c r="Z57" s="34">
        <f t="shared" si="37"/>
        <v>3414.17160459284</v>
      </c>
      <c r="AA57" s="34">
        <f t="shared" si="37"/>
        <v>2263.77675049904</v>
      </c>
      <c r="AB57" s="34">
        <f t="shared" si="37"/>
        <v>2839.79808486346</v>
      </c>
      <c r="AC57" s="34">
        <f t="shared" si="37"/>
        <v>6665.46836172895</v>
      </c>
      <c r="AD57" s="34">
        <f t="shared" si="37"/>
        <v>7115.47291472402</v>
      </c>
      <c r="AE57" s="34">
        <f t="shared" si="37"/>
        <v>7045.57068913818</v>
      </c>
      <c r="AF57" s="34">
        <f ca="1" t="shared" si="37"/>
        <v>-978.277519418345</v>
      </c>
    </row>
    <row r="58" s="1" customFormat="1" spans="2:32">
      <c r="B58" s="15"/>
      <c r="C58" s="268" t="s">
        <v>777</v>
      </c>
      <c r="D58" s="22">
        <f ca="1">SUM(F58:AF58)</f>
        <v>0</v>
      </c>
      <c r="E58" s="18" t="s">
        <v>24</v>
      </c>
      <c r="F58" s="34">
        <f>F57*参数输入表!$I$228</f>
        <v>0</v>
      </c>
      <c r="G58" s="34">
        <f>G57*参数输入表!$I$228</f>
        <v>0</v>
      </c>
      <c r="H58" s="34">
        <f>H57*参数输入表!$I$228</f>
        <v>0</v>
      </c>
      <c r="I58" s="34">
        <f>I57*参数输入表!$I$228</f>
        <v>0</v>
      </c>
      <c r="J58" s="34">
        <f>J57*参数输入表!$I$228</f>
        <v>0</v>
      </c>
      <c r="K58" s="34">
        <f>K57*参数输入表!$I$228</f>
        <v>0</v>
      </c>
      <c r="L58" s="34">
        <f>L57*参数输入表!$I$228</f>
        <v>0</v>
      </c>
      <c r="M58" s="34">
        <f>M57*参数输入表!$I$228</f>
        <v>0</v>
      </c>
      <c r="N58" s="34">
        <f>N57*参数输入表!$I$228</f>
        <v>0</v>
      </c>
      <c r="O58" s="34">
        <f>O57*参数输入表!$I$228</f>
        <v>0</v>
      </c>
      <c r="P58" s="34">
        <f>P57*参数输入表!$I$228</f>
        <v>0</v>
      </c>
      <c r="Q58" s="34">
        <f>Q57*参数输入表!$I$228</f>
        <v>0</v>
      </c>
      <c r="R58" s="34">
        <f>R57*参数输入表!$I$228</f>
        <v>0</v>
      </c>
      <c r="S58" s="34">
        <f>S57*参数输入表!$I$228</f>
        <v>0</v>
      </c>
      <c r="T58" s="34">
        <f>T57*参数输入表!$I$228</f>
        <v>0</v>
      </c>
      <c r="U58" s="34">
        <f>U57*参数输入表!$I$228</f>
        <v>0</v>
      </c>
      <c r="V58" s="34">
        <f>V57*参数输入表!$I$228</f>
        <v>0</v>
      </c>
      <c r="W58" s="34">
        <f>W57*参数输入表!$I$228</f>
        <v>0</v>
      </c>
      <c r="X58" s="34">
        <f>X57*参数输入表!$I$228</f>
        <v>0</v>
      </c>
      <c r="Y58" s="34">
        <f>Y57*参数输入表!$I$228</f>
        <v>0</v>
      </c>
      <c r="Z58" s="34">
        <f>Z57*参数输入表!$I$228</f>
        <v>0</v>
      </c>
      <c r="AA58" s="34">
        <f>AA57*参数输入表!$I$228</f>
        <v>0</v>
      </c>
      <c r="AB58" s="34">
        <f>AB57*参数输入表!$I$228</f>
        <v>0</v>
      </c>
      <c r="AC58" s="34">
        <f>AC57*参数输入表!$I$228</f>
        <v>0</v>
      </c>
      <c r="AD58" s="34">
        <f>AD57*参数输入表!$I$228</f>
        <v>0</v>
      </c>
      <c r="AE58" s="34">
        <f>AE57*参数输入表!$I$228</f>
        <v>0</v>
      </c>
      <c r="AF58" s="34">
        <f ca="1">AF57*参数输入表!$I$228</f>
        <v>0</v>
      </c>
    </row>
    <row r="59" s="1" customFormat="1" spans="2:32">
      <c r="B59" s="15"/>
      <c r="C59" s="30" t="s">
        <v>778</v>
      </c>
      <c r="D59" s="22"/>
      <c r="E59" s="18" t="s">
        <v>24</v>
      </c>
      <c r="F59" s="22">
        <f>F58</f>
        <v>0</v>
      </c>
      <c r="G59" s="34">
        <f>F59+G58</f>
        <v>0</v>
      </c>
      <c r="H59" s="34">
        <f t="shared" ref="H59:O59" si="38">G59+H58</f>
        <v>0</v>
      </c>
      <c r="I59" s="34">
        <f t="shared" si="38"/>
        <v>0</v>
      </c>
      <c r="J59" s="34">
        <f t="shared" si="38"/>
        <v>0</v>
      </c>
      <c r="K59" s="34">
        <f t="shared" si="38"/>
        <v>0</v>
      </c>
      <c r="L59" s="34">
        <f t="shared" si="38"/>
        <v>0</v>
      </c>
      <c r="M59" s="34">
        <f t="shared" si="38"/>
        <v>0</v>
      </c>
      <c r="N59" s="34">
        <f t="shared" si="38"/>
        <v>0</v>
      </c>
      <c r="O59" s="34">
        <f t="shared" si="38"/>
        <v>0</v>
      </c>
      <c r="P59" s="34">
        <f t="shared" ref="P59:AF59" si="39">O59+P58</f>
        <v>0</v>
      </c>
      <c r="Q59" s="34">
        <f t="shared" si="39"/>
        <v>0</v>
      </c>
      <c r="R59" s="34">
        <f t="shared" si="39"/>
        <v>0</v>
      </c>
      <c r="S59" s="34">
        <f t="shared" si="39"/>
        <v>0</v>
      </c>
      <c r="T59" s="34">
        <f t="shared" si="39"/>
        <v>0</v>
      </c>
      <c r="U59" s="34">
        <f t="shared" si="39"/>
        <v>0</v>
      </c>
      <c r="V59" s="34">
        <f t="shared" si="39"/>
        <v>0</v>
      </c>
      <c r="W59" s="34">
        <f t="shared" si="39"/>
        <v>0</v>
      </c>
      <c r="X59" s="34">
        <f t="shared" si="39"/>
        <v>0</v>
      </c>
      <c r="Y59" s="34">
        <f t="shared" si="39"/>
        <v>0</v>
      </c>
      <c r="Z59" s="34">
        <f t="shared" si="39"/>
        <v>0</v>
      </c>
      <c r="AA59" s="34">
        <f t="shared" si="39"/>
        <v>0</v>
      </c>
      <c r="AB59" s="34">
        <f t="shared" si="39"/>
        <v>0</v>
      </c>
      <c r="AC59" s="34">
        <f t="shared" si="39"/>
        <v>0</v>
      </c>
      <c r="AD59" s="34">
        <f t="shared" si="39"/>
        <v>0</v>
      </c>
      <c r="AE59" s="34">
        <f t="shared" si="39"/>
        <v>0</v>
      </c>
      <c r="AF59" s="34">
        <f ca="1" t="shared" si="39"/>
        <v>0</v>
      </c>
    </row>
    <row r="60" s="1" customFormat="1" spans="2:32">
      <c r="B60" s="15"/>
      <c r="C60" s="268" t="s">
        <v>779</v>
      </c>
      <c r="D60" s="22">
        <f ca="1">SUM(F60:AF60)</f>
        <v>98943.5316545975</v>
      </c>
      <c r="E60" s="18" t="s">
        <v>24</v>
      </c>
      <c r="F60" s="34">
        <f>F57-F58</f>
        <v>0</v>
      </c>
      <c r="G60" s="34">
        <f>G57-G58</f>
        <v>0</v>
      </c>
      <c r="H60" s="34">
        <f t="shared" ref="H60:N60" si="40">H57-H58</f>
        <v>0</v>
      </c>
      <c r="I60" s="34">
        <f t="shared" si="40"/>
        <v>0</v>
      </c>
      <c r="J60" s="34">
        <f t="shared" si="40"/>
        <v>-697.317765817357</v>
      </c>
      <c r="K60" s="34">
        <f t="shared" si="40"/>
        <v>3598.58891027386</v>
      </c>
      <c r="L60" s="34">
        <f t="shared" si="40"/>
        <v>6301.13798184514</v>
      </c>
      <c r="M60" s="34">
        <f t="shared" si="40"/>
        <v>5439.57439665467</v>
      </c>
      <c r="N60" s="34">
        <f t="shared" si="40"/>
        <v>5352.37520143343</v>
      </c>
      <c r="O60" s="34">
        <f t="shared" ref="O60:AF60" si="41">O57-O58</f>
        <v>5265.17600621219</v>
      </c>
      <c r="P60" s="34">
        <f t="shared" si="41"/>
        <v>5177.9747800175</v>
      </c>
      <c r="Q60" s="34">
        <f t="shared" si="41"/>
        <v>5090.77558479626</v>
      </c>
      <c r="R60" s="34">
        <f t="shared" si="41"/>
        <v>4106.07011596895</v>
      </c>
      <c r="S60" s="34">
        <f t="shared" si="41"/>
        <v>4021.64153579094</v>
      </c>
      <c r="T60" s="34">
        <f t="shared" si="41"/>
        <v>4312.70199559328</v>
      </c>
      <c r="U60" s="34">
        <f t="shared" si="41"/>
        <v>4300.61932177637</v>
      </c>
      <c r="V60" s="34">
        <f t="shared" si="41"/>
        <v>4216.12658944716</v>
      </c>
      <c r="W60" s="34">
        <f t="shared" si="41"/>
        <v>3997.6982292411</v>
      </c>
      <c r="X60" s="34">
        <f t="shared" si="41"/>
        <v>4696.13017271556</v>
      </c>
      <c r="Y60" s="34">
        <f t="shared" si="41"/>
        <v>5398.27771252028</v>
      </c>
      <c r="Z60" s="34">
        <f t="shared" si="41"/>
        <v>3414.17160459284</v>
      </c>
      <c r="AA60" s="34">
        <f t="shared" si="41"/>
        <v>2263.77675049904</v>
      </c>
      <c r="AB60" s="34">
        <f t="shared" si="41"/>
        <v>2839.79808486346</v>
      </c>
      <c r="AC60" s="34">
        <f t="shared" si="41"/>
        <v>6665.46836172895</v>
      </c>
      <c r="AD60" s="34">
        <f t="shared" si="41"/>
        <v>7115.47291472402</v>
      </c>
      <c r="AE60" s="34">
        <f t="shared" si="41"/>
        <v>7045.57068913818</v>
      </c>
      <c r="AF60" s="34">
        <f ca="1" t="shared" si="41"/>
        <v>-978.277519418345</v>
      </c>
    </row>
    <row r="61" s="1" customFormat="1" spans="2:32">
      <c r="B61" s="15"/>
      <c r="C61" s="268" t="s">
        <v>780</v>
      </c>
      <c r="D61" s="22">
        <f ca="1">SUM(F61:AF61)</f>
        <v>0</v>
      </c>
      <c r="E61" s="18" t="s">
        <v>24</v>
      </c>
      <c r="F61" s="34">
        <f>F57-F58-F60</f>
        <v>0</v>
      </c>
      <c r="G61" s="34">
        <f>G57-G58-G60</f>
        <v>0</v>
      </c>
      <c r="H61" s="34">
        <f t="shared" ref="H61:N61" si="42">H57-H58-H60</f>
        <v>0</v>
      </c>
      <c r="I61" s="34">
        <f t="shared" si="42"/>
        <v>0</v>
      </c>
      <c r="J61" s="34">
        <f t="shared" si="42"/>
        <v>0</v>
      </c>
      <c r="K61" s="34">
        <f t="shared" si="42"/>
        <v>0</v>
      </c>
      <c r="L61" s="34">
        <f t="shared" si="42"/>
        <v>0</v>
      </c>
      <c r="M61" s="34">
        <f t="shared" si="42"/>
        <v>0</v>
      </c>
      <c r="N61" s="34">
        <f t="shared" si="42"/>
        <v>0</v>
      </c>
      <c r="O61" s="34">
        <f t="shared" ref="O61:AF61" si="43">O57-O58-O60</f>
        <v>0</v>
      </c>
      <c r="P61" s="34">
        <f t="shared" si="43"/>
        <v>0</v>
      </c>
      <c r="Q61" s="34">
        <f t="shared" si="43"/>
        <v>0</v>
      </c>
      <c r="R61" s="34">
        <f t="shared" si="43"/>
        <v>0</v>
      </c>
      <c r="S61" s="34">
        <f t="shared" si="43"/>
        <v>0</v>
      </c>
      <c r="T61" s="34">
        <f t="shared" si="43"/>
        <v>0</v>
      </c>
      <c r="U61" s="34">
        <f t="shared" si="43"/>
        <v>0</v>
      </c>
      <c r="V61" s="34">
        <f t="shared" si="43"/>
        <v>0</v>
      </c>
      <c r="W61" s="34">
        <f t="shared" si="43"/>
        <v>0</v>
      </c>
      <c r="X61" s="34">
        <f t="shared" si="43"/>
        <v>0</v>
      </c>
      <c r="Y61" s="34">
        <f t="shared" si="43"/>
        <v>0</v>
      </c>
      <c r="Z61" s="34">
        <f t="shared" si="43"/>
        <v>0</v>
      </c>
      <c r="AA61" s="34">
        <f t="shared" si="43"/>
        <v>0</v>
      </c>
      <c r="AB61" s="34">
        <f t="shared" si="43"/>
        <v>0</v>
      </c>
      <c r="AC61" s="34">
        <f t="shared" si="43"/>
        <v>0</v>
      </c>
      <c r="AD61" s="34">
        <f t="shared" si="43"/>
        <v>0</v>
      </c>
      <c r="AE61" s="34">
        <f t="shared" si="43"/>
        <v>0</v>
      </c>
      <c r="AF61" s="34">
        <f ca="1" t="shared" si="43"/>
        <v>0</v>
      </c>
    </row>
    <row r="62" s="1" customFormat="1" spans="2:32">
      <c r="B62" s="15"/>
      <c r="C62" s="30" t="s">
        <v>781</v>
      </c>
      <c r="D62" s="22"/>
      <c r="E62" s="18" t="s">
        <v>24</v>
      </c>
      <c r="F62" s="22">
        <f>F61</f>
        <v>0</v>
      </c>
      <c r="G62" s="34">
        <f>F62+G61</f>
        <v>0</v>
      </c>
      <c r="H62" s="34">
        <f t="shared" ref="H62:P62" si="44">G62+H61</f>
        <v>0</v>
      </c>
      <c r="I62" s="34">
        <f t="shared" si="44"/>
        <v>0</v>
      </c>
      <c r="J62" s="34">
        <f t="shared" si="44"/>
        <v>0</v>
      </c>
      <c r="K62" s="34">
        <f t="shared" si="44"/>
        <v>0</v>
      </c>
      <c r="L62" s="34">
        <f t="shared" si="44"/>
        <v>0</v>
      </c>
      <c r="M62" s="34">
        <f t="shared" si="44"/>
        <v>0</v>
      </c>
      <c r="N62" s="34">
        <f t="shared" si="44"/>
        <v>0</v>
      </c>
      <c r="O62" s="34">
        <f t="shared" si="44"/>
        <v>0</v>
      </c>
      <c r="P62" s="34">
        <f t="shared" si="44"/>
        <v>0</v>
      </c>
      <c r="Q62" s="34">
        <f t="shared" ref="Q62:AF62" si="45">P62+Q61</f>
        <v>0</v>
      </c>
      <c r="R62" s="34">
        <f t="shared" si="45"/>
        <v>0</v>
      </c>
      <c r="S62" s="34">
        <f t="shared" si="45"/>
        <v>0</v>
      </c>
      <c r="T62" s="34">
        <f t="shared" si="45"/>
        <v>0</v>
      </c>
      <c r="U62" s="34">
        <f t="shared" si="45"/>
        <v>0</v>
      </c>
      <c r="V62" s="34">
        <f t="shared" si="45"/>
        <v>0</v>
      </c>
      <c r="W62" s="34">
        <f t="shared" si="45"/>
        <v>0</v>
      </c>
      <c r="X62" s="34">
        <f t="shared" si="45"/>
        <v>0</v>
      </c>
      <c r="Y62" s="34">
        <f t="shared" si="45"/>
        <v>0</v>
      </c>
      <c r="Z62" s="34">
        <f t="shared" si="45"/>
        <v>0</v>
      </c>
      <c r="AA62" s="34">
        <f t="shared" si="45"/>
        <v>0</v>
      </c>
      <c r="AB62" s="34">
        <f t="shared" si="45"/>
        <v>0</v>
      </c>
      <c r="AC62" s="34">
        <f t="shared" si="45"/>
        <v>0</v>
      </c>
      <c r="AD62" s="34">
        <f t="shared" si="45"/>
        <v>0</v>
      </c>
      <c r="AE62" s="34">
        <f t="shared" si="45"/>
        <v>0</v>
      </c>
      <c r="AF62" s="34">
        <f ca="1" t="shared" si="45"/>
        <v>0</v>
      </c>
    </row>
    <row r="63" s="1" customFormat="1" spans="2:32">
      <c r="B63" s="15"/>
      <c r="C63" s="268" t="s">
        <v>782</v>
      </c>
      <c r="D63" s="22">
        <f ca="1">SUM(F63:AF63)</f>
        <v>131730.281826405</v>
      </c>
      <c r="E63" s="18" t="s">
        <v>24</v>
      </c>
      <c r="F63" s="34">
        <f>F42</f>
        <v>0</v>
      </c>
      <c r="G63" s="34">
        <f t="shared" ref="G63:AF63" si="46">G42</f>
        <v>0</v>
      </c>
      <c r="H63" s="34">
        <f t="shared" si="46"/>
        <v>0</v>
      </c>
      <c r="I63" s="34">
        <f t="shared" si="46"/>
        <v>0</v>
      </c>
      <c r="J63" s="34">
        <f t="shared" si="46"/>
        <v>-697.317765817357</v>
      </c>
      <c r="K63" s="34">
        <f t="shared" si="46"/>
        <v>4266.09004334077</v>
      </c>
      <c r="L63" s="34">
        <f t="shared" si="46"/>
        <v>7568.9345127269</v>
      </c>
      <c r="M63" s="34">
        <f t="shared" si="46"/>
        <v>7110.55476686885</v>
      </c>
      <c r="N63" s="34">
        <f t="shared" si="46"/>
        <v>6996.56889076266</v>
      </c>
      <c r="O63" s="34">
        <f t="shared" si="46"/>
        <v>6882.58301465646</v>
      </c>
      <c r="P63" s="34">
        <f t="shared" si="46"/>
        <v>6768.59448368301</v>
      </c>
      <c r="Q63" s="34">
        <f t="shared" si="46"/>
        <v>6654.60860757682</v>
      </c>
      <c r="R63" s="34">
        <f t="shared" si="46"/>
        <v>6083.06683847252</v>
      </c>
      <c r="S63" s="34">
        <f t="shared" si="46"/>
        <v>5957.98746043103</v>
      </c>
      <c r="T63" s="34">
        <f t="shared" si="46"/>
        <v>5846.07458479209</v>
      </c>
      <c r="U63" s="34">
        <f t="shared" si="46"/>
        <v>5734.15909570182</v>
      </c>
      <c r="V63" s="34">
        <f t="shared" si="46"/>
        <v>5621.50211926288</v>
      </c>
      <c r="W63" s="34">
        <f t="shared" si="46"/>
        <v>5330.2643056548</v>
      </c>
      <c r="X63" s="34">
        <f t="shared" si="46"/>
        <v>6261.50689695408</v>
      </c>
      <c r="Y63" s="34">
        <f t="shared" si="46"/>
        <v>7197.70361669371</v>
      </c>
      <c r="Z63" s="34">
        <f t="shared" si="46"/>
        <v>4552.22880612379</v>
      </c>
      <c r="AA63" s="34">
        <f t="shared" si="46"/>
        <v>3018.36900066539</v>
      </c>
      <c r="AB63" s="34">
        <f t="shared" si="46"/>
        <v>3786.39744648461</v>
      </c>
      <c r="AC63" s="34">
        <f t="shared" si="46"/>
        <v>8887.29114897193</v>
      </c>
      <c r="AD63" s="34">
        <f t="shared" si="46"/>
        <v>9487.29721963202</v>
      </c>
      <c r="AE63" s="34">
        <f t="shared" si="46"/>
        <v>9394.09425218424</v>
      </c>
      <c r="AF63" s="34">
        <f ca="1" t="shared" si="46"/>
        <v>-978.277519418345</v>
      </c>
    </row>
    <row r="64" s="1" customFormat="1" spans="2:32">
      <c r="B64" s="15"/>
      <c r="C64" s="268" t="s">
        <v>783</v>
      </c>
      <c r="D64" s="22">
        <f ca="1">SUM(F64:AF64)</f>
        <v>258342.300649905</v>
      </c>
      <c r="E64" s="18" t="s">
        <v>24</v>
      </c>
      <c r="F64" s="34">
        <f>F63+'表2-折旧摊销表'!F179</f>
        <v>0</v>
      </c>
      <c r="G64" s="34">
        <f>G63+'表2-折旧摊销表'!G179</f>
        <v>0</v>
      </c>
      <c r="H64" s="34">
        <f>H63+'表2-折旧摊销表'!H179</f>
        <v>0</v>
      </c>
      <c r="I64" s="34">
        <f>I63+'表2-折旧摊销表'!I179</f>
        <v>0</v>
      </c>
      <c r="J64" s="34">
        <f>J63+'表2-折旧摊销表'!J179</f>
        <v>342.491871167472</v>
      </c>
      <c r="K64" s="34">
        <f>K63+'表2-折旧摊销表'!K179</f>
        <v>10504.9478652497</v>
      </c>
      <c r="L64" s="34">
        <f>L63+'表2-折旧摊销表'!L179</f>
        <v>14500.9987592924</v>
      </c>
      <c r="M64" s="34">
        <f>M63+'表2-折旧摊销表'!M179</f>
        <v>14134.3621327004</v>
      </c>
      <c r="N64" s="34">
        <f>N63+'表2-折旧摊销表'!N179</f>
        <v>14020.3762565942</v>
      </c>
      <c r="O64" s="34">
        <f>O63+'表2-折旧摊销表'!O179</f>
        <v>13906.390380488</v>
      </c>
      <c r="P64" s="34">
        <f>P63+'表2-折旧摊销表'!P179</f>
        <v>13792.4018495146</v>
      </c>
      <c r="Q64" s="34">
        <f>Q63+'表2-折旧摊销表'!Q179</f>
        <v>13678.4159734084</v>
      </c>
      <c r="R64" s="34">
        <f>R63+'表2-折旧摊销表'!R179</f>
        <v>13106.8742043041</v>
      </c>
      <c r="S64" s="34">
        <f>S63+'表2-折旧摊销表'!S179</f>
        <v>12981.7948262626</v>
      </c>
      <c r="T64" s="34">
        <f>T63+'表2-折旧摊销表'!T179</f>
        <v>12869.8819506237</v>
      </c>
      <c r="U64" s="34">
        <f>U63+'表2-折旧摊销表'!U179</f>
        <v>12757.9664615334</v>
      </c>
      <c r="V64" s="34">
        <f>V63+'表2-折旧摊销表'!V179</f>
        <v>12645.3094850945</v>
      </c>
      <c r="W64" s="34">
        <f>W63+'表2-折旧摊销表'!W179</f>
        <v>12354.0716714864</v>
      </c>
      <c r="X64" s="34">
        <f>X63+'表2-折旧摊销表'!X179</f>
        <v>13285.3142627857</v>
      </c>
      <c r="Y64" s="34">
        <f>Y63+'表2-折旧摊销表'!Y179</f>
        <v>14221.5109825253</v>
      </c>
      <c r="Z64" s="34">
        <f>Z63+'表2-折旧摊销表'!Z179</f>
        <v>11576.0361719554</v>
      </c>
      <c r="AA64" s="34">
        <f>AA63+'表2-折旧摊销表'!AA179</f>
        <v>10042.176366497</v>
      </c>
      <c r="AB64" s="34">
        <f>AB63+'表2-折旧摊销表'!AB179</f>
        <v>9770.39517533136</v>
      </c>
      <c r="AC64" s="34">
        <f>AC63+'表2-折旧摊销表'!AC179</f>
        <v>9672.24069289454</v>
      </c>
      <c r="AD64" s="34">
        <f>AD63+'表2-折旧摊销表'!AD179</f>
        <v>9579.04033889808</v>
      </c>
      <c r="AE64" s="34">
        <f>AE63+'表2-折旧摊销表'!AE179</f>
        <v>9485.83737145029</v>
      </c>
      <c r="AF64" s="34">
        <f ca="1">AF63+'表2-折旧摊销表'!AF179</f>
        <v>-886.53440015229</v>
      </c>
    </row>
    <row r="65" spans="2:32">
      <c r="B65" s="20"/>
      <c r="C65" s="21" t="s">
        <v>784</v>
      </c>
      <c r="D65" s="22"/>
      <c r="E65" s="18" t="s">
        <v>24</v>
      </c>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row>
    <row r="66" s="2" customFormat="1" spans="2:32">
      <c r="B66" s="48"/>
      <c r="C66" s="225" t="s">
        <v>785</v>
      </c>
      <c r="D66" s="49">
        <f ca="1" t="shared" ref="D66:D95" si="47">SUM(F66:AF66)</f>
        <v>103943.531654598</v>
      </c>
      <c r="E66" s="54" t="s">
        <v>24</v>
      </c>
      <c r="F66" s="49">
        <f>F51-F67</f>
        <v>0</v>
      </c>
      <c r="G66" s="49">
        <f t="shared" ref="G66:AF66" si="48">G51-G67</f>
        <v>0</v>
      </c>
      <c r="H66" s="49">
        <f t="shared" si="48"/>
        <v>0</v>
      </c>
      <c r="I66" s="49">
        <f t="shared" si="48"/>
        <v>0</v>
      </c>
      <c r="J66" s="49">
        <f t="shared" si="48"/>
        <v>-697.317765817357</v>
      </c>
      <c r="K66" s="49">
        <f t="shared" si="48"/>
        <v>3998.43212252652</v>
      </c>
      <c r="L66" s="49">
        <f t="shared" si="48"/>
        <v>7001.26442427238</v>
      </c>
      <c r="M66" s="49">
        <f t="shared" si="48"/>
        <v>6043.97155183853</v>
      </c>
      <c r="N66" s="49">
        <f t="shared" si="48"/>
        <v>5947.08355714826</v>
      </c>
      <c r="O66" s="49">
        <f t="shared" si="48"/>
        <v>5850.19556245799</v>
      </c>
      <c r="P66" s="49">
        <f t="shared" si="48"/>
        <v>5753.30531113056</v>
      </c>
      <c r="Q66" s="49">
        <f t="shared" si="48"/>
        <v>5656.41731644029</v>
      </c>
      <c r="R66" s="49">
        <f t="shared" si="48"/>
        <v>4562.30012885439</v>
      </c>
      <c r="S66" s="49">
        <f t="shared" si="48"/>
        <v>4468.49059532327</v>
      </c>
      <c r="T66" s="49">
        <f t="shared" si="48"/>
        <v>4384.55593859406</v>
      </c>
      <c r="U66" s="49">
        <f t="shared" si="48"/>
        <v>4300.61932177637</v>
      </c>
      <c r="V66" s="49">
        <f t="shared" si="48"/>
        <v>4216.12658944716</v>
      </c>
      <c r="W66" s="49">
        <f t="shared" si="48"/>
        <v>3997.6982292411</v>
      </c>
      <c r="X66" s="49">
        <f t="shared" si="48"/>
        <v>4696.13017271556</v>
      </c>
      <c r="Y66" s="49">
        <f t="shared" si="48"/>
        <v>5398.27771252028</v>
      </c>
      <c r="Z66" s="49">
        <f t="shared" si="48"/>
        <v>3414.17160459284</v>
      </c>
      <c r="AA66" s="49">
        <f t="shared" si="48"/>
        <v>2263.77675049904</v>
      </c>
      <c r="AB66" s="49">
        <f t="shared" si="48"/>
        <v>2839.79808486346</v>
      </c>
      <c r="AC66" s="49">
        <f t="shared" si="48"/>
        <v>6665.46836172895</v>
      </c>
      <c r="AD66" s="49">
        <f t="shared" si="48"/>
        <v>7115.47291472402</v>
      </c>
      <c r="AE66" s="49">
        <f t="shared" si="48"/>
        <v>7045.57068913818</v>
      </c>
      <c r="AF66" s="49">
        <f ca="1" t="shared" si="48"/>
        <v>-978.277519418345</v>
      </c>
    </row>
    <row r="67" spans="2:32">
      <c r="B67" s="20"/>
      <c r="C67" s="24" t="s">
        <v>786</v>
      </c>
      <c r="D67" s="22">
        <f t="shared" si="47"/>
        <v>0</v>
      </c>
      <c r="E67" s="18" t="s">
        <v>24</v>
      </c>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row>
    <row r="68" spans="2:32">
      <c r="B68" s="20"/>
      <c r="C68" s="21" t="s">
        <v>787</v>
      </c>
      <c r="D68" s="22"/>
      <c r="E68" s="18" t="s">
        <v>24</v>
      </c>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row>
    <row r="69" s="2" customFormat="1" spans="2:32">
      <c r="B69" s="48"/>
      <c r="C69" s="225" t="s">
        <v>788</v>
      </c>
      <c r="D69" s="49">
        <f ca="1" t="shared" si="47"/>
        <v>103943.531654598</v>
      </c>
      <c r="E69" s="54" t="s">
        <v>24</v>
      </c>
      <c r="F69" s="49">
        <f>F51-F70</f>
        <v>0</v>
      </c>
      <c r="G69" s="49">
        <f t="shared" ref="G69:N69" si="49">G51-G70</f>
        <v>0</v>
      </c>
      <c r="H69" s="49">
        <f t="shared" si="49"/>
        <v>0</v>
      </c>
      <c r="I69" s="49">
        <f t="shared" si="49"/>
        <v>0</v>
      </c>
      <c r="J69" s="49">
        <f t="shared" si="49"/>
        <v>-697.317765817357</v>
      </c>
      <c r="K69" s="49">
        <f t="shared" si="49"/>
        <v>3998.43212252652</v>
      </c>
      <c r="L69" s="49">
        <f t="shared" si="49"/>
        <v>7001.26442427238</v>
      </c>
      <c r="M69" s="49">
        <f t="shared" si="49"/>
        <v>6043.97155183853</v>
      </c>
      <c r="N69" s="49">
        <f t="shared" si="49"/>
        <v>5947.08355714826</v>
      </c>
      <c r="O69" s="49">
        <f t="shared" ref="O69:AF69" si="50">O51-O70</f>
        <v>5850.19556245799</v>
      </c>
      <c r="P69" s="49">
        <f t="shared" si="50"/>
        <v>5753.30531113056</v>
      </c>
      <c r="Q69" s="49">
        <f t="shared" si="50"/>
        <v>5656.41731644029</v>
      </c>
      <c r="R69" s="49">
        <f t="shared" si="50"/>
        <v>4562.30012885439</v>
      </c>
      <c r="S69" s="49">
        <f t="shared" si="50"/>
        <v>4468.49059532327</v>
      </c>
      <c r="T69" s="49">
        <f t="shared" si="50"/>
        <v>4384.55593859406</v>
      </c>
      <c r="U69" s="49">
        <f t="shared" si="50"/>
        <v>4300.61932177637</v>
      </c>
      <c r="V69" s="49">
        <f t="shared" si="50"/>
        <v>4216.12658944716</v>
      </c>
      <c r="W69" s="49">
        <f t="shared" si="50"/>
        <v>3997.6982292411</v>
      </c>
      <c r="X69" s="49">
        <f t="shared" si="50"/>
        <v>4696.13017271556</v>
      </c>
      <c r="Y69" s="49">
        <f t="shared" si="50"/>
        <v>5398.27771252028</v>
      </c>
      <c r="Z69" s="49">
        <f t="shared" si="50"/>
        <v>3414.17160459284</v>
      </c>
      <c r="AA69" s="49">
        <f t="shared" si="50"/>
        <v>2263.77675049904</v>
      </c>
      <c r="AB69" s="49">
        <f t="shared" si="50"/>
        <v>2839.79808486346</v>
      </c>
      <c r="AC69" s="49">
        <f t="shared" si="50"/>
        <v>6665.46836172895</v>
      </c>
      <c r="AD69" s="49">
        <f t="shared" si="50"/>
        <v>7115.47291472402</v>
      </c>
      <c r="AE69" s="49">
        <f t="shared" si="50"/>
        <v>7045.57068913818</v>
      </c>
      <c r="AF69" s="49">
        <f ca="1" t="shared" si="50"/>
        <v>-978.277519418345</v>
      </c>
    </row>
    <row r="70" spans="2:32">
      <c r="B70" s="20"/>
      <c r="C70" s="24" t="s">
        <v>789</v>
      </c>
      <c r="D70" s="22">
        <f t="shared" si="47"/>
        <v>0</v>
      </c>
      <c r="E70" s="18" t="s">
        <v>24</v>
      </c>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row>
    <row r="71" s="3" customFormat="1" spans="2:32">
      <c r="B71" s="52" t="s">
        <v>790</v>
      </c>
      <c r="C71" s="53" t="s">
        <v>791</v>
      </c>
      <c r="D71" s="49">
        <f t="shared" si="47"/>
        <v>0</v>
      </c>
      <c r="E71" s="54" t="s">
        <v>24</v>
      </c>
      <c r="F71" s="49">
        <f>F72+F89</f>
        <v>0</v>
      </c>
      <c r="G71" s="49">
        <f t="shared" ref="G71:AF71" si="51">G72+G89</f>
        <v>0</v>
      </c>
      <c r="H71" s="49">
        <f t="shared" si="51"/>
        <v>0</v>
      </c>
      <c r="I71" s="49">
        <f t="shared" si="51"/>
        <v>0</v>
      </c>
      <c r="J71" s="49">
        <f t="shared" si="51"/>
        <v>0</v>
      </c>
      <c r="K71" s="49">
        <f t="shared" si="51"/>
        <v>0</v>
      </c>
      <c r="L71" s="49">
        <f t="shared" si="51"/>
        <v>0</v>
      </c>
      <c r="M71" s="49">
        <f t="shared" si="51"/>
        <v>0</v>
      </c>
      <c r="N71" s="49">
        <f t="shared" si="51"/>
        <v>0</v>
      </c>
      <c r="O71" s="49">
        <f t="shared" si="51"/>
        <v>0</v>
      </c>
      <c r="P71" s="49">
        <f t="shared" si="51"/>
        <v>0</v>
      </c>
      <c r="Q71" s="49">
        <f t="shared" si="51"/>
        <v>0</v>
      </c>
      <c r="R71" s="49">
        <f t="shared" si="51"/>
        <v>0</v>
      </c>
      <c r="S71" s="49">
        <f t="shared" si="51"/>
        <v>0</v>
      </c>
      <c r="T71" s="49">
        <f t="shared" si="51"/>
        <v>0</v>
      </c>
      <c r="U71" s="49">
        <f t="shared" si="51"/>
        <v>0</v>
      </c>
      <c r="V71" s="49">
        <f t="shared" si="51"/>
        <v>0</v>
      </c>
      <c r="W71" s="49">
        <f t="shared" si="51"/>
        <v>0</v>
      </c>
      <c r="X71" s="49">
        <f t="shared" si="51"/>
        <v>0</v>
      </c>
      <c r="Y71" s="49">
        <f t="shared" si="51"/>
        <v>0</v>
      </c>
      <c r="Z71" s="49">
        <f t="shared" si="51"/>
        <v>0</v>
      </c>
      <c r="AA71" s="49">
        <f t="shared" si="51"/>
        <v>0</v>
      </c>
      <c r="AB71" s="49">
        <f t="shared" si="51"/>
        <v>0</v>
      </c>
      <c r="AC71" s="49">
        <f t="shared" si="51"/>
        <v>0</v>
      </c>
      <c r="AD71" s="49">
        <f t="shared" si="51"/>
        <v>0</v>
      </c>
      <c r="AE71" s="49">
        <f t="shared" si="51"/>
        <v>0</v>
      </c>
      <c r="AF71" s="49">
        <f t="shared" si="51"/>
        <v>0</v>
      </c>
    </row>
    <row r="72" s="2" customFormat="1" spans="2:32">
      <c r="B72" s="48"/>
      <c r="C72" s="270" t="s">
        <v>792</v>
      </c>
      <c r="D72" s="49">
        <f t="shared" si="47"/>
        <v>0</v>
      </c>
      <c r="E72" s="54" t="s">
        <v>24</v>
      </c>
      <c r="F72" s="49">
        <f>F73+F79</f>
        <v>0</v>
      </c>
      <c r="G72" s="49">
        <f t="shared" ref="G72:AF72" si="52">G73+G79</f>
        <v>0</v>
      </c>
      <c r="H72" s="49">
        <f t="shared" si="52"/>
        <v>0</v>
      </c>
      <c r="I72" s="49">
        <f t="shared" si="52"/>
        <v>0</v>
      </c>
      <c r="J72" s="49">
        <f t="shared" si="52"/>
        <v>0</v>
      </c>
      <c r="K72" s="49">
        <f t="shared" si="52"/>
        <v>0</v>
      </c>
      <c r="L72" s="49">
        <f t="shared" si="52"/>
        <v>0</v>
      </c>
      <c r="M72" s="49">
        <f t="shared" si="52"/>
        <v>0</v>
      </c>
      <c r="N72" s="49">
        <f t="shared" si="52"/>
        <v>0</v>
      </c>
      <c r="O72" s="49">
        <f t="shared" si="52"/>
        <v>0</v>
      </c>
      <c r="P72" s="49">
        <f t="shared" si="52"/>
        <v>0</v>
      </c>
      <c r="Q72" s="49">
        <f t="shared" si="52"/>
        <v>0</v>
      </c>
      <c r="R72" s="49">
        <f t="shared" si="52"/>
        <v>0</v>
      </c>
      <c r="S72" s="49">
        <f t="shared" si="52"/>
        <v>0</v>
      </c>
      <c r="T72" s="49">
        <f t="shared" si="52"/>
        <v>0</v>
      </c>
      <c r="U72" s="49">
        <f t="shared" si="52"/>
        <v>0</v>
      </c>
      <c r="V72" s="49">
        <f t="shared" si="52"/>
        <v>0</v>
      </c>
      <c r="W72" s="49">
        <f t="shared" si="52"/>
        <v>0</v>
      </c>
      <c r="X72" s="49">
        <f t="shared" si="52"/>
        <v>0</v>
      </c>
      <c r="Y72" s="49">
        <f t="shared" si="52"/>
        <v>0</v>
      </c>
      <c r="Z72" s="49">
        <f t="shared" si="52"/>
        <v>0</v>
      </c>
      <c r="AA72" s="49">
        <f t="shared" si="52"/>
        <v>0</v>
      </c>
      <c r="AB72" s="49">
        <f t="shared" si="52"/>
        <v>0</v>
      </c>
      <c r="AC72" s="49">
        <f t="shared" si="52"/>
        <v>0</v>
      </c>
      <c r="AD72" s="49">
        <f t="shared" si="52"/>
        <v>0</v>
      </c>
      <c r="AE72" s="49">
        <f t="shared" si="52"/>
        <v>0</v>
      </c>
      <c r="AF72" s="49">
        <f t="shared" si="52"/>
        <v>0</v>
      </c>
    </row>
    <row r="73" s="2" customFormat="1" spans="2:32">
      <c r="B73" s="48"/>
      <c r="C73" s="270" t="s">
        <v>793</v>
      </c>
      <c r="D73" s="49">
        <f t="shared" si="47"/>
        <v>0</v>
      </c>
      <c r="E73" s="54" t="s">
        <v>24</v>
      </c>
      <c r="F73" s="49">
        <f>SUM(F74:F78)</f>
        <v>0</v>
      </c>
      <c r="G73" s="49">
        <f t="shared" ref="G73:AF73" si="53">SUM(G74:G78)</f>
        <v>0</v>
      </c>
      <c r="H73" s="49">
        <f t="shared" si="53"/>
        <v>0</v>
      </c>
      <c r="I73" s="49">
        <f t="shared" si="53"/>
        <v>0</v>
      </c>
      <c r="J73" s="49">
        <f t="shared" si="53"/>
        <v>0</v>
      </c>
      <c r="K73" s="49">
        <f t="shared" si="53"/>
        <v>0</v>
      </c>
      <c r="L73" s="49">
        <f t="shared" si="53"/>
        <v>0</v>
      </c>
      <c r="M73" s="49">
        <f t="shared" si="53"/>
        <v>0</v>
      </c>
      <c r="N73" s="49">
        <f t="shared" si="53"/>
        <v>0</v>
      </c>
      <c r="O73" s="49">
        <f t="shared" si="53"/>
        <v>0</v>
      </c>
      <c r="P73" s="49">
        <f t="shared" si="53"/>
        <v>0</v>
      </c>
      <c r="Q73" s="49">
        <f t="shared" si="53"/>
        <v>0</v>
      </c>
      <c r="R73" s="49">
        <f t="shared" si="53"/>
        <v>0</v>
      </c>
      <c r="S73" s="49">
        <f t="shared" si="53"/>
        <v>0</v>
      </c>
      <c r="T73" s="49">
        <f t="shared" si="53"/>
        <v>0</v>
      </c>
      <c r="U73" s="49">
        <f t="shared" si="53"/>
        <v>0</v>
      </c>
      <c r="V73" s="49">
        <f t="shared" si="53"/>
        <v>0</v>
      </c>
      <c r="W73" s="49">
        <f t="shared" si="53"/>
        <v>0</v>
      </c>
      <c r="X73" s="49">
        <f t="shared" si="53"/>
        <v>0</v>
      </c>
      <c r="Y73" s="49">
        <f t="shared" si="53"/>
        <v>0</v>
      </c>
      <c r="Z73" s="49">
        <f t="shared" si="53"/>
        <v>0</v>
      </c>
      <c r="AA73" s="49">
        <f t="shared" si="53"/>
        <v>0</v>
      </c>
      <c r="AB73" s="49">
        <f t="shared" si="53"/>
        <v>0</v>
      </c>
      <c r="AC73" s="49">
        <f t="shared" si="53"/>
        <v>0</v>
      </c>
      <c r="AD73" s="49">
        <f t="shared" si="53"/>
        <v>0</v>
      </c>
      <c r="AE73" s="49">
        <f t="shared" si="53"/>
        <v>0</v>
      </c>
      <c r="AF73" s="49">
        <f t="shared" si="53"/>
        <v>0</v>
      </c>
    </row>
    <row r="74" spans="2:32">
      <c r="B74" s="20"/>
      <c r="C74" s="26" t="s">
        <v>794</v>
      </c>
      <c r="D74" s="22">
        <f t="shared" si="47"/>
        <v>0</v>
      </c>
      <c r="E74" s="18" t="s">
        <v>24</v>
      </c>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row>
    <row r="75" spans="2:32">
      <c r="B75" s="20"/>
      <c r="C75" s="26" t="s">
        <v>795</v>
      </c>
      <c r="D75" s="22">
        <f t="shared" si="47"/>
        <v>0</v>
      </c>
      <c r="E75" s="18" t="s">
        <v>24</v>
      </c>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row>
    <row r="76" spans="2:32">
      <c r="B76" s="20"/>
      <c r="C76" s="26" t="s">
        <v>796</v>
      </c>
      <c r="D76" s="22">
        <f t="shared" si="47"/>
        <v>0</v>
      </c>
      <c r="E76" s="18" t="s">
        <v>24</v>
      </c>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row>
    <row r="77" spans="2:32">
      <c r="B77" s="20"/>
      <c r="C77" s="26" t="s">
        <v>797</v>
      </c>
      <c r="D77" s="22">
        <f t="shared" si="47"/>
        <v>0</v>
      </c>
      <c r="E77" s="18" t="s">
        <v>24</v>
      </c>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row>
    <row r="78" spans="2:32">
      <c r="B78" s="20"/>
      <c r="C78" s="26" t="s">
        <v>798</v>
      </c>
      <c r="D78" s="22">
        <f t="shared" si="47"/>
        <v>0</v>
      </c>
      <c r="E78" s="18" t="s">
        <v>24</v>
      </c>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row>
    <row r="79" s="2" customFormat="1" spans="2:32">
      <c r="B79" s="48"/>
      <c r="C79" s="270" t="s">
        <v>799</v>
      </c>
      <c r="D79" s="49">
        <f t="shared" si="47"/>
        <v>0</v>
      </c>
      <c r="E79" s="54" t="s">
        <v>24</v>
      </c>
      <c r="F79" s="49">
        <f>SUM(F80:F88)</f>
        <v>0</v>
      </c>
      <c r="G79" s="49">
        <f t="shared" ref="G79:AF79" si="54">SUM(G80:G88)</f>
        <v>0</v>
      </c>
      <c r="H79" s="49">
        <f t="shared" si="54"/>
        <v>0</v>
      </c>
      <c r="I79" s="49">
        <f t="shared" si="54"/>
        <v>0</v>
      </c>
      <c r="J79" s="49">
        <f t="shared" si="54"/>
        <v>0</v>
      </c>
      <c r="K79" s="49">
        <f t="shared" si="54"/>
        <v>0</v>
      </c>
      <c r="L79" s="49">
        <f t="shared" si="54"/>
        <v>0</v>
      </c>
      <c r="M79" s="49">
        <f t="shared" si="54"/>
        <v>0</v>
      </c>
      <c r="N79" s="49">
        <f t="shared" si="54"/>
        <v>0</v>
      </c>
      <c r="O79" s="49">
        <f t="shared" si="54"/>
        <v>0</v>
      </c>
      <c r="P79" s="49">
        <f t="shared" si="54"/>
        <v>0</v>
      </c>
      <c r="Q79" s="49">
        <f t="shared" si="54"/>
        <v>0</v>
      </c>
      <c r="R79" s="49">
        <f t="shared" si="54"/>
        <v>0</v>
      </c>
      <c r="S79" s="49">
        <f t="shared" si="54"/>
        <v>0</v>
      </c>
      <c r="T79" s="49">
        <f t="shared" si="54"/>
        <v>0</v>
      </c>
      <c r="U79" s="49">
        <f t="shared" si="54"/>
        <v>0</v>
      </c>
      <c r="V79" s="49">
        <f t="shared" si="54"/>
        <v>0</v>
      </c>
      <c r="W79" s="49">
        <f t="shared" si="54"/>
        <v>0</v>
      </c>
      <c r="X79" s="49">
        <f t="shared" si="54"/>
        <v>0</v>
      </c>
      <c r="Y79" s="49">
        <f t="shared" si="54"/>
        <v>0</v>
      </c>
      <c r="Z79" s="49">
        <f t="shared" si="54"/>
        <v>0</v>
      </c>
      <c r="AA79" s="49">
        <f t="shared" si="54"/>
        <v>0</v>
      </c>
      <c r="AB79" s="49">
        <f t="shared" si="54"/>
        <v>0</v>
      </c>
      <c r="AC79" s="49">
        <f t="shared" si="54"/>
        <v>0</v>
      </c>
      <c r="AD79" s="49">
        <f t="shared" si="54"/>
        <v>0</v>
      </c>
      <c r="AE79" s="49">
        <f t="shared" si="54"/>
        <v>0</v>
      </c>
      <c r="AF79" s="49">
        <f t="shared" si="54"/>
        <v>0</v>
      </c>
    </row>
    <row r="80" spans="2:32">
      <c r="B80" s="20"/>
      <c r="C80" s="25" t="s">
        <v>800</v>
      </c>
      <c r="D80" s="22">
        <f t="shared" si="47"/>
        <v>0</v>
      </c>
      <c r="E80" s="18" t="s">
        <v>24</v>
      </c>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row>
    <row r="81" spans="2:32">
      <c r="B81" s="20"/>
      <c r="C81" s="25" t="s">
        <v>801</v>
      </c>
      <c r="D81" s="22">
        <f t="shared" si="47"/>
        <v>0</v>
      </c>
      <c r="E81" s="18" t="s">
        <v>24</v>
      </c>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row>
    <row r="82" spans="2:32">
      <c r="B82" s="20"/>
      <c r="C82" s="25" t="s">
        <v>802</v>
      </c>
      <c r="D82" s="22">
        <f t="shared" si="47"/>
        <v>0</v>
      </c>
      <c r="E82" s="18" t="s">
        <v>24</v>
      </c>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row>
    <row r="83" spans="2:32">
      <c r="B83" s="20"/>
      <c r="C83" s="25" t="s">
        <v>803</v>
      </c>
      <c r="D83" s="22">
        <f t="shared" si="47"/>
        <v>0</v>
      </c>
      <c r="E83" s="18" t="s">
        <v>24</v>
      </c>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row>
    <row r="84" spans="2:32">
      <c r="B84" s="20"/>
      <c r="C84" s="25" t="s">
        <v>804</v>
      </c>
      <c r="D84" s="22">
        <f t="shared" si="47"/>
        <v>0</v>
      </c>
      <c r="E84" s="18" t="s">
        <v>24</v>
      </c>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row>
    <row r="85" spans="2:32">
      <c r="B85" s="20"/>
      <c r="C85" s="25" t="s">
        <v>805</v>
      </c>
      <c r="D85" s="22">
        <f t="shared" si="47"/>
        <v>0</v>
      </c>
      <c r="E85" s="18" t="s">
        <v>24</v>
      </c>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row>
    <row r="86" spans="2:32">
      <c r="B86" s="20"/>
      <c r="C86" s="25" t="s">
        <v>806</v>
      </c>
      <c r="D86" s="22">
        <f t="shared" si="47"/>
        <v>0</v>
      </c>
      <c r="E86" s="18" t="s">
        <v>24</v>
      </c>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row>
    <row r="87" spans="2:32">
      <c r="B87" s="20"/>
      <c r="C87" s="25" t="s">
        <v>807</v>
      </c>
      <c r="D87" s="22">
        <f t="shared" si="47"/>
        <v>0</v>
      </c>
      <c r="E87" s="18" t="s">
        <v>24</v>
      </c>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row>
    <row r="88" spans="2:32">
      <c r="B88" s="20"/>
      <c r="C88" s="25" t="s">
        <v>808</v>
      </c>
      <c r="D88" s="22">
        <f t="shared" si="47"/>
        <v>0</v>
      </c>
      <c r="E88" s="18" t="s">
        <v>24</v>
      </c>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row>
    <row r="89" spans="2:32">
      <c r="B89" s="20"/>
      <c r="C89" s="21" t="s">
        <v>809</v>
      </c>
      <c r="D89" s="22">
        <f t="shared" si="47"/>
        <v>0</v>
      </c>
      <c r="E89" s="18" t="s">
        <v>24</v>
      </c>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row>
    <row r="90" s="3" customFormat="1" spans="2:32">
      <c r="B90" s="52" t="s">
        <v>810</v>
      </c>
      <c r="C90" s="53" t="s">
        <v>811</v>
      </c>
      <c r="D90" s="49">
        <f ca="1" t="shared" si="47"/>
        <v>103943.531654598</v>
      </c>
      <c r="E90" s="54" t="s">
        <v>24</v>
      </c>
      <c r="F90" s="49">
        <f>F51+F71</f>
        <v>0</v>
      </c>
      <c r="G90" s="49">
        <f t="shared" ref="G90:AF90" si="55">G51+G71</f>
        <v>0</v>
      </c>
      <c r="H90" s="49">
        <f t="shared" si="55"/>
        <v>0</v>
      </c>
      <c r="I90" s="49">
        <f t="shared" si="55"/>
        <v>0</v>
      </c>
      <c r="J90" s="49">
        <f t="shared" si="55"/>
        <v>-697.317765817357</v>
      </c>
      <c r="K90" s="49">
        <f t="shared" si="55"/>
        <v>3998.43212252652</v>
      </c>
      <c r="L90" s="49">
        <f t="shared" si="55"/>
        <v>7001.26442427238</v>
      </c>
      <c r="M90" s="49">
        <f t="shared" si="55"/>
        <v>6043.97155183853</v>
      </c>
      <c r="N90" s="49">
        <f t="shared" si="55"/>
        <v>5947.08355714826</v>
      </c>
      <c r="O90" s="49">
        <f t="shared" si="55"/>
        <v>5850.19556245799</v>
      </c>
      <c r="P90" s="49">
        <f t="shared" si="55"/>
        <v>5753.30531113056</v>
      </c>
      <c r="Q90" s="49">
        <f t="shared" si="55"/>
        <v>5656.41731644029</v>
      </c>
      <c r="R90" s="49">
        <f t="shared" si="55"/>
        <v>4562.30012885439</v>
      </c>
      <c r="S90" s="49">
        <f t="shared" si="55"/>
        <v>4468.49059532327</v>
      </c>
      <c r="T90" s="49">
        <f t="shared" si="55"/>
        <v>4384.55593859406</v>
      </c>
      <c r="U90" s="49">
        <f t="shared" si="55"/>
        <v>4300.61932177637</v>
      </c>
      <c r="V90" s="49">
        <f t="shared" si="55"/>
        <v>4216.12658944716</v>
      </c>
      <c r="W90" s="49">
        <f t="shared" si="55"/>
        <v>3997.6982292411</v>
      </c>
      <c r="X90" s="49">
        <f t="shared" si="55"/>
        <v>4696.13017271556</v>
      </c>
      <c r="Y90" s="49">
        <f t="shared" si="55"/>
        <v>5398.27771252028</v>
      </c>
      <c r="Z90" s="49">
        <f t="shared" si="55"/>
        <v>3414.17160459284</v>
      </c>
      <c r="AA90" s="49">
        <f t="shared" si="55"/>
        <v>2263.77675049904</v>
      </c>
      <c r="AB90" s="49">
        <f t="shared" si="55"/>
        <v>2839.79808486346</v>
      </c>
      <c r="AC90" s="49">
        <f t="shared" si="55"/>
        <v>6665.46836172895</v>
      </c>
      <c r="AD90" s="49">
        <f t="shared" si="55"/>
        <v>7115.47291472402</v>
      </c>
      <c r="AE90" s="49">
        <f t="shared" si="55"/>
        <v>7045.57068913818</v>
      </c>
      <c r="AF90" s="49">
        <f ca="1" t="shared" si="55"/>
        <v>-978.277519418345</v>
      </c>
    </row>
    <row r="91" s="2" customFormat="1" spans="2:32">
      <c r="B91" s="48"/>
      <c r="C91" s="270" t="s">
        <v>812</v>
      </c>
      <c r="D91" s="49">
        <f ca="1" t="shared" si="47"/>
        <v>103943.531654598</v>
      </c>
      <c r="E91" s="54" t="s">
        <v>24</v>
      </c>
      <c r="F91" s="49">
        <f>F90-F92</f>
        <v>0</v>
      </c>
      <c r="G91" s="49">
        <f t="shared" ref="G91:AF91" si="56">G90-G92</f>
        <v>0</v>
      </c>
      <c r="H91" s="49">
        <f t="shared" si="56"/>
        <v>0</v>
      </c>
      <c r="I91" s="49">
        <f t="shared" si="56"/>
        <v>0</v>
      </c>
      <c r="J91" s="49">
        <f t="shared" si="56"/>
        <v>-697.317765817357</v>
      </c>
      <c r="K91" s="49">
        <f t="shared" si="56"/>
        <v>3998.43212252652</v>
      </c>
      <c r="L91" s="49">
        <f t="shared" si="56"/>
        <v>7001.26442427238</v>
      </c>
      <c r="M91" s="49">
        <f t="shared" si="56"/>
        <v>6043.97155183853</v>
      </c>
      <c r="N91" s="49">
        <f t="shared" si="56"/>
        <v>5947.08355714826</v>
      </c>
      <c r="O91" s="49">
        <f t="shared" si="56"/>
        <v>5850.19556245799</v>
      </c>
      <c r="P91" s="49">
        <f t="shared" si="56"/>
        <v>5753.30531113056</v>
      </c>
      <c r="Q91" s="49">
        <f t="shared" si="56"/>
        <v>5656.41731644029</v>
      </c>
      <c r="R91" s="49">
        <f t="shared" si="56"/>
        <v>4562.30012885439</v>
      </c>
      <c r="S91" s="49">
        <f t="shared" si="56"/>
        <v>4468.49059532327</v>
      </c>
      <c r="T91" s="49">
        <f t="shared" si="56"/>
        <v>4384.55593859406</v>
      </c>
      <c r="U91" s="49">
        <f t="shared" si="56"/>
        <v>4300.61932177637</v>
      </c>
      <c r="V91" s="49">
        <f t="shared" si="56"/>
        <v>4216.12658944716</v>
      </c>
      <c r="W91" s="49">
        <f t="shared" si="56"/>
        <v>3997.6982292411</v>
      </c>
      <c r="X91" s="49">
        <f t="shared" si="56"/>
        <v>4696.13017271556</v>
      </c>
      <c r="Y91" s="49">
        <f t="shared" si="56"/>
        <v>5398.27771252028</v>
      </c>
      <c r="Z91" s="49">
        <f t="shared" si="56"/>
        <v>3414.17160459284</v>
      </c>
      <c r="AA91" s="49">
        <f t="shared" si="56"/>
        <v>2263.77675049904</v>
      </c>
      <c r="AB91" s="49">
        <f t="shared" si="56"/>
        <v>2839.79808486346</v>
      </c>
      <c r="AC91" s="49">
        <f t="shared" si="56"/>
        <v>6665.46836172895</v>
      </c>
      <c r="AD91" s="49">
        <f t="shared" si="56"/>
        <v>7115.47291472402</v>
      </c>
      <c r="AE91" s="49">
        <f t="shared" si="56"/>
        <v>7045.57068913818</v>
      </c>
      <c r="AF91" s="49">
        <f ca="1" t="shared" si="56"/>
        <v>-978.277519418345</v>
      </c>
    </row>
    <row r="92" spans="2:32">
      <c r="B92" s="20"/>
      <c r="C92" s="21" t="s">
        <v>813</v>
      </c>
      <c r="D92" s="22">
        <f t="shared" si="47"/>
        <v>0</v>
      </c>
      <c r="E92" s="18" t="s">
        <v>24</v>
      </c>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row>
    <row r="93" s="3" customFormat="1" spans="2:32">
      <c r="B93" s="52" t="s">
        <v>814</v>
      </c>
      <c r="C93" s="53" t="s">
        <v>815</v>
      </c>
      <c r="D93" s="49">
        <f t="shared" si="47"/>
        <v>0</v>
      </c>
      <c r="E93" s="54" t="s">
        <v>24</v>
      </c>
      <c r="F93" s="49">
        <f>F94+F95</f>
        <v>0</v>
      </c>
      <c r="G93" s="49">
        <f t="shared" ref="G93:AF93" si="57">G94+G95</f>
        <v>0</v>
      </c>
      <c r="H93" s="49">
        <f t="shared" si="57"/>
        <v>0</v>
      </c>
      <c r="I93" s="49">
        <f t="shared" si="57"/>
        <v>0</v>
      </c>
      <c r="J93" s="49">
        <f t="shared" si="57"/>
        <v>0</v>
      </c>
      <c r="K93" s="49">
        <f t="shared" si="57"/>
        <v>0</v>
      </c>
      <c r="L93" s="49">
        <f t="shared" si="57"/>
        <v>0</v>
      </c>
      <c r="M93" s="49">
        <f t="shared" si="57"/>
        <v>0</v>
      </c>
      <c r="N93" s="49">
        <f t="shared" si="57"/>
        <v>0</v>
      </c>
      <c r="O93" s="49">
        <f t="shared" si="57"/>
        <v>0</v>
      </c>
      <c r="P93" s="49">
        <f t="shared" si="57"/>
        <v>0</v>
      </c>
      <c r="Q93" s="49">
        <f t="shared" si="57"/>
        <v>0</v>
      </c>
      <c r="R93" s="49">
        <f t="shared" si="57"/>
        <v>0</v>
      </c>
      <c r="S93" s="49">
        <f t="shared" si="57"/>
        <v>0</v>
      </c>
      <c r="T93" s="49">
        <f t="shared" si="57"/>
        <v>0</v>
      </c>
      <c r="U93" s="49">
        <f t="shared" si="57"/>
        <v>0</v>
      </c>
      <c r="V93" s="49">
        <f t="shared" si="57"/>
        <v>0</v>
      </c>
      <c r="W93" s="49">
        <f t="shared" si="57"/>
        <v>0</v>
      </c>
      <c r="X93" s="49">
        <f t="shared" si="57"/>
        <v>0</v>
      </c>
      <c r="Y93" s="49">
        <f t="shared" si="57"/>
        <v>0</v>
      </c>
      <c r="Z93" s="49">
        <f t="shared" si="57"/>
        <v>0</v>
      </c>
      <c r="AA93" s="49">
        <f t="shared" si="57"/>
        <v>0</v>
      </c>
      <c r="AB93" s="49">
        <f t="shared" si="57"/>
        <v>0</v>
      </c>
      <c r="AC93" s="49">
        <f t="shared" si="57"/>
        <v>0</v>
      </c>
      <c r="AD93" s="49">
        <f t="shared" si="57"/>
        <v>0</v>
      </c>
      <c r="AE93" s="49">
        <f t="shared" si="57"/>
        <v>0</v>
      </c>
      <c r="AF93" s="49">
        <f t="shared" si="57"/>
        <v>0</v>
      </c>
    </row>
    <row r="94" spans="2:32">
      <c r="B94" s="20"/>
      <c r="C94" s="21" t="s">
        <v>816</v>
      </c>
      <c r="D94" s="22">
        <f t="shared" si="47"/>
        <v>0</v>
      </c>
      <c r="E94" s="18" t="s">
        <v>24</v>
      </c>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row>
    <row r="95" ht="17.25" spans="2:32">
      <c r="B95" s="55"/>
      <c r="C95" s="56" t="s">
        <v>817</v>
      </c>
      <c r="D95" s="57">
        <f t="shared" si="47"/>
        <v>0</v>
      </c>
      <c r="E95" s="58" t="s">
        <v>24</v>
      </c>
      <c r="F95" s="57"/>
      <c r="G95" s="57"/>
      <c r="H95" s="57"/>
      <c r="I95" s="57"/>
      <c r="J95" s="57"/>
      <c r="K95" s="57"/>
      <c r="L95" s="57"/>
      <c r="M95" s="57"/>
      <c r="N95" s="57"/>
      <c r="O95" s="57"/>
      <c r="P95" s="57"/>
      <c r="Q95" s="57"/>
      <c r="R95" s="57"/>
      <c r="S95" s="57"/>
      <c r="T95" s="57"/>
      <c r="U95" s="57"/>
      <c r="V95" s="57"/>
      <c r="W95" s="57"/>
      <c r="X95" s="57"/>
      <c r="Y95" s="57"/>
      <c r="Z95" s="57"/>
      <c r="AA95" s="57"/>
      <c r="AB95" s="57"/>
      <c r="AC95" s="57"/>
      <c r="AD95" s="57"/>
      <c r="AE95" s="57"/>
      <c r="AF95" s="57"/>
    </row>
    <row r="98" ht="21.5" spans="3:3">
      <c r="C98" s="59" t="s">
        <v>818</v>
      </c>
    </row>
    <row r="99" ht="21.5" spans="3:3">
      <c r="C99" s="59" t="s">
        <v>819</v>
      </c>
    </row>
    <row r="100" ht="21.5" spans="3:3">
      <c r="C100" s="59" t="s">
        <v>820</v>
      </c>
    </row>
  </sheetData>
  <mergeCells count="4">
    <mergeCell ref="B3:B4"/>
    <mergeCell ref="C3:C4"/>
    <mergeCell ref="D3:D4"/>
    <mergeCell ref="E3:E4"/>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B1:AF41"/>
  <sheetViews>
    <sheetView showGridLines="0" zoomScale="70" zoomScaleNormal="70" workbookViewId="0">
      <selection activeCell="J18" sqref="J18"/>
    </sheetView>
  </sheetViews>
  <sheetFormatPr defaultColWidth="8.78181818181818" defaultRowHeight="16.5"/>
  <cols>
    <col min="1" max="1" width="2.33636363636364" style="232" customWidth="1"/>
    <col min="2" max="2" width="8.78181818181818" style="232"/>
    <col min="3" max="3" width="31.7818181818182" style="232" customWidth="1"/>
    <col min="4" max="4" width="15.3363636363636" style="232" customWidth="1"/>
    <col min="5" max="5" width="6.66363636363636" style="232" customWidth="1"/>
    <col min="6" max="6" width="14.6636363636364" style="232" customWidth="1"/>
    <col min="7" max="15" width="16.3363636363636" style="232" customWidth="1"/>
    <col min="16" max="21" width="14.6636363636364" style="232" customWidth="1"/>
    <col min="22" max="22" width="13.5545454545455" style="232" customWidth="1"/>
    <col min="23" max="23" width="14.6636363636364" style="232" customWidth="1"/>
    <col min="24" max="32" width="13.5545454545455" style="232" customWidth="1"/>
    <col min="33" max="16384" width="8.78181818181818" style="232"/>
  </cols>
  <sheetData>
    <row r="1" ht="4.5" customHeight="1"/>
    <row r="2" ht="21.6" customHeight="1" spans="2:2">
      <c r="B2" s="233" t="s">
        <v>851</v>
      </c>
    </row>
    <row r="3" spans="2:32">
      <c r="B3" s="234" t="s">
        <v>15</v>
      </c>
      <c r="C3" s="9" t="s">
        <v>463</v>
      </c>
      <c r="D3" s="9" t="s">
        <v>17</v>
      </c>
      <c r="E3" s="9" t="s">
        <v>18</v>
      </c>
      <c r="F3" s="10" t="s">
        <v>464</v>
      </c>
      <c r="G3" s="10" t="s">
        <v>465</v>
      </c>
      <c r="H3" s="10" t="s">
        <v>466</v>
      </c>
      <c r="I3" s="37">
        <v>45107</v>
      </c>
      <c r="J3" s="263">
        <v>45291</v>
      </c>
      <c r="K3" s="263">
        <v>45657</v>
      </c>
      <c r="L3" s="263">
        <v>46022</v>
      </c>
      <c r="M3" s="263">
        <v>46387</v>
      </c>
      <c r="N3" s="263">
        <v>46752</v>
      </c>
      <c r="O3" s="263">
        <v>47118</v>
      </c>
      <c r="P3" s="263">
        <v>47483</v>
      </c>
      <c r="Q3" s="263">
        <v>47848</v>
      </c>
      <c r="R3" s="263">
        <v>48213</v>
      </c>
      <c r="S3" s="263">
        <v>48579</v>
      </c>
      <c r="T3" s="263">
        <v>48944</v>
      </c>
      <c r="U3" s="263">
        <v>49309</v>
      </c>
      <c r="V3" s="263">
        <v>49674</v>
      </c>
      <c r="W3" s="263">
        <v>50040</v>
      </c>
      <c r="X3" s="263">
        <v>50405</v>
      </c>
      <c r="Y3" s="263">
        <v>50770</v>
      </c>
      <c r="Z3" s="263">
        <v>51135</v>
      </c>
      <c r="AA3" s="263">
        <v>51501</v>
      </c>
      <c r="AB3" s="263">
        <v>51866</v>
      </c>
      <c r="AC3" s="263">
        <v>52231</v>
      </c>
      <c r="AD3" s="263">
        <v>52596</v>
      </c>
      <c r="AE3" s="263">
        <v>52962</v>
      </c>
      <c r="AF3" s="263">
        <v>53051</v>
      </c>
    </row>
    <row r="4" spans="2:32">
      <c r="B4" s="235"/>
      <c r="C4" s="13"/>
      <c r="D4" s="13"/>
      <c r="E4" s="13"/>
      <c r="F4" s="14">
        <v>1</v>
      </c>
      <c r="G4" s="14">
        <v>2</v>
      </c>
      <c r="H4" s="14">
        <v>3</v>
      </c>
      <c r="I4" s="14">
        <v>4</v>
      </c>
      <c r="J4" s="38">
        <v>5</v>
      </c>
      <c r="K4" s="38">
        <v>6</v>
      </c>
      <c r="L4" s="38">
        <v>7</v>
      </c>
      <c r="M4" s="38">
        <v>8</v>
      </c>
      <c r="N4" s="38">
        <v>9</v>
      </c>
      <c r="O4" s="38">
        <v>10</v>
      </c>
      <c r="P4" s="38">
        <v>11</v>
      </c>
      <c r="Q4" s="38">
        <v>12</v>
      </c>
      <c r="R4" s="38">
        <v>13</v>
      </c>
      <c r="S4" s="38">
        <v>14</v>
      </c>
      <c r="T4" s="38">
        <v>15</v>
      </c>
      <c r="U4" s="38">
        <v>16</v>
      </c>
      <c r="V4" s="38">
        <v>17</v>
      </c>
      <c r="W4" s="38">
        <v>18</v>
      </c>
      <c r="X4" s="38">
        <v>19</v>
      </c>
      <c r="Y4" s="38">
        <v>20</v>
      </c>
      <c r="Z4" s="38">
        <v>21</v>
      </c>
      <c r="AA4" s="38">
        <v>22</v>
      </c>
      <c r="AB4" s="38">
        <v>23</v>
      </c>
      <c r="AC4" s="38">
        <v>24</v>
      </c>
      <c r="AD4" s="38">
        <v>25</v>
      </c>
      <c r="AE4" s="38">
        <v>26</v>
      </c>
      <c r="AF4" s="38">
        <v>27</v>
      </c>
    </row>
    <row r="5" spans="2:32">
      <c r="B5" s="236">
        <v>1</v>
      </c>
      <c r="C5" s="237" t="s">
        <v>822</v>
      </c>
      <c r="D5" s="238">
        <f ca="1">SUM(F5:AF5)</f>
        <v>415873.765085</v>
      </c>
      <c r="E5" s="18" t="s">
        <v>24</v>
      </c>
      <c r="F5" s="19"/>
      <c r="G5" s="19"/>
      <c r="H5" s="19"/>
      <c r="I5" s="19"/>
      <c r="J5" s="264">
        <f ca="1">J6+J10+J13+J16+J17+J15</f>
        <v>4801.0767246</v>
      </c>
      <c r="K5" s="264">
        <f ca="1" t="shared" ref="K5:AF5" si="0">K6+K10+K13+K16+K17+K15</f>
        <v>16477.44491065</v>
      </c>
      <c r="L5" s="264">
        <f ca="1" t="shared" si="0"/>
        <v>23364.69016475</v>
      </c>
      <c r="M5" s="264">
        <f ca="1" t="shared" si="0"/>
        <v>22042.536225</v>
      </c>
      <c r="N5" s="264">
        <f ca="1" t="shared" si="0"/>
        <v>21153.074768</v>
      </c>
      <c r="O5" s="264">
        <f ca="1" t="shared" si="0"/>
        <v>21056.814728</v>
      </c>
      <c r="P5" s="264">
        <f ca="1" t="shared" si="0"/>
        <v>20960.552288</v>
      </c>
      <c r="Q5" s="264">
        <f ca="1" t="shared" si="0"/>
        <v>20864.291648</v>
      </c>
      <c r="R5" s="264">
        <f ca="1" t="shared" si="0"/>
        <v>20768.029208</v>
      </c>
      <c r="S5" s="264">
        <f ca="1" t="shared" si="0"/>
        <v>20671.768568</v>
      </c>
      <c r="T5" s="264">
        <f ca="1" t="shared" si="0"/>
        <v>20575.508528</v>
      </c>
      <c r="U5" s="264">
        <f ca="1" t="shared" si="0"/>
        <v>20479.246088</v>
      </c>
      <c r="V5" s="264">
        <f ca="1" t="shared" si="0"/>
        <v>20382.985448</v>
      </c>
      <c r="W5" s="264">
        <f ca="1" t="shared" si="0"/>
        <v>20286.723008</v>
      </c>
      <c r="X5" s="264">
        <f ca="1" t="shared" si="0"/>
        <v>20190.462368</v>
      </c>
      <c r="Y5" s="264">
        <f ca="1" t="shared" si="0"/>
        <v>20094.202328</v>
      </c>
      <c r="Z5" s="264">
        <f ca="1" t="shared" si="0"/>
        <v>17671.990112</v>
      </c>
      <c r="AA5" s="264">
        <f ca="1" t="shared" si="0"/>
        <v>15689.114684</v>
      </c>
      <c r="AB5" s="264">
        <f ca="1" t="shared" si="0"/>
        <v>15284.437928</v>
      </c>
      <c r="AC5" s="264">
        <f ca="1" t="shared" si="0"/>
        <v>15210.511688</v>
      </c>
      <c r="AD5" s="264">
        <f ca="1" t="shared" si="0"/>
        <v>15136.586048</v>
      </c>
      <c r="AE5" s="264">
        <f ca="1" t="shared" si="0"/>
        <v>15062.658008</v>
      </c>
      <c r="AF5" s="264">
        <f ca="1" t="shared" si="0"/>
        <v>7649.059616</v>
      </c>
    </row>
    <row r="6" spans="2:32">
      <c r="B6" s="239">
        <v>1.1</v>
      </c>
      <c r="C6" s="240" t="s">
        <v>648</v>
      </c>
      <c r="D6" s="241">
        <f>SUM(F6:AF6)</f>
        <v>397985.706342</v>
      </c>
      <c r="E6" s="18" t="s">
        <v>24</v>
      </c>
      <c r="F6" s="44"/>
      <c r="G6" s="44"/>
      <c r="H6" s="44"/>
      <c r="I6" s="44"/>
      <c r="J6" s="34">
        <f t="shared" ref="J6:O6" si="1">SUM(J7:J9)</f>
        <v>1497.1677906</v>
      </c>
      <c r="K6" s="34">
        <f t="shared" si="1"/>
        <v>13167.74591865</v>
      </c>
      <c r="L6" s="34">
        <f t="shared" si="1"/>
        <v>20003.44016475</v>
      </c>
      <c r="M6" s="34">
        <f t="shared" si="1"/>
        <v>20929.335408</v>
      </c>
      <c r="N6" s="34">
        <f t="shared" si="1"/>
        <v>20833.074768</v>
      </c>
      <c r="O6" s="34">
        <f t="shared" si="1"/>
        <v>20736.814728</v>
      </c>
      <c r="P6" s="34">
        <f t="shared" ref="P6:AF6" si="2">SUM(P7:P9)</f>
        <v>20640.552288</v>
      </c>
      <c r="Q6" s="34">
        <f t="shared" si="2"/>
        <v>20544.291648</v>
      </c>
      <c r="R6" s="34">
        <f t="shared" si="2"/>
        <v>20448.029208</v>
      </c>
      <c r="S6" s="34">
        <f t="shared" si="2"/>
        <v>20351.768568</v>
      </c>
      <c r="T6" s="34">
        <f t="shared" si="2"/>
        <v>20255.508528</v>
      </c>
      <c r="U6" s="34">
        <f t="shared" si="2"/>
        <v>20159.246088</v>
      </c>
      <c r="V6" s="34">
        <f t="shared" si="2"/>
        <v>20062.985448</v>
      </c>
      <c r="W6" s="34">
        <f t="shared" si="2"/>
        <v>19966.723008</v>
      </c>
      <c r="X6" s="34">
        <f t="shared" si="2"/>
        <v>19870.462368</v>
      </c>
      <c r="Y6" s="34">
        <f t="shared" si="2"/>
        <v>19774.202328</v>
      </c>
      <c r="Z6" s="34">
        <f t="shared" si="2"/>
        <v>17351.990112</v>
      </c>
      <c r="AA6" s="34">
        <f t="shared" si="2"/>
        <v>15369.114684</v>
      </c>
      <c r="AB6" s="34">
        <f t="shared" si="2"/>
        <v>14964.437928</v>
      </c>
      <c r="AC6" s="34">
        <f t="shared" si="2"/>
        <v>14890.511688</v>
      </c>
      <c r="AD6" s="34">
        <f t="shared" si="2"/>
        <v>14816.586048</v>
      </c>
      <c r="AE6" s="34">
        <f t="shared" si="2"/>
        <v>14742.658008</v>
      </c>
      <c r="AF6" s="34">
        <f t="shared" si="2"/>
        <v>6609.059616</v>
      </c>
    </row>
    <row r="7" spans="2:32">
      <c r="B7" s="239"/>
      <c r="C7" s="242" t="s">
        <v>649</v>
      </c>
      <c r="D7" s="241">
        <f t="shared" ref="D7:D8" si="3">SUM(F7:AF7)</f>
        <v>305303.868342</v>
      </c>
      <c r="E7" s="18" t="s">
        <v>24</v>
      </c>
      <c r="F7" s="44"/>
      <c r="G7" s="44"/>
      <c r="H7" s="44"/>
      <c r="I7" s="44"/>
      <c r="J7" s="34">
        <f>('表4-收入税金表'!J7+'表4-收入税金表'!J35)*参数输入表!$I$564+('表4-收入税金表'!I7+'表4-收入税金表'!I35)*(1-参数输入表!$I$564)</f>
        <v>1076.8509246</v>
      </c>
      <c r="K7" s="34">
        <f>('表4-收入税金表'!K7+'表4-收入税金表'!K35)*参数输入表!$I$564+('表4-收入税金表'!J7+'表4-收入税金表'!J35)*(1-参数输入表!$I$564)</f>
        <v>9471.00259215</v>
      </c>
      <c r="L7" s="34">
        <f>('表4-收入税金表'!L7+'表4-收入税金表'!L35)*参数输入表!$I$564+('表4-收入税金表'!K7+'表4-收入税金表'!K35)*(1-参数输入表!$I$564)</f>
        <v>14387.62621725</v>
      </c>
      <c r="M7" s="34">
        <f>('表4-收入税金表'!M7+'表4-收入税金表'!M35)*参数输入表!$I$564+('表4-收入税金表'!L7+'表4-收入税金表'!L35)*(1-参数输入表!$I$564)</f>
        <v>15053.584128</v>
      </c>
      <c r="N7" s="34">
        <f>('表4-收入税金表'!N7+'表4-收入税金表'!N35)*参数输入表!$I$564+('表4-收入税金表'!M7+'表4-收入税金表'!M35)*(1-参数输入表!$I$564)</f>
        <v>14984.347488</v>
      </c>
      <c r="O7" s="34">
        <f>('表4-收入税金表'!O7+'表4-收入税金表'!O35)*参数输入表!$I$564+('表4-收入税金表'!N7+'表4-收入税金表'!N35)*(1-参数输入表!$I$564)</f>
        <v>14915.110848</v>
      </c>
      <c r="P7" s="34">
        <f>('表4-收入税金表'!P7+'表4-收入税金表'!P35)*参数输入表!$I$564+('表4-收入税金表'!O7+'表4-收入税金表'!O35)*(1-参数输入表!$I$564)</f>
        <v>14845.874208</v>
      </c>
      <c r="Q7" s="34">
        <f>('表4-收入税金表'!Q7+'表4-收入税金表'!Q35)*参数输入表!$I$564+('表4-收入税金表'!P7+'表4-收入税金表'!P35)*(1-参数输入表!$I$564)</f>
        <v>14776.637568</v>
      </c>
      <c r="R7" s="34">
        <f>('表4-收入税金表'!R7+'表4-收入税金表'!R35)*参数输入表!$I$564+('表4-收入税金表'!Q7+'表4-收入税金表'!Q35)*(1-参数输入表!$I$564)</f>
        <v>14707.400928</v>
      </c>
      <c r="S7" s="34">
        <f>('表4-收入税金表'!S7+'表4-收入税金表'!S35)*参数输入表!$I$564+('表4-收入税金表'!R7+'表4-收入税金表'!R35)*(1-参数输入表!$I$564)</f>
        <v>14638.164288</v>
      </c>
      <c r="T7" s="34">
        <f>('表4-收入税金表'!T7+'表4-收入税金表'!T35)*参数输入表!$I$564+('表4-收入税金表'!S7+'表4-收入税金表'!S35)*(1-参数输入表!$I$564)</f>
        <v>14568.927648</v>
      </c>
      <c r="U7" s="34">
        <f>('表4-收入税金表'!U7+'表4-收入税金表'!U35)*参数输入表!$I$564+('表4-收入税金表'!T7+'表4-收入税金表'!T35)*(1-参数输入表!$I$564)</f>
        <v>14499.691008</v>
      </c>
      <c r="V7" s="34">
        <f>('表4-收入税金表'!V7+'表4-收入税金表'!V35)*参数输入表!$I$564+('表4-收入税金表'!U7+'表4-收入税金表'!U35)*(1-参数输入表!$I$564)</f>
        <v>14430.454368</v>
      </c>
      <c r="W7" s="34">
        <f>('表4-收入税金表'!W7+'表4-收入税金表'!W35)*参数输入表!$I$564+('表4-收入税金表'!V7+'表4-收入税金表'!V35)*(1-参数输入表!$I$564)</f>
        <v>14361.217728</v>
      </c>
      <c r="X7" s="34">
        <f>('表4-收入税金表'!X7+'表4-收入税金表'!X35)*参数输入表!$I$564+('表4-收入税金表'!W7+'表4-收入税金表'!W35)*(1-参数输入表!$I$564)</f>
        <v>14291.981088</v>
      </c>
      <c r="Y7" s="34">
        <f>('表4-收入税金表'!Y7+'表4-收入税金表'!Y35)*参数输入表!$I$564+('表4-收入税金表'!X7+'表4-收入税金表'!X35)*(1-参数输入表!$I$564)</f>
        <v>14222.744448</v>
      </c>
      <c r="Z7" s="34">
        <f>('表4-收入税金表'!Z7+'表4-收入税金表'!Z35)*参数输入表!$I$564+('表4-收入税金表'!Y7+'表4-收入税金表'!Y35)*(1-参数输入表!$I$564)</f>
        <v>14153.507808</v>
      </c>
      <c r="AA7" s="34">
        <f>('表4-收入税金表'!AA7+'表4-收入税金表'!AA35)*参数输入表!$I$564+('表4-收入税金表'!Z7+'表4-收入税金表'!Z35)*(1-参数输入表!$I$564)</f>
        <v>14084.271168</v>
      </c>
      <c r="AB7" s="34">
        <f>('表4-收入税金表'!AB7+'表4-收入税金表'!AB35)*参数输入表!$I$564+('表4-收入税金表'!AA7+'表4-收入税金表'!AA35)*(1-参数输入表!$I$564)</f>
        <v>14015.034528</v>
      </c>
      <c r="AC7" s="34">
        <f>('表4-收入税金表'!AC7+'表4-收入税金表'!AC35)*参数输入表!$I$564+('表4-收入税金表'!AB7+'表4-收入税金表'!AB35)*(1-参数输入表!$I$564)</f>
        <v>13945.797888</v>
      </c>
      <c r="AD7" s="34">
        <f>('表4-收入税金表'!AD7+'表4-收入税金表'!AD35)*参数输入表!$I$564+('表4-收入税金表'!AC7+'表4-收入税金表'!AC35)*(1-参数输入表!$I$564)</f>
        <v>13876.561248</v>
      </c>
      <c r="AE7" s="34">
        <f>('表4-收入税金表'!AE7+'表4-收入税金表'!AE35)*参数输入表!$I$564+('表4-收入税金表'!AD7+'表4-收入税金表'!AD35)*(1-参数输入表!$I$564)</f>
        <v>13807.324608</v>
      </c>
      <c r="AF7" s="63">
        <f>('表4-收入税金表'!AF7+'表4-收入税金表'!AF35)+('表4-收入税金表'!AE7+'表4-收入税金表'!AE35)*(1-参数输入表!$I$564)</f>
        <v>6189.755616</v>
      </c>
    </row>
    <row r="8" spans="2:32">
      <c r="B8" s="239"/>
      <c r="C8" s="243" t="s">
        <v>386</v>
      </c>
      <c r="D8" s="244">
        <f t="shared" si="3"/>
        <v>72000</v>
      </c>
      <c r="E8" s="245" t="s">
        <v>24</v>
      </c>
      <c r="F8" s="44"/>
      <c r="G8" s="44"/>
      <c r="H8" s="44"/>
      <c r="I8" s="44"/>
      <c r="J8" s="44">
        <f>('表4-收入税金表'!J15+'表4-收入税金表'!J36)*参数输入表!$I$569+('表4-收入税金表'!I15+'表4-收入税金表'!I36)*(1-参数输入表!$I$569)</f>
        <v>347.371266</v>
      </c>
      <c r="K8" s="44">
        <f>('表4-收入税金表'!K15+'表4-收入税金表'!K36)*参数输入表!$I$569+('表4-收入税金表'!J15+'表4-收入税金表'!J36)*(1-参数输入表!$I$569)</f>
        <v>3055.1621265</v>
      </c>
      <c r="L8" s="44">
        <f>('表4-收入税金表'!L15+'表4-收入税金表'!L36)*参数输入表!$I$569+('表4-收入税金表'!K15+'表4-收入税金表'!K36)*(1-参数输入表!$I$569)</f>
        <v>4641.1697475</v>
      </c>
      <c r="M8" s="44">
        <f>('表4-收入税金表'!M15+'表4-收入税金表'!M36)*参数输入表!$I$569+('表4-收入税金表'!L15+'表4-收入税金表'!L36)*(1-参数输入表!$I$569)</f>
        <v>4855.99488</v>
      </c>
      <c r="N8" s="44">
        <f>('表4-收入税金表'!N15+'表4-收入税金表'!N36)*参数输入表!$I$569+('表4-收入税金表'!M15+'表4-收入税金表'!M36)*(1-参数输入表!$I$569)</f>
        <v>4833.66048</v>
      </c>
      <c r="O8" s="44">
        <f>('表4-收入税金表'!O15+'表4-收入税金表'!O36)*参数输入表!$I$569+('表4-收入税金表'!N15+'表4-收入税金表'!N36)*(1-参数输入表!$I$569)</f>
        <v>4811.32608</v>
      </c>
      <c r="P8" s="44">
        <f>('表4-收入税金表'!P15+'表4-收入税金表'!P36)*参数输入表!$I$569+('表4-收入税金表'!O15+'表4-收入税金表'!O36)*(1-参数输入表!$I$569)</f>
        <v>4788.99168</v>
      </c>
      <c r="Q8" s="44">
        <f>('表4-收入税金表'!Q15+'表4-收入税金表'!Q36)*参数输入表!$I$569+('表4-收入税金表'!P15+'表4-收入税金表'!P36)*(1-参数输入表!$I$569)</f>
        <v>4766.65728</v>
      </c>
      <c r="R8" s="44">
        <f>('表4-收入税金表'!R15+'表4-收入税金表'!R36)*参数输入表!$I$569+('表4-收入税金表'!Q15+'表4-收入税金表'!Q36)*(1-参数输入表!$I$569)</f>
        <v>4744.32288</v>
      </c>
      <c r="S8" s="44">
        <f>('表4-收入税金表'!S15+'表4-收入税金表'!S36)*参数输入表!$I$569+('表4-收入税金表'!R15+'表4-收入税金表'!R36)*(1-参数输入表!$I$569)</f>
        <v>4721.98848</v>
      </c>
      <c r="T8" s="44">
        <f>('表4-收入税金表'!T15+'表4-收入税金表'!T36)*参数输入表!$I$569+('表4-收入税金表'!S15+'表4-收入税金表'!S36)*(1-参数输入表!$I$569)</f>
        <v>4699.65408</v>
      </c>
      <c r="U8" s="44">
        <f>('表4-收入税金表'!U15+'表4-收入税金表'!U36)*参数输入表!$I$569+('表4-收入税金表'!T15+'表4-收入税金表'!T36)*(1-参数输入表!$I$569)</f>
        <v>4677.31968</v>
      </c>
      <c r="V8" s="44">
        <f>('表4-收入税金表'!V15+'表4-收入税金表'!V36)*参数输入表!$I$569+('表4-收入税金表'!U15+'表4-收入税金表'!U36)*(1-参数输入表!$I$569)</f>
        <v>4654.98528</v>
      </c>
      <c r="W8" s="44">
        <f>('表4-收入税金表'!W15+'表4-收入税金表'!W36)*参数输入表!$I$569+('表4-收入税金表'!V15+'表4-收入税金表'!V36)*(1-参数输入表!$I$569)</f>
        <v>4632.65088</v>
      </c>
      <c r="X8" s="44">
        <f>('表4-收入税金表'!X15+'表4-收入税金表'!X36)*参数输入表!$I$569+('表4-收入税金表'!W15+'表4-收入税金表'!W36)*(1-参数输入表!$I$569)</f>
        <v>4610.31648</v>
      </c>
      <c r="Y8" s="44">
        <f>('表4-收入税金表'!Y15+'表4-收入税金表'!Y36)*参数输入表!$I$569+('表4-收入税金表'!X15+'表4-收入税金表'!X36)*(1-参数输入表!$I$569)</f>
        <v>4587.98208</v>
      </c>
      <c r="Z8" s="44">
        <f>('表4-收入税金表'!Z15+'表4-收入税金表'!Z36)*参数输入表!$I$569+('表4-收入税金表'!Y15+'表4-收入税金表'!Y36)*(1-参数输入表!$I$569)</f>
        <v>2239.697904</v>
      </c>
      <c r="AA8" s="44">
        <f>('表4-收入税金表'!AA15+'表4-收入税金表'!AA36)*参数输入表!$I$569+('表4-收入税金表'!Z15+'表4-收入税金表'!Z36)*(1-参数输入表!$I$569)</f>
        <v>330.748716</v>
      </c>
      <c r="AB8" s="44">
        <f>('表4-收入税金表'!AB15+'表4-收入税金表'!AB36)*参数输入表!$I$569+('表4-收入税金表'!AA15+'表4-收入税金表'!AA36)*(1-参数输入表!$I$569)</f>
        <v>0</v>
      </c>
      <c r="AC8" s="44">
        <f>('表4-收入税金表'!AC15+'表4-收入税金表'!AC36)*参数输入表!$I$569+('表4-收入税金表'!AB15+'表4-收入税金表'!AB36)*(1-参数输入表!$I$569)</f>
        <v>0</v>
      </c>
      <c r="AD8" s="44">
        <f>('表4-收入税金表'!AD15+'表4-收入税金表'!AD36)*参数输入表!$I$569+('表4-收入税金表'!AC15+'表4-收入税金表'!AC36)*(1-参数输入表!$I$569)</f>
        <v>0</v>
      </c>
      <c r="AE8" s="44">
        <f>('表4-收入税金表'!AE15+'表4-收入税金表'!AE36)*参数输入表!$I$569+('表4-收入税金表'!AD15+'表4-收入税金表'!AD36)*(1-参数输入表!$I$569)</f>
        <v>0</v>
      </c>
      <c r="AF8" s="44">
        <f>('表4-收入税金表'!AF15+'表4-收入税金表'!AF36)*参数输入表!$I$569+('表4-收入税金表'!AE15+'表4-收入税金表'!AE36)*(1-参数输入表!$I$569)</f>
        <v>0</v>
      </c>
    </row>
    <row r="9" spans="2:32">
      <c r="B9" s="239"/>
      <c r="C9" s="242" t="s">
        <v>390</v>
      </c>
      <c r="D9" s="241">
        <f t="shared" ref="D9:D20" si="4">SUM(F9:AF9)</f>
        <v>20681.838</v>
      </c>
      <c r="E9" s="18" t="s">
        <v>24</v>
      </c>
      <c r="F9" s="44"/>
      <c r="G9" s="44"/>
      <c r="H9" s="44"/>
      <c r="I9" s="44"/>
      <c r="J9" s="34">
        <f>('表4-收入税金表'!J19+'表4-收入税金表'!J37)*参数输入表!$I$575+('表4-收入税金表'!I19+'表4-收入税金表'!I37)*(1-参数输入表!$I$575)</f>
        <v>72.9456</v>
      </c>
      <c r="K9" s="34">
        <f>('表4-收入税金表'!K19+'表4-收入税金表'!K37)*参数输入表!$I$575+('表4-收入税金表'!J19+'表4-收入税金表'!J37)*(1-参数输入表!$I$575)</f>
        <v>641.5812</v>
      </c>
      <c r="L9" s="34">
        <f>('表4-收入税金表'!L19+'表4-收入税金表'!L37)*参数输入表!$I$575+('表4-收入税金表'!K19+'表4-收入税金表'!K37)*(1-参数输入表!$I$575)</f>
        <v>974.6442</v>
      </c>
      <c r="M9" s="34">
        <f>('表4-收入税金表'!M19+'表4-收入税金表'!M37)*参数输入表!$I$575+('表4-收入税金表'!L19+'表4-收入税金表'!L37)*(1-参数输入表!$I$575)</f>
        <v>1019.7564</v>
      </c>
      <c r="N9" s="34">
        <f>('表4-收入税金表'!N19+'表4-收入税金表'!N37)*参数输入表!$I$575+('表4-收入税金表'!M19+'表4-收入税金表'!M37)*(1-参数输入表!$I$575)</f>
        <v>1015.0668</v>
      </c>
      <c r="O9" s="34">
        <f>('表4-收入税金表'!O19+'表4-收入税金表'!O37)*参数输入表!$I$575+('表4-收入税金表'!N19+'表4-收入税金表'!N37)*(1-参数输入表!$I$575)</f>
        <v>1010.3778</v>
      </c>
      <c r="P9" s="34">
        <f>('表4-收入税金表'!P19+'表4-收入税金表'!P37)*参数输入表!$I$575+('表4-收入税金表'!O19+'表4-收入税金表'!O37)*(1-参数输入表!$I$575)</f>
        <v>1005.6864</v>
      </c>
      <c r="Q9" s="34">
        <f>('表4-收入税金表'!Q19+'表4-收入税金表'!Q37)*参数输入表!$I$575+('表4-收入税金表'!P19+'表4-收入税金表'!P37)*(1-参数输入表!$I$575)</f>
        <v>1000.9968</v>
      </c>
      <c r="R9" s="34">
        <f>('表4-收入税金表'!R19+'表4-收入税金表'!R37)*参数输入表!$I$575+('表4-收入税金表'!Q19+'表4-收入税金表'!Q37)*(1-参数输入表!$I$575)</f>
        <v>996.3054</v>
      </c>
      <c r="S9" s="34">
        <f>('表4-收入税金表'!S19+'表4-收入税金表'!S37)*参数输入表!$I$575+('表4-收入税金表'!R19+'表4-收入税金表'!R37)*(1-参数输入表!$I$575)</f>
        <v>991.6158</v>
      </c>
      <c r="T9" s="34">
        <f>('表4-收入税金表'!T19+'表4-收入税金表'!T37)*参数输入表!$I$575+('表4-收入税金表'!S19+'表4-收入税金表'!S37)*(1-参数输入表!$I$575)</f>
        <v>986.9268</v>
      </c>
      <c r="U9" s="34">
        <f>('表4-收入税金表'!U19+'表4-收入税金表'!U37)*参数输入表!$I$575+('表4-收入税金表'!T19+'表4-收入税金表'!T37)*(1-参数输入表!$I$575)</f>
        <v>982.2354</v>
      </c>
      <c r="V9" s="34">
        <f>('表4-收入税金表'!V19+'表4-收入税金表'!V37)*参数输入表!$I$575+('表4-收入税金表'!U19+'表4-收入税金表'!U37)*(1-参数输入表!$I$575)</f>
        <v>977.5458</v>
      </c>
      <c r="W9" s="34">
        <f>('表4-收入税金表'!W19+'表4-收入税金表'!W37)*参数输入表!$I$575+('表4-收入税金表'!V19+'表4-收入税金表'!V37)*(1-参数输入表!$I$575)</f>
        <v>972.8544</v>
      </c>
      <c r="X9" s="34">
        <f>('表4-收入税金表'!X19+'表4-收入税金表'!X37)*参数输入表!$I$575+('表4-收入税金表'!W19+'表4-收入税金表'!W37)*(1-参数输入表!$I$575)</f>
        <v>968.1648</v>
      </c>
      <c r="Y9" s="34">
        <f>('表4-收入税金表'!Y19+'表4-收入税金表'!Y37)*参数输入表!$I$575+('表4-收入税金表'!X19+'表4-收入税金表'!X37)*(1-参数输入表!$I$575)</f>
        <v>963.4758</v>
      </c>
      <c r="Z9" s="34">
        <f>('表4-收入税金表'!Z19+'表4-收入税金表'!Z37)*参数输入表!$I$575+('表4-收入税金表'!Y19+'表4-收入税金表'!Y37)*(1-参数输入表!$I$575)</f>
        <v>958.7844</v>
      </c>
      <c r="AA9" s="34">
        <f>('表4-收入税金表'!AA19+'表4-收入税金表'!AA37)*参数输入表!$I$575+('表4-收入税金表'!Z19+'表4-收入税金表'!Z37)*(1-参数输入表!$I$575)</f>
        <v>954.0948</v>
      </c>
      <c r="AB9" s="34">
        <f>('表4-收入税金表'!AB19+'表4-收入税金表'!AB37)*参数输入表!$I$575+('表4-收入税金表'!AA19+'表4-收入税金表'!AA37)*(1-参数输入表!$I$575)</f>
        <v>949.4034</v>
      </c>
      <c r="AC9" s="34">
        <f>('表4-收入税金表'!AC19+'表4-收入税金表'!AC37)*参数输入表!$I$575+('表4-收入税金表'!AB19+'表4-收入税金表'!AB37)*(1-参数输入表!$I$575)</f>
        <v>944.7138</v>
      </c>
      <c r="AD9" s="34">
        <f>('表4-收入税金表'!AD19+'表4-收入税金表'!AD37)*参数输入表!$I$575+('表4-收入税金表'!AC19+'表4-收入税金表'!AC37)*(1-参数输入表!$I$575)</f>
        <v>940.0248</v>
      </c>
      <c r="AE9" s="34">
        <f>('表4-收入税金表'!AE19+'表4-收入税金表'!AE37)*参数输入表!$I$575+('表4-收入税金表'!AD19+'表4-收入税金表'!AD37)*(1-参数输入表!$I$575)</f>
        <v>935.3334</v>
      </c>
      <c r="AF9" s="63">
        <f>('表4-收入税金表'!AF19+'表4-收入税金表'!AF37)+('表4-收入税金表'!AE19+'表4-收入税金表'!AE37)*(1-参数输入表!$I$575)</f>
        <v>419.304</v>
      </c>
    </row>
    <row r="10" spans="2:32">
      <c r="B10" s="239">
        <v>1.2</v>
      </c>
      <c r="C10" s="240" t="s">
        <v>394</v>
      </c>
      <c r="D10" s="241">
        <f ca="1" t="shared" si="4"/>
        <v>6750.75</v>
      </c>
      <c r="E10" s="18" t="s">
        <v>24</v>
      </c>
      <c r="F10" s="44"/>
      <c r="G10" s="44"/>
      <c r="H10" s="44"/>
      <c r="I10" s="44"/>
      <c r="J10" s="34">
        <f t="shared" ref="J10:P10" si="5">SUM(J11:J12)</f>
        <v>14.125</v>
      </c>
      <c r="K10" s="34">
        <f t="shared" si="5"/>
        <v>135.375</v>
      </c>
      <c r="L10" s="34">
        <f t="shared" si="5"/>
        <v>281.25</v>
      </c>
      <c r="M10" s="34">
        <f t="shared" si="5"/>
        <v>320</v>
      </c>
      <c r="N10" s="34">
        <f t="shared" si="5"/>
        <v>320</v>
      </c>
      <c r="O10" s="34">
        <f t="shared" si="5"/>
        <v>320</v>
      </c>
      <c r="P10" s="34">
        <f t="shared" si="5"/>
        <v>320</v>
      </c>
      <c r="Q10" s="34">
        <f t="shared" ref="Q10:AF10" si="6">SUM(Q11:Q12)</f>
        <v>320</v>
      </c>
      <c r="R10" s="34">
        <f t="shared" si="6"/>
        <v>320</v>
      </c>
      <c r="S10" s="34">
        <f t="shared" si="6"/>
        <v>320</v>
      </c>
      <c r="T10" s="34">
        <f t="shared" si="6"/>
        <v>320</v>
      </c>
      <c r="U10" s="34">
        <f t="shared" si="6"/>
        <v>320</v>
      </c>
      <c r="V10" s="34">
        <f t="shared" si="6"/>
        <v>320</v>
      </c>
      <c r="W10" s="34">
        <f t="shared" si="6"/>
        <v>320</v>
      </c>
      <c r="X10" s="34">
        <f t="shared" si="6"/>
        <v>320</v>
      </c>
      <c r="Y10" s="34">
        <f t="shared" si="6"/>
        <v>320</v>
      </c>
      <c r="Z10" s="34">
        <f t="shared" si="6"/>
        <v>320</v>
      </c>
      <c r="AA10" s="34">
        <f t="shared" si="6"/>
        <v>320</v>
      </c>
      <c r="AB10" s="34">
        <f t="shared" si="6"/>
        <v>320</v>
      </c>
      <c r="AC10" s="34">
        <f t="shared" si="6"/>
        <v>320</v>
      </c>
      <c r="AD10" s="34">
        <f t="shared" si="6"/>
        <v>320</v>
      </c>
      <c r="AE10" s="34">
        <f t="shared" si="6"/>
        <v>320</v>
      </c>
      <c r="AF10" s="34">
        <f ca="1" t="shared" si="6"/>
        <v>240</v>
      </c>
    </row>
    <row r="11" spans="2:32">
      <c r="B11" s="239"/>
      <c r="C11" s="242" t="s">
        <v>665</v>
      </c>
      <c r="D11" s="241">
        <f ca="1" t="shared" si="4"/>
        <v>0</v>
      </c>
      <c r="E11" s="18" t="s">
        <v>24</v>
      </c>
      <c r="F11" s="44"/>
      <c r="G11" s="44"/>
      <c r="H11" s="44"/>
      <c r="I11" s="44"/>
      <c r="J11" s="34">
        <f>'表4-收入税金表'!J24</f>
        <v>0</v>
      </c>
      <c r="K11" s="34">
        <f>'表4-收入税金表'!K24</f>
        <v>0</v>
      </c>
      <c r="L11" s="34">
        <f>'表4-收入税金表'!L24</f>
        <v>0</v>
      </c>
      <c r="M11" s="34">
        <f>'表4-收入税金表'!M24</f>
        <v>0</v>
      </c>
      <c r="N11" s="34">
        <f>'表4-收入税金表'!N24</f>
        <v>0</v>
      </c>
      <c r="O11" s="34">
        <f>'表4-收入税金表'!O24</f>
        <v>0</v>
      </c>
      <c r="P11" s="34">
        <f>'表4-收入税金表'!P24</f>
        <v>0</v>
      </c>
      <c r="Q11" s="34">
        <f>'表4-收入税金表'!Q24</f>
        <v>0</v>
      </c>
      <c r="R11" s="34">
        <f>'表4-收入税金表'!R24</f>
        <v>0</v>
      </c>
      <c r="S11" s="34">
        <f>'表4-收入税金表'!S24</f>
        <v>0</v>
      </c>
      <c r="T11" s="34">
        <f>'表4-收入税金表'!T24</f>
        <v>0</v>
      </c>
      <c r="U11" s="34">
        <f>'表4-收入税金表'!U24</f>
        <v>0</v>
      </c>
      <c r="V11" s="34">
        <f>'表4-收入税金表'!V24</f>
        <v>0</v>
      </c>
      <c r="W11" s="34">
        <f>'表4-收入税金表'!W24</f>
        <v>0</v>
      </c>
      <c r="X11" s="34">
        <f>'表4-收入税金表'!X24</f>
        <v>0</v>
      </c>
      <c r="Y11" s="34">
        <f>'表4-收入税金表'!Y24</f>
        <v>0</v>
      </c>
      <c r="Z11" s="34">
        <f>'表4-收入税金表'!Z24</f>
        <v>0</v>
      </c>
      <c r="AA11" s="34">
        <f>'表4-收入税金表'!AA24</f>
        <v>0</v>
      </c>
      <c r="AB11" s="34">
        <f>'表4-收入税金表'!AB24</f>
        <v>0</v>
      </c>
      <c r="AC11" s="34">
        <f>'表4-收入税金表'!AC24</f>
        <v>0</v>
      </c>
      <c r="AD11" s="34">
        <f>'表4-收入税金表'!AD24</f>
        <v>0</v>
      </c>
      <c r="AE11" s="34">
        <f>'表4-收入税金表'!AE24</f>
        <v>0</v>
      </c>
      <c r="AF11" s="34">
        <f ca="1">'表4-收入税金表'!AF24</f>
        <v>0</v>
      </c>
    </row>
    <row r="12" spans="2:32">
      <c r="B12" s="239"/>
      <c r="C12" s="242" t="s">
        <v>666</v>
      </c>
      <c r="D12" s="241">
        <f t="shared" si="4"/>
        <v>6750.75</v>
      </c>
      <c r="E12" s="18" t="s">
        <v>24</v>
      </c>
      <c r="F12" s="44"/>
      <c r="G12" s="44"/>
      <c r="H12" s="44"/>
      <c r="I12" s="44"/>
      <c r="J12" s="34">
        <f>('表4-收入税金表'!J25+'表4-收入税金表'!J39)*参数输入表!$I$583+('表4-收入税金表'!I25+'表4-收入税金表'!I39)*(1-参数输入表!$I$583)</f>
        <v>14.125</v>
      </c>
      <c r="K12" s="34">
        <f>('表4-收入税金表'!K25+'表4-收入税金表'!K39)*参数输入表!$I$583+('表4-收入税金表'!J25+'表4-收入税金表'!J39)*(1-参数输入表!$I$583)</f>
        <v>135.375</v>
      </c>
      <c r="L12" s="34">
        <f>('表4-收入税金表'!L25+'表4-收入税金表'!L39)*参数输入表!$I$583+('表4-收入税金表'!K25+'表4-收入税金表'!K39)*(1-参数输入表!$I$583)</f>
        <v>281.25</v>
      </c>
      <c r="M12" s="34">
        <f>('表4-收入税金表'!M25+'表4-收入税金表'!M39)*参数输入表!$I$583+('表4-收入税金表'!L25+'表4-收入税金表'!L39)*(1-参数输入表!$I$583)</f>
        <v>320</v>
      </c>
      <c r="N12" s="34">
        <f>('表4-收入税金表'!N25+'表4-收入税金表'!N39)*参数输入表!$I$583+('表4-收入税金表'!M25+'表4-收入税金表'!M39)*(1-参数输入表!$I$583)</f>
        <v>320</v>
      </c>
      <c r="O12" s="34">
        <f>('表4-收入税金表'!O25+'表4-收入税金表'!O39)*参数输入表!$I$583+('表4-收入税金表'!N25+'表4-收入税金表'!N39)*(1-参数输入表!$I$583)</f>
        <v>320</v>
      </c>
      <c r="P12" s="34">
        <f>('表4-收入税金表'!P25+'表4-收入税金表'!P39)*参数输入表!$I$583+('表4-收入税金表'!O25+'表4-收入税金表'!O39)*(1-参数输入表!$I$583)</f>
        <v>320</v>
      </c>
      <c r="Q12" s="34">
        <f>('表4-收入税金表'!Q25+'表4-收入税金表'!Q39)*参数输入表!$I$583+('表4-收入税金表'!P25+'表4-收入税金表'!P39)*(1-参数输入表!$I$583)</f>
        <v>320</v>
      </c>
      <c r="R12" s="34">
        <f>('表4-收入税金表'!R25+'表4-收入税金表'!R39)*参数输入表!$I$583+('表4-收入税金表'!Q25+'表4-收入税金表'!Q39)*(1-参数输入表!$I$583)</f>
        <v>320</v>
      </c>
      <c r="S12" s="34">
        <f>('表4-收入税金表'!S25+'表4-收入税金表'!S39)*参数输入表!$I$583+('表4-收入税金表'!R25+'表4-收入税金表'!R39)*(1-参数输入表!$I$583)</f>
        <v>320</v>
      </c>
      <c r="T12" s="34">
        <f>('表4-收入税金表'!T25+'表4-收入税金表'!T39)*参数输入表!$I$583+('表4-收入税金表'!S25+'表4-收入税金表'!S39)*(1-参数输入表!$I$583)</f>
        <v>320</v>
      </c>
      <c r="U12" s="34">
        <f>('表4-收入税金表'!U25+'表4-收入税金表'!U39)*参数输入表!$I$583+('表4-收入税金表'!T25+'表4-收入税金表'!T39)*(1-参数输入表!$I$583)</f>
        <v>320</v>
      </c>
      <c r="V12" s="34">
        <f>('表4-收入税金表'!V25+'表4-收入税金表'!V39)*参数输入表!$I$583+('表4-收入税金表'!U25+'表4-收入税金表'!U39)*(1-参数输入表!$I$583)</f>
        <v>320</v>
      </c>
      <c r="W12" s="34">
        <f>('表4-收入税金表'!W25+'表4-收入税金表'!W39)*参数输入表!$I$583+('表4-收入税金表'!V25+'表4-收入税金表'!V39)*(1-参数输入表!$I$583)</f>
        <v>320</v>
      </c>
      <c r="X12" s="34">
        <f>('表4-收入税金表'!X25+'表4-收入税金表'!X39)*参数输入表!$I$583+('表4-收入税金表'!W25+'表4-收入税金表'!W39)*(1-参数输入表!$I$583)</f>
        <v>320</v>
      </c>
      <c r="Y12" s="34">
        <f>('表4-收入税金表'!Y25+'表4-收入税金表'!Y39)*参数输入表!$I$583+('表4-收入税金表'!X25+'表4-收入税金表'!X39)*(1-参数输入表!$I$583)</f>
        <v>320</v>
      </c>
      <c r="Z12" s="34">
        <f>('表4-收入税金表'!Z25+'表4-收入税金表'!Z39)*参数输入表!$I$583+('表4-收入税金表'!Y25+'表4-收入税金表'!Y39)*(1-参数输入表!$I$583)</f>
        <v>320</v>
      </c>
      <c r="AA12" s="34">
        <f>('表4-收入税金表'!AA25+'表4-收入税金表'!AA39)*参数输入表!$I$583+('表4-收入税金表'!Z25+'表4-收入税金表'!Z39)*(1-参数输入表!$I$583)</f>
        <v>320</v>
      </c>
      <c r="AB12" s="34">
        <f>('表4-收入税金表'!AB25+'表4-收入税金表'!AB39)*参数输入表!$I$583+('表4-收入税金表'!AA25+'表4-收入税金表'!AA39)*(1-参数输入表!$I$583)</f>
        <v>320</v>
      </c>
      <c r="AC12" s="34">
        <f>('表4-收入税金表'!AC25+'表4-收入税金表'!AC39)*参数输入表!$I$583+('表4-收入税金表'!AB25+'表4-收入税金表'!AB39)*(1-参数输入表!$I$583)</f>
        <v>320</v>
      </c>
      <c r="AD12" s="34">
        <f>('表4-收入税金表'!AD25+'表4-收入税金表'!AD39)*参数输入表!$I$583+('表4-收入税金表'!AC25+'表4-收入税金表'!AC39)*(1-参数输入表!$I$583)</f>
        <v>320</v>
      </c>
      <c r="AE12" s="34">
        <f>('表4-收入税金表'!AE25+'表4-收入税金表'!AE39)*参数输入表!$I$583+('表4-收入税金表'!AD25+'表4-收入税金表'!AD39)*(1-参数输入表!$I$583)</f>
        <v>320</v>
      </c>
      <c r="AF12" s="63">
        <f>('表4-收入税金表'!AF25+'表4-收入税金表'!AF39)+('表4-收入税金表'!AE25+'表4-收入税金表'!AE39)*(1-参数输入表!$I$583)</f>
        <v>240</v>
      </c>
    </row>
    <row r="13" spans="2:32">
      <c r="B13" s="239">
        <v>1.3</v>
      </c>
      <c r="C13" s="240" t="s">
        <v>667</v>
      </c>
      <c r="D13" s="241">
        <f t="shared" si="4"/>
        <v>200</v>
      </c>
      <c r="E13" s="18" t="s">
        <v>24</v>
      </c>
      <c r="F13" s="44"/>
      <c r="G13" s="44"/>
      <c r="H13" s="44"/>
      <c r="I13" s="44"/>
      <c r="J13" s="34">
        <f t="shared" ref="J13:P13" si="7">SUM(J14)</f>
        <v>0</v>
      </c>
      <c r="K13" s="34">
        <f t="shared" si="7"/>
        <v>200</v>
      </c>
      <c r="L13" s="34">
        <f t="shared" si="7"/>
        <v>0</v>
      </c>
      <c r="M13" s="34">
        <f t="shared" si="7"/>
        <v>0</v>
      </c>
      <c r="N13" s="34">
        <f t="shared" si="7"/>
        <v>0</v>
      </c>
      <c r="O13" s="34">
        <f t="shared" si="7"/>
        <v>0</v>
      </c>
      <c r="P13" s="34">
        <f t="shared" si="7"/>
        <v>0</v>
      </c>
      <c r="Q13" s="34">
        <f t="shared" ref="Q13:AF13" si="8">SUM(Q14)</f>
        <v>0</v>
      </c>
      <c r="R13" s="34">
        <f t="shared" si="8"/>
        <v>0</v>
      </c>
      <c r="S13" s="34">
        <f t="shared" si="8"/>
        <v>0</v>
      </c>
      <c r="T13" s="34">
        <f t="shared" si="8"/>
        <v>0</v>
      </c>
      <c r="U13" s="34">
        <f t="shared" si="8"/>
        <v>0</v>
      </c>
      <c r="V13" s="34">
        <f t="shared" si="8"/>
        <v>0</v>
      </c>
      <c r="W13" s="34">
        <f t="shared" si="8"/>
        <v>0</v>
      </c>
      <c r="X13" s="34">
        <f t="shared" si="8"/>
        <v>0</v>
      </c>
      <c r="Y13" s="34">
        <f t="shared" si="8"/>
        <v>0</v>
      </c>
      <c r="Z13" s="34">
        <f t="shared" si="8"/>
        <v>0</v>
      </c>
      <c r="AA13" s="34">
        <f t="shared" si="8"/>
        <v>0</v>
      </c>
      <c r="AB13" s="34">
        <f t="shared" si="8"/>
        <v>0</v>
      </c>
      <c r="AC13" s="34">
        <f t="shared" si="8"/>
        <v>0</v>
      </c>
      <c r="AD13" s="34">
        <f t="shared" si="8"/>
        <v>0</v>
      </c>
      <c r="AE13" s="34">
        <f t="shared" si="8"/>
        <v>0</v>
      </c>
      <c r="AF13" s="34">
        <f t="shared" si="8"/>
        <v>0</v>
      </c>
    </row>
    <row r="14" spans="2:32">
      <c r="B14" s="239"/>
      <c r="C14" s="242" t="s">
        <v>668</v>
      </c>
      <c r="D14" s="241">
        <f t="shared" si="4"/>
        <v>200</v>
      </c>
      <c r="E14" s="18" t="s">
        <v>24</v>
      </c>
      <c r="F14" s="44"/>
      <c r="G14" s="44"/>
      <c r="H14" s="44"/>
      <c r="I14" s="44"/>
      <c r="J14" s="34">
        <f>参数输入表!$I$592</f>
        <v>0</v>
      </c>
      <c r="K14" s="34">
        <f>参数输入表!$I$593</f>
        <v>200</v>
      </c>
      <c r="L14" s="34">
        <f>参数输入表!$I$594</f>
        <v>0</v>
      </c>
      <c r="M14" s="34">
        <f>参数输入表!$I$595</f>
        <v>0</v>
      </c>
      <c r="N14" s="34">
        <f>参数输入表!$I$596</f>
        <v>0</v>
      </c>
      <c r="O14" s="34">
        <f>参数输入表!$I$597</f>
        <v>0</v>
      </c>
      <c r="P14" s="34">
        <f>参数输入表!$I$598</f>
        <v>0</v>
      </c>
      <c r="Q14" s="34">
        <f>参数输入表!$I$599</f>
        <v>0</v>
      </c>
      <c r="R14" s="34">
        <f>参数输入表!$I$600</f>
        <v>0</v>
      </c>
      <c r="S14" s="34">
        <f>参数输入表!$I$601</f>
        <v>0</v>
      </c>
      <c r="T14" s="34">
        <f>参数输入表!$I$602</f>
        <v>0</v>
      </c>
      <c r="U14" s="34">
        <f>参数输入表!$I$603</f>
        <v>0</v>
      </c>
      <c r="V14" s="34">
        <f>参数输入表!$I$604</f>
        <v>0</v>
      </c>
      <c r="W14" s="34">
        <f>参数输入表!$I$605</f>
        <v>0</v>
      </c>
      <c r="X14" s="34">
        <f>参数输入表!$I$606</f>
        <v>0</v>
      </c>
      <c r="Y14" s="34">
        <f>参数输入表!$I$607</f>
        <v>0</v>
      </c>
      <c r="Z14" s="34">
        <f>参数输入表!$I$608</f>
        <v>0</v>
      </c>
      <c r="AA14" s="34">
        <f>参数输入表!$I$609</f>
        <v>0</v>
      </c>
      <c r="AB14" s="34">
        <f>参数输入表!$I$610</f>
        <v>0</v>
      </c>
      <c r="AC14" s="34">
        <f>参数输入表!$I$611</f>
        <v>0</v>
      </c>
      <c r="AD14" s="34">
        <f>参数输入表!$I$612</f>
        <v>0</v>
      </c>
      <c r="AE14" s="34">
        <f>参数输入表!$I$613</f>
        <v>0</v>
      </c>
      <c r="AF14" s="34">
        <f>参数输入表!$I$614</f>
        <v>0</v>
      </c>
    </row>
    <row r="15" spans="2:32">
      <c r="B15" s="246">
        <v>1.4</v>
      </c>
      <c r="C15" s="247" t="s">
        <v>823</v>
      </c>
      <c r="D15" s="248">
        <f t="shared" si="4"/>
        <v>800</v>
      </c>
      <c r="E15" s="249" t="s">
        <v>24</v>
      </c>
      <c r="F15" s="44"/>
      <c r="G15" s="44"/>
      <c r="H15" s="44"/>
      <c r="I15" s="44"/>
      <c r="J15" s="42">
        <f>IF(J4-$AF$4&gt;=0,'表1-资金筹措及还本付息表'!$D$10,0)</f>
        <v>0</v>
      </c>
      <c r="K15" s="42">
        <f>IF(K4-$AF$4&gt;=0,'表1-资金筹措及还本付息表'!$D$10,0)</f>
        <v>0</v>
      </c>
      <c r="L15" s="42">
        <f>IF(L4-$AF$4&gt;=0,'表1-资金筹措及还本付息表'!$D$10,0)</f>
        <v>0</v>
      </c>
      <c r="M15" s="42">
        <f>IF(M4-$AF$4&gt;=0,'表1-资金筹措及还本付息表'!$D$10,0)</f>
        <v>0</v>
      </c>
      <c r="N15" s="42">
        <f>IF(N4-$AF$4&gt;=0,'表1-资金筹措及还本付息表'!$D$10,0)</f>
        <v>0</v>
      </c>
      <c r="O15" s="42">
        <f>IF(O4-$AF$4&gt;=0,'表1-资金筹措及还本付息表'!$D$10,0)</f>
        <v>0</v>
      </c>
      <c r="P15" s="42">
        <f>IF(P4-$AF$4&gt;=0,'表1-资金筹措及还本付息表'!$D$10,0)</f>
        <v>0</v>
      </c>
      <c r="Q15" s="42">
        <f>IF(Q4-$AF$4&gt;=0,'表1-资金筹措及还本付息表'!$D$10,0)</f>
        <v>0</v>
      </c>
      <c r="R15" s="42">
        <f>IF(R4-$AF$4&gt;=0,'表1-资金筹措及还本付息表'!$D$10,0)</f>
        <v>0</v>
      </c>
      <c r="S15" s="42">
        <f>IF(S4-$AF$4&gt;=0,'表1-资金筹措及还本付息表'!$D$10,0)</f>
        <v>0</v>
      </c>
      <c r="T15" s="42">
        <f>IF(T4-$AF$4&gt;=0,'表1-资金筹措及还本付息表'!$D$10,0)</f>
        <v>0</v>
      </c>
      <c r="U15" s="42">
        <f>IF(U4-$AF$4&gt;=0,'表1-资金筹措及还本付息表'!$D$10,0)</f>
        <v>0</v>
      </c>
      <c r="V15" s="42">
        <f>IF(V4-$AF$4&gt;=0,'表1-资金筹措及还本付息表'!$D$10,0)</f>
        <v>0</v>
      </c>
      <c r="W15" s="42">
        <f>IF(W4-$AF$4&gt;=0,'表1-资金筹措及还本付息表'!$D$10,0)</f>
        <v>0</v>
      </c>
      <c r="X15" s="42">
        <f>IF(X4-$AF$4&gt;=0,'表1-资金筹措及还本付息表'!$D$10,0)</f>
        <v>0</v>
      </c>
      <c r="Y15" s="42">
        <f>IF(Y4-$AF$4&gt;=0,'表1-资金筹措及还本付息表'!$D$10,0)</f>
        <v>0</v>
      </c>
      <c r="Z15" s="42">
        <f>IF(Z4-$AF$4&gt;=0,'表1-资金筹措及还本付息表'!$D$10,0)</f>
        <v>0</v>
      </c>
      <c r="AA15" s="42">
        <f>IF(AA4-$AF$4&gt;=0,'表1-资金筹措及还本付息表'!$D$10,0)</f>
        <v>0</v>
      </c>
      <c r="AB15" s="42">
        <f>IF(AB4-$AF$4&gt;=0,'表1-资金筹措及还本付息表'!$D$10,0)</f>
        <v>0</v>
      </c>
      <c r="AC15" s="42">
        <f>IF(AC4-$AF$4&gt;=0,'表1-资金筹措及还本付息表'!$D$10,0)</f>
        <v>0</v>
      </c>
      <c r="AD15" s="42">
        <f>IF(AD4-$AF$4&gt;=0,'表1-资金筹措及还本付息表'!$D$10,0)</f>
        <v>0</v>
      </c>
      <c r="AE15" s="42">
        <f>IF(AE4-$AF$4&gt;=0,'表1-资金筹措及还本付息表'!$D$10,0)</f>
        <v>0</v>
      </c>
      <c r="AF15" s="42">
        <f>IF(AF4-$AF$4&gt;=0,'表1-资金筹措及还本付息表'!$D$10,0)</f>
        <v>800</v>
      </c>
    </row>
    <row r="16" spans="2:32">
      <c r="B16" s="246">
        <v>1.5</v>
      </c>
      <c r="C16" s="240" t="s">
        <v>824</v>
      </c>
      <c r="D16" s="241">
        <f ca="1" t="shared" si="4"/>
        <v>0</v>
      </c>
      <c r="E16" s="18" t="s">
        <v>24</v>
      </c>
      <c r="F16" s="44"/>
      <c r="G16" s="44"/>
      <c r="H16" s="44"/>
      <c r="I16" s="44"/>
      <c r="J16" s="44">
        <f ca="1">IF(J4-$AF$4&gt;=0,IF(参数输入表!$I$287="含建设期利息",'表2-折旧摊销表'!J111+'表2-折旧摊销表'!J127,'表2-折旧摊销表'!J180+'表2-折旧摊销表'!J196),0)</f>
        <v>0</v>
      </c>
      <c r="K16" s="44">
        <f ca="1">IF(K4-$AF$4&gt;=0,IF(参数输入表!$I$287="含建设期利息",'表2-折旧摊销表'!K111+'表2-折旧摊销表'!K127,'表2-折旧摊销表'!K180+'表2-折旧摊销表'!K196),0)</f>
        <v>0</v>
      </c>
      <c r="L16" s="44">
        <f ca="1">IF(L4-$AF$4&gt;=0,IF(参数输入表!$I$287="含建设期利息",'表2-折旧摊销表'!L111+'表2-折旧摊销表'!L127,'表2-折旧摊销表'!L180+'表2-折旧摊销表'!L196),0)</f>
        <v>0</v>
      </c>
      <c r="M16" s="44">
        <f ca="1">IF(M4-$AF$4&gt;=0,IF(参数输入表!$I$287="含建设期利息",'表2-折旧摊销表'!M111+'表2-折旧摊销表'!M127,'表2-折旧摊销表'!M180+'表2-折旧摊销表'!M196),0)</f>
        <v>0</v>
      </c>
      <c r="N16" s="44">
        <f ca="1">IF(N4-$AF$4&gt;=0,IF(参数输入表!$I$287="含建设期利息",'表2-折旧摊销表'!N111+'表2-折旧摊销表'!N127,'表2-折旧摊销表'!N180+'表2-折旧摊销表'!N196),0)</f>
        <v>0</v>
      </c>
      <c r="O16" s="44">
        <f ca="1">IF(O4-$AF$4&gt;=0,IF(参数输入表!$I$287="含建设期利息",'表2-折旧摊销表'!O111+'表2-折旧摊销表'!O127,'表2-折旧摊销表'!O180+'表2-折旧摊销表'!O196),0)</f>
        <v>0</v>
      </c>
      <c r="P16" s="44">
        <f ca="1">IF(P4-$AF$4&gt;=0,IF(参数输入表!$I$287="含建设期利息",'表2-折旧摊销表'!P111+'表2-折旧摊销表'!P127,'表2-折旧摊销表'!P180+'表2-折旧摊销表'!P196),0)</f>
        <v>0</v>
      </c>
      <c r="Q16" s="44">
        <f ca="1">IF(Q4-$AF$4&gt;=0,IF(参数输入表!$I$287="含建设期利息",'表2-折旧摊销表'!Q111+'表2-折旧摊销表'!Q127,'表2-折旧摊销表'!Q180+'表2-折旧摊销表'!Q196),0)</f>
        <v>0</v>
      </c>
      <c r="R16" s="44">
        <f ca="1">IF(R4-$AF$4&gt;=0,IF(参数输入表!$I$287="含建设期利息",'表2-折旧摊销表'!R111+'表2-折旧摊销表'!R127,'表2-折旧摊销表'!R180+'表2-折旧摊销表'!R196),0)</f>
        <v>0</v>
      </c>
      <c r="S16" s="44">
        <f ca="1">IF(S4-$AF$4&gt;=0,IF(参数输入表!$I$287="含建设期利息",'表2-折旧摊销表'!S111+'表2-折旧摊销表'!S127,'表2-折旧摊销表'!S180+'表2-折旧摊销表'!S196),0)</f>
        <v>0</v>
      </c>
      <c r="T16" s="44">
        <f ca="1">IF(T4-$AF$4&gt;=0,IF(参数输入表!$I$287="含建设期利息",'表2-折旧摊销表'!T111+'表2-折旧摊销表'!T127,'表2-折旧摊销表'!T180+'表2-折旧摊销表'!T196),0)</f>
        <v>0</v>
      </c>
      <c r="U16" s="44">
        <f ca="1">IF(U4-$AF$4&gt;=0,IF(参数输入表!$I$287="含建设期利息",'表2-折旧摊销表'!U111+'表2-折旧摊销表'!U127,'表2-折旧摊销表'!U180+'表2-折旧摊销表'!U196),0)</f>
        <v>0</v>
      </c>
      <c r="V16" s="44">
        <f ca="1">IF(V4-$AF$4&gt;=0,IF(参数输入表!$I$287="含建设期利息",'表2-折旧摊销表'!V111+'表2-折旧摊销表'!V127,'表2-折旧摊销表'!V180+'表2-折旧摊销表'!V196),0)</f>
        <v>0</v>
      </c>
      <c r="W16" s="44">
        <f ca="1">IF(W4-$AF$4&gt;=0,IF(参数输入表!$I$287="含建设期利息",'表2-折旧摊销表'!W111+'表2-折旧摊销表'!W127,'表2-折旧摊销表'!W180+'表2-折旧摊销表'!W196),0)</f>
        <v>0</v>
      </c>
      <c r="X16" s="44">
        <f ca="1">IF(X4-$AF$4&gt;=0,IF(参数输入表!$I$287="含建设期利息",'表2-折旧摊销表'!X111+'表2-折旧摊销表'!X127,'表2-折旧摊销表'!X180+'表2-折旧摊销表'!X196),0)</f>
        <v>0</v>
      </c>
      <c r="Y16" s="44">
        <f ca="1">IF(Y4-$AF$4&gt;=0,IF(参数输入表!$I$287="含建设期利息",'表2-折旧摊销表'!Y111+'表2-折旧摊销表'!Y127,'表2-折旧摊销表'!Y180+'表2-折旧摊销表'!Y196),0)</f>
        <v>0</v>
      </c>
      <c r="Z16" s="44">
        <f ca="1">IF(Z4-$AF$4&gt;=0,IF(参数输入表!$I$287="含建设期利息",'表2-折旧摊销表'!Z111+'表2-折旧摊销表'!Z127,'表2-折旧摊销表'!Z180+'表2-折旧摊销表'!Z196),0)</f>
        <v>0</v>
      </c>
      <c r="AA16" s="44">
        <f ca="1">IF(AA4-$AF$4&gt;=0,IF(参数输入表!$I$287="含建设期利息",'表2-折旧摊销表'!AA111+'表2-折旧摊销表'!AA127,'表2-折旧摊销表'!AA180+'表2-折旧摊销表'!AA196),0)</f>
        <v>0</v>
      </c>
      <c r="AB16" s="44">
        <f ca="1">IF(AB4-$AF$4&gt;=0,IF(参数输入表!$I$287="含建设期利息",'表2-折旧摊销表'!AB111+'表2-折旧摊销表'!AB127,'表2-折旧摊销表'!AB180+'表2-折旧摊销表'!AB196),0)</f>
        <v>0</v>
      </c>
      <c r="AC16" s="44">
        <f ca="1">IF(AC4-$AF$4&gt;=0,IF(参数输入表!$I$287="含建设期利息",'表2-折旧摊销表'!AC111+'表2-折旧摊销表'!AC127,'表2-折旧摊销表'!AC180+'表2-折旧摊销表'!AC196),0)</f>
        <v>0</v>
      </c>
      <c r="AD16" s="44">
        <f ca="1">IF(AD4-$AF$4&gt;=0,IF(参数输入表!$I$287="含建设期利息",'表2-折旧摊销表'!AD111+'表2-折旧摊销表'!AD127,'表2-折旧摊销表'!AD180+'表2-折旧摊销表'!AD196),0)</f>
        <v>0</v>
      </c>
      <c r="AE16" s="44">
        <f ca="1">IF(AE4-$AF$4&gt;=0,IF(参数输入表!$I$287="含建设期利息",'表2-折旧摊销表'!AE111+'表2-折旧摊销表'!AE127,'表2-折旧摊销表'!AE180+'表2-折旧摊销表'!AE196),0)</f>
        <v>0</v>
      </c>
      <c r="AF16" s="44">
        <f ca="1">IF(AF4-$AF$4&gt;=0,IF(参数输入表!$I$287="含建设期利息",'表2-折旧摊销表'!AF111+'表2-折旧摊销表'!AF127,'表2-折旧摊销表'!AF180+'表2-折旧摊销表'!AF196),0)</f>
        <v>0</v>
      </c>
    </row>
    <row r="17" spans="2:32">
      <c r="B17" s="246">
        <v>1.6</v>
      </c>
      <c r="C17" s="250" t="s">
        <v>825</v>
      </c>
      <c r="D17" s="241">
        <f t="shared" si="4"/>
        <v>10137.308743</v>
      </c>
      <c r="E17" s="18" t="s">
        <v>24</v>
      </c>
      <c r="F17" s="44"/>
      <c r="G17" s="44"/>
      <c r="H17" s="44"/>
      <c r="I17" s="44"/>
      <c r="J17" s="63">
        <f>IF(参数输入表!$I$721="手动输入",基准日往来账处理!J71,基准日往来账处理!J149)</f>
        <v>3289.783934</v>
      </c>
      <c r="K17" s="63">
        <f>IF(参数输入表!$I$721="手动输入",基准日往来账处理!K71,基准日往来账处理!K149)</f>
        <v>2974.323992</v>
      </c>
      <c r="L17" s="63">
        <f>IF(参数输入表!$I$721="手动输入",基准日往来账处理!L71,基准日往来账处理!L149)</f>
        <v>3080</v>
      </c>
      <c r="M17" s="63">
        <f>IF(参数输入表!$I$721="手动输入",基准日往来账处理!M71,基准日往来账处理!M149)</f>
        <v>793.200817</v>
      </c>
      <c r="N17" s="63">
        <f>IF(参数输入表!$I$721="手动输入",基准日往来账处理!N71,基准日往来账处理!N149)</f>
        <v>0</v>
      </c>
      <c r="O17" s="63">
        <f>IF(参数输入表!$I$721="手动输入",基准日往来账处理!O71,基准日往来账处理!O149)</f>
        <v>0</v>
      </c>
      <c r="P17" s="63">
        <f>IF(参数输入表!$I$721="手动输入",基准日往来账处理!P71,基准日往来账处理!P149)</f>
        <v>0</v>
      </c>
      <c r="Q17" s="63">
        <f>IF(参数输入表!$I$721="手动输入",基准日往来账处理!Q71,基准日往来账处理!Q149)</f>
        <v>0</v>
      </c>
      <c r="R17" s="63">
        <f>IF(参数输入表!$I$721="手动输入",基准日往来账处理!R71,基准日往来账处理!R149)</f>
        <v>0</v>
      </c>
      <c r="S17" s="63">
        <f>IF(参数输入表!$I$721="手动输入",基准日往来账处理!S71,基准日往来账处理!S149)</f>
        <v>0</v>
      </c>
      <c r="T17" s="63">
        <f>IF(参数输入表!$I$721="手动输入",基准日往来账处理!T71,基准日往来账处理!T149)</f>
        <v>0</v>
      </c>
      <c r="U17" s="63">
        <f>IF(参数输入表!$I$721="手动输入",基准日往来账处理!U71,基准日往来账处理!U149)</f>
        <v>0</v>
      </c>
      <c r="V17" s="63">
        <f>IF(参数输入表!$I$721="手动输入",基准日往来账处理!V71,基准日往来账处理!V149)</f>
        <v>0</v>
      </c>
      <c r="W17" s="63">
        <f>IF(参数输入表!$I$721="手动输入",基准日往来账处理!W71,基准日往来账处理!W149)</f>
        <v>0</v>
      </c>
      <c r="X17" s="63">
        <f>IF(参数输入表!$I$721="手动输入",基准日往来账处理!X71,基准日往来账处理!X149)</f>
        <v>0</v>
      </c>
      <c r="Y17" s="63">
        <f>IF(参数输入表!$I$721="手动输入",基准日往来账处理!Y71,基准日往来账处理!Y149)</f>
        <v>0</v>
      </c>
      <c r="Z17" s="63">
        <f>IF(参数输入表!$I$721="手动输入",基准日往来账处理!Z71,基准日往来账处理!Z149)</f>
        <v>0</v>
      </c>
      <c r="AA17" s="63">
        <f>IF(参数输入表!$I$721="手动输入",基准日往来账处理!AA71,基准日往来账处理!AA149)</f>
        <v>0</v>
      </c>
      <c r="AB17" s="63">
        <f>IF(参数输入表!$I$721="手动输入",基准日往来账处理!AB71,基准日往来账处理!AB149)</f>
        <v>0</v>
      </c>
      <c r="AC17" s="63">
        <f>IF(参数输入表!$I$721="手动输入",基准日往来账处理!AC71,基准日往来账处理!AC149)</f>
        <v>0</v>
      </c>
      <c r="AD17" s="63">
        <f>IF(参数输入表!$I$721="手动输入",基准日往来账处理!AD71,基准日往来账处理!AD149)</f>
        <v>0</v>
      </c>
      <c r="AE17" s="63">
        <f>IF(参数输入表!$I$721="手动输入",基准日往来账处理!AE71,基准日往来账处理!AE149)</f>
        <v>0</v>
      </c>
      <c r="AF17" s="63">
        <f>IF(参数输入表!$I$721="手动输入",基准日往来账处理!AF71,基准日往来账处理!AF149)</f>
        <v>0</v>
      </c>
    </row>
    <row r="18" spans="2:32">
      <c r="B18" s="236">
        <v>2</v>
      </c>
      <c r="C18" s="237" t="s">
        <v>826</v>
      </c>
      <c r="D18" s="238">
        <f ca="1" t="shared" si="4"/>
        <v>242761.60545792</v>
      </c>
      <c r="E18" s="18" t="s">
        <v>24</v>
      </c>
      <c r="F18" s="19"/>
      <c r="G18" s="19"/>
      <c r="H18" s="19"/>
      <c r="I18" s="19"/>
      <c r="J18" s="39">
        <f ca="1">SUM(J19:J25)</f>
        <v>42274.1933746549</v>
      </c>
      <c r="K18" s="39">
        <f ca="1" t="shared" ref="K18:Q18" si="9">SUM(K19:K25)</f>
        <v>99354.6504125027</v>
      </c>
      <c r="L18" s="39">
        <f t="shared" si="9"/>
        <v>3082.6780715292</v>
      </c>
      <c r="M18" s="39">
        <f t="shared" si="9"/>
        <v>3064.12616714774</v>
      </c>
      <c r="N18" s="39">
        <f t="shared" si="9"/>
        <v>2592.92616714774</v>
      </c>
      <c r="O18" s="39">
        <f t="shared" si="9"/>
        <v>2621.72616714774</v>
      </c>
      <c r="P18" s="39">
        <f t="shared" si="9"/>
        <v>2650.52616714774</v>
      </c>
      <c r="Q18" s="39">
        <f t="shared" si="9"/>
        <v>2679.32616714774</v>
      </c>
      <c r="R18" s="39">
        <f t="shared" ref="R18:AF18" si="10">SUM(R19:R25)</f>
        <v>5949.18678838409</v>
      </c>
      <c r="S18" s="39">
        <f t="shared" si="10"/>
        <v>5581.52613978026</v>
      </c>
      <c r="T18" s="39">
        <f t="shared" si="10"/>
        <v>5597.92307621919</v>
      </c>
      <c r="U18" s="39">
        <f t="shared" si="10"/>
        <v>5614.31962610946</v>
      </c>
      <c r="V18" s="39">
        <f t="shared" si="10"/>
        <v>5630.7165625484</v>
      </c>
      <c r="W18" s="39">
        <f t="shared" si="10"/>
        <v>6284.40693248675</v>
      </c>
      <c r="X18" s="39">
        <f t="shared" si="10"/>
        <v>5847.04240103578</v>
      </c>
      <c r="Y18" s="39">
        <f t="shared" si="10"/>
        <v>5863.43933747472</v>
      </c>
      <c r="Z18" s="39">
        <f t="shared" si="10"/>
        <v>5505.21388804463</v>
      </c>
      <c r="AA18" s="39">
        <f t="shared" si="10"/>
        <v>5311.40447350304</v>
      </c>
      <c r="AB18" s="39">
        <f t="shared" si="10"/>
        <v>5967.97262099891</v>
      </c>
      <c r="AC18" s="39">
        <f t="shared" si="10"/>
        <v>5533.48586710546</v>
      </c>
      <c r="AD18" s="39">
        <f t="shared" si="10"/>
        <v>5552.76058110192</v>
      </c>
      <c r="AE18" s="39">
        <f t="shared" si="10"/>
        <v>5572.03490854971</v>
      </c>
      <c r="AF18" s="39">
        <f ca="1" t="shared" si="10"/>
        <v>4630.01956015229</v>
      </c>
    </row>
    <row r="19" spans="2:32">
      <c r="B19" s="239">
        <v>2.1</v>
      </c>
      <c r="C19" s="240" t="s">
        <v>33</v>
      </c>
      <c r="D19" s="241">
        <f ca="1" t="shared" si="4"/>
        <v>139577.265231325</v>
      </c>
      <c r="E19" s="18" t="s">
        <v>24</v>
      </c>
      <c r="F19" s="44"/>
      <c r="G19" s="44"/>
      <c r="H19" s="44"/>
      <c r="I19" s="44"/>
      <c r="J19" s="42">
        <f ca="1">IF(参数输入表!$I$287="含建设期利息",'表1-资金筹措及还本付息表'!J8+'表1-资金筹措及还本付息表'!J9,'表1-资金筹措及还本付息表'!J8)</f>
        <v>41985.1239824027</v>
      </c>
      <c r="K19" s="42">
        <f ca="1">IF(参数输入表!$I$287="含建设期利息",'表1-资金筹措及还本付息表'!K8+'表1-资金筹措及还本付息表'!K9,'表1-资金筹措及还本付息表'!K8)</f>
        <v>97592.141248922</v>
      </c>
      <c r="L19" s="42">
        <f>IF(参数输入表!$I$287="含建设期利息",'表1-资金筹措及还本付息表'!L8+'表1-资金筹措及还本付息表'!L9,'表1-资金筹措及还本付息表'!L8)</f>
        <v>0</v>
      </c>
      <c r="M19" s="42">
        <f>IF(参数输入表!$I$287="含建设期利息",'表1-资金筹措及还本付息表'!M8+'表1-资金筹措及还本付息表'!M9,'表1-资金筹措及还本付息表'!M8)</f>
        <v>0</v>
      </c>
      <c r="N19" s="42">
        <f>IF(参数输入表!$I$287="含建设期利息",'表1-资金筹措及还本付息表'!N8+'表1-资金筹措及还本付息表'!N9,'表1-资金筹措及还本付息表'!N8)</f>
        <v>0</v>
      </c>
      <c r="O19" s="42">
        <f>IF(参数输入表!$I$287="含建设期利息",'表1-资金筹措及还本付息表'!O8+'表1-资金筹措及还本付息表'!O9,'表1-资金筹措及还本付息表'!O8)</f>
        <v>0</v>
      </c>
      <c r="P19" s="42">
        <f>IF(参数输入表!$I$287="含建设期利息",'表1-资金筹措及还本付息表'!P8+'表1-资金筹措及还本付息表'!P9,'表1-资金筹措及还本付息表'!P8)</f>
        <v>0</v>
      </c>
      <c r="Q19" s="42">
        <f>IF(参数输入表!$I$287="含建设期利息",'表1-资金筹措及还本付息表'!Q8+'表1-资金筹措及还本付息表'!Q9,'表1-资金筹措及还本付息表'!Q8)</f>
        <v>0</v>
      </c>
      <c r="R19" s="42">
        <f>IF(参数输入表!$I$287="含建设期利息",'表1-资金筹措及还本付息表'!R8+'表1-资金筹措及还本付息表'!R9,'表1-资金筹措及还本付息表'!R8)</f>
        <v>0</v>
      </c>
      <c r="S19" s="42">
        <f>IF(参数输入表!$I$287="含建设期利息",'表1-资金筹措及还本付息表'!S8+'表1-资金筹措及还本付息表'!S9,'表1-资金筹措及还本付息表'!S8)</f>
        <v>0</v>
      </c>
      <c r="T19" s="42">
        <f>IF(参数输入表!$I$287="含建设期利息",'表1-资金筹措及还本付息表'!T8+'表1-资金筹措及还本付息表'!T9,'表1-资金筹措及还本付息表'!T8)</f>
        <v>0</v>
      </c>
      <c r="U19" s="42">
        <f>IF(参数输入表!$I$287="含建设期利息",'表1-资金筹措及还本付息表'!U8+'表1-资金筹措及还本付息表'!U9,'表1-资金筹措及还本付息表'!U8)</f>
        <v>0</v>
      </c>
      <c r="V19" s="42">
        <f>IF(参数输入表!$I$287="含建设期利息",'表1-资金筹措及还本付息表'!V8+'表1-资金筹措及还本付息表'!V9,'表1-资金筹措及还本付息表'!V8)</f>
        <v>0</v>
      </c>
      <c r="W19" s="42">
        <f>IF(参数输入表!$I$287="含建设期利息",'表1-资金筹措及还本付息表'!W8+'表1-资金筹措及还本付息表'!W9,'表1-资金筹措及还本付息表'!W8)</f>
        <v>0</v>
      </c>
      <c r="X19" s="42">
        <f>IF(参数输入表!$I$287="含建设期利息",'表1-资金筹措及还本付息表'!X8+'表1-资金筹措及还本付息表'!X9,'表1-资金筹措及还本付息表'!X8)</f>
        <v>0</v>
      </c>
      <c r="Y19" s="42">
        <f>IF(参数输入表!$I$287="含建设期利息",'表1-资金筹措及还本付息表'!Y8+'表1-资金筹措及还本付息表'!Y9,'表1-资金筹措及还本付息表'!Y8)</f>
        <v>0</v>
      </c>
      <c r="Z19" s="42">
        <f>IF(参数输入表!$I$287="含建设期利息",'表1-资金筹措及还本付息表'!Z8+'表1-资金筹措及还本付息表'!Z9,'表1-资金筹措及还本付息表'!Z8)</f>
        <v>0</v>
      </c>
      <c r="AA19" s="42">
        <f>IF(参数输入表!$I$287="含建设期利息",'表1-资金筹措及还本付息表'!AA8+'表1-资金筹措及还本付息表'!AA9,'表1-资金筹措及还本付息表'!AA8)</f>
        <v>0</v>
      </c>
      <c r="AB19" s="42">
        <f>IF(参数输入表!$I$287="含建设期利息",'表1-资金筹措及还本付息表'!AB8+'表1-资金筹措及还本付息表'!AB9,'表1-资金筹措及还本付息表'!AB8)</f>
        <v>0</v>
      </c>
      <c r="AC19" s="42">
        <f>IF(参数输入表!$I$287="含建设期利息",'表1-资金筹措及还本付息表'!AC8+'表1-资金筹措及还本付息表'!AC9,'表1-资金筹措及还本付息表'!AC8)</f>
        <v>0</v>
      </c>
      <c r="AD19" s="42">
        <f>IF(参数输入表!$I$287="含建设期利息",'表1-资金筹措及还本付息表'!AD8+'表1-资金筹措及还本付息表'!AD9,'表1-资金筹措及还本付息表'!AD8)</f>
        <v>0</v>
      </c>
      <c r="AE19" s="42">
        <f>IF(参数输入表!$I$287="含建设期利息",'表1-资金筹措及还本付息表'!AE8+'表1-资金筹措及还本付息表'!AE9,'表1-资金筹措及还本付息表'!AE8)</f>
        <v>0</v>
      </c>
      <c r="AF19" s="42">
        <f>IF(参数输入表!$I$287="含建设期利息",'表1-资金筹措及还本付息表'!AF8+'表1-资金筹措及还本付息表'!AF9,'表1-资金筹措及还本付息表'!AF8)</f>
        <v>0</v>
      </c>
    </row>
    <row r="20" spans="2:32">
      <c r="B20" s="246">
        <v>2.2</v>
      </c>
      <c r="C20" s="247" t="s">
        <v>180</v>
      </c>
      <c r="D20" s="248">
        <f t="shared" si="4"/>
        <v>800</v>
      </c>
      <c r="E20" s="249" t="s">
        <v>24</v>
      </c>
      <c r="F20" s="44"/>
      <c r="G20" s="44"/>
      <c r="H20" s="44"/>
      <c r="I20" s="44"/>
      <c r="J20" s="42">
        <f>'表1-资金筹措及还本付息表'!J10</f>
        <v>0</v>
      </c>
      <c r="K20" s="42">
        <f>'表1-资金筹措及还本付息表'!K10</f>
        <v>0</v>
      </c>
      <c r="L20" s="42">
        <f>'表1-资金筹措及还本付息表'!L10</f>
        <v>800</v>
      </c>
      <c r="M20" s="42">
        <f>'表1-资金筹措及还本付息表'!M10</f>
        <v>0</v>
      </c>
      <c r="N20" s="42">
        <f>'表1-资金筹措及还本付息表'!N10</f>
        <v>0</v>
      </c>
      <c r="O20" s="42">
        <f>'表1-资金筹措及还本付息表'!O10</f>
        <v>0</v>
      </c>
      <c r="P20" s="42">
        <f>'表1-资金筹措及还本付息表'!P10</f>
        <v>0</v>
      </c>
      <c r="Q20" s="42">
        <f>'表1-资金筹措及还本付息表'!Q10</f>
        <v>0</v>
      </c>
      <c r="R20" s="42">
        <f>'表1-资金筹措及还本付息表'!R10</f>
        <v>0</v>
      </c>
      <c r="S20" s="42">
        <f>'表1-资金筹措及还本付息表'!S10</f>
        <v>0</v>
      </c>
      <c r="T20" s="42">
        <f>'表1-资金筹措及还本付息表'!T10</f>
        <v>0</v>
      </c>
      <c r="U20" s="42">
        <f>'表1-资金筹措及还本付息表'!U10</f>
        <v>0</v>
      </c>
      <c r="V20" s="42">
        <f>'表1-资金筹措及还本付息表'!V10</f>
        <v>0</v>
      </c>
      <c r="W20" s="42">
        <f>'表1-资金筹措及还本付息表'!W10</f>
        <v>0</v>
      </c>
      <c r="X20" s="42">
        <f>'表1-资金筹措及还本付息表'!X10</f>
        <v>0</v>
      </c>
      <c r="Y20" s="42">
        <f>'表1-资金筹措及还本付息表'!Y10</f>
        <v>0</v>
      </c>
      <c r="Z20" s="42">
        <f>'表1-资金筹措及还本付息表'!Z10</f>
        <v>0</v>
      </c>
      <c r="AA20" s="42">
        <f>'表1-资金筹措及还本付息表'!AA10</f>
        <v>0</v>
      </c>
      <c r="AB20" s="42">
        <f>'表1-资金筹措及还本付息表'!AB10</f>
        <v>0</v>
      </c>
      <c r="AC20" s="42">
        <f>'表1-资金筹措及还本付息表'!AC10</f>
        <v>0</v>
      </c>
      <c r="AD20" s="42">
        <f>'表1-资金筹措及还本付息表'!AD10</f>
        <v>0</v>
      </c>
      <c r="AE20" s="42">
        <f>'表1-资金筹措及还本付息表'!AE10</f>
        <v>0</v>
      </c>
      <c r="AF20" s="42">
        <f>'表1-资金筹措及还本付息表'!AF10</f>
        <v>0</v>
      </c>
    </row>
    <row r="21" spans="2:32">
      <c r="B21" s="246">
        <v>2.3</v>
      </c>
      <c r="C21" s="240" t="s">
        <v>835</v>
      </c>
      <c r="D21" s="241">
        <f ca="1" t="shared" ref="D21:D26" si="11">SUM(F21:AF21)</f>
        <v>69080.5004651356</v>
      </c>
      <c r="E21" s="18" t="s">
        <v>24</v>
      </c>
      <c r="F21" s="44"/>
      <c r="G21" s="44"/>
      <c r="H21" s="44"/>
      <c r="I21" s="44"/>
      <c r="J21" s="34">
        <f>'表3-成本费用表'!J53</f>
        <v>289.069392252187</v>
      </c>
      <c r="K21" s="34">
        <f>'表3-成本费用表'!K53</f>
        <v>1762.50916358072</v>
      </c>
      <c r="L21" s="34">
        <f>'表3-成本费用表'!L53</f>
        <v>2282.6780715292</v>
      </c>
      <c r="M21" s="34">
        <f>'表3-成本费用表'!M53</f>
        <v>3064.12616714774</v>
      </c>
      <c r="N21" s="34">
        <f>'表3-成本费用表'!N53</f>
        <v>2592.92616714774</v>
      </c>
      <c r="O21" s="34">
        <f>'表3-成本费用表'!O53</f>
        <v>2621.72616714774</v>
      </c>
      <c r="P21" s="34">
        <f>'表3-成本费用表'!P53</f>
        <v>2650.52616714774</v>
      </c>
      <c r="Q21" s="34">
        <f>'表3-成本费用表'!Q53</f>
        <v>2679.32616714774</v>
      </c>
      <c r="R21" s="34">
        <f>'表3-成本费用表'!R53</f>
        <v>3391.65851930592</v>
      </c>
      <c r="S21" s="34">
        <f>'表3-成本费用表'!S53</f>
        <v>2920.45851930592</v>
      </c>
      <c r="T21" s="34">
        <f>'表3-成本费用表'!T53</f>
        <v>2949.25851930592</v>
      </c>
      <c r="U21" s="34">
        <f>'表3-成本费用表'!U53</f>
        <v>2978.05851930592</v>
      </c>
      <c r="V21" s="34">
        <f>'表3-成本费用表'!V53</f>
        <v>3006.85851930592</v>
      </c>
      <c r="W21" s="34">
        <f>'表3-成本费用表'!W53</f>
        <v>3719.1908714641</v>
      </c>
      <c r="X21" s="34">
        <f>'表3-成本费用表'!X53</f>
        <v>3247.9908714641</v>
      </c>
      <c r="Y21" s="34">
        <f>'表3-成本费用表'!Y53</f>
        <v>3276.7908714641</v>
      </c>
      <c r="Z21" s="34">
        <f>'表3-成本费用表'!Z53</f>
        <v>3305.5908714641</v>
      </c>
      <c r="AA21" s="34">
        <f>'表3-成本费用表'!AA53</f>
        <v>3334.3908714641</v>
      </c>
      <c r="AB21" s="34">
        <f>'表3-成本费用表'!AB53</f>
        <v>4046.72322362228</v>
      </c>
      <c r="AC21" s="34">
        <f>'表3-成本费用表'!AC53</f>
        <v>3575.52322362228</v>
      </c>
      <c r="AD21" s="34">
        <f>'表3-成本费用表'!AD53</f>
        <v>3604.32322362228</v>
      </c>
      <c r="AE21" s="34">
        <f>'表3-成本费用表'!AE53</f>
        <v>3633.12322362228</v>
      </c>
      <c r="AF21" s="34">
        <f ca="1">'表3-成本费用表'!AF53</f>
        <v>4147.67315369565</v>
      </c>
    </row>
    <row r="22" spans="2:32">
      <c r="B22" s="246">
        <v>2.4</v>
      </c>
      <c r="C22" s="240" t="s">
        <v>630</v>
      </c>
      <c r="D22" s="241">
        <f t="shared" si="11"/>
        <v>0</v>
      </c>
      <c r="E22" s="18" t="s">
        <v>24</v>
      </c>
      <c r="F22" s="44"/>
      <c r="G22" s="44"/>
      <c r="H22" s="44"/>
      <c r="I22" s="44"/>
      <c r="J22" s="34">
        <f>'表3-成本费用表'!J67</f>
        <v>0</v>
      </c>
      <c r="K22" s="34">
        <f>'表3-成本费用表'!K67</f>
        <v>0</v>
      </c>
      <c r="L22" s="34">
        <f>'表3-成本费用表'!L67</f>
        <v>0</v>
      </c>
      <c r="M22" s="34">
        <f>'表3-成本费用表'!M67</f>
        <v>0</v>
      </c>
      <c r="N22" s="34">
        <f>'表3-成本费用表'!N67</f>
        <v>0</v>
      </c>
      <c r="O22" s="34">
        <f>'表3-成本费用表'!O67</f>
        <v>0</v>
      </c>
      <c r="P22" s="34">
        <f>'表3-成本费用表'!P67</f>
        <v>0</v>
      </c>
      <c r="Q22" s="34">
        <f>'表3-成本费用表'!Q67</f>
        <v>0</v>
      </c>
      <c r="R22" s="34">
        <f>'表3-成本费用表'!R67</f>
        <v>0</v>
      </c>
      <c r="S22" s="34">
        <f>'表3-成本费用表'!S67</f>
        <v>0</v>
      </c>
      <c r="T22" s="34">
        <f>'表3-成本费用表'!T67</f>
        <v>0</v>
      </c>
      <c r="U22" s="34">
        <f>'表3-成本费用表'!U67</f>
        <v>0</v>
      </c>
      <c r="V22" s="34">
        <f>'表3-成本费用表'!V67</f>
        <v>0</v>
      </c>
      <c r="W22" s="34">
        <f>'表3-成本费用表'!W67</f>
        <v>0</v>
      </c>
      <c r="X22" s="34">
        <f>'表3-成本费用表'!X67</f>
        <v>0</v>
      </c>
      <c r="Y22" s="34">
        <f>'表3-成本费用表'!Y67</f>
        <v>0</v>
      </c>
      <c r="Z22" s="34">
        <f>'表3-成本费用表'!Z67</f>
        <v>0</v>
      </c>
      <c r="AA22" s="34">
        <f>'表3-成本费用表'!AA67</f>
        <v>0</v>
      </c>
      <c r="AB22" s="34">
        <f>'表3-成本费用表'!AB67</f>
        <v>0</v>
      </c>
      <c r="AC22" s="34">
        <f>'表3-成本费用表'!AC67</f>
        <v>0</v>
      </c>
      <c r="AD22" s="34">
        <f>'表3-成本费用表'!AD67</f>
        <v>0</v>
      </c>
      <c r="AE22" s="34">
        <f>'表3-成本费用表'!AE67</f>
        <v>0</v>
      </c>
      <c r="AF22" s="34">
        <f>'表3-成本费用表'!AF67</f>
        <v>0</v>
      </c>
    </row>
    <row r="23" spans="2:32">
      <c r="B23" s="246">
        <v>2.5</v>
      </c>
      <c r="C23" s="240" t="s">
        <v>836</v>
      </c>
      <c r="D23" s="241">
        <f ca="1" t="shared" si="11"/>
        <v>29735.5712155891</v>
      </c>
      <c r="E23" s="18" t="s">
        <v>24</v>
      </c>
      <c r="F23" s="44"/>
      <c r="G23" s="44"/>
      <c r="H23" s="44"/>
      <c r="I23" s="44"/>
      <c r="J23" s="34">
        <f>'表4-收入税金表'!J32</f>
        <v>0</v>
      </c>
      <c r="K23" s="34">
        <f>'表4-收入税金表'!K32</f>
        <v>0</v>
      </c>
      <c r="L23" s="34">
        <f>'表4-收入税金表'!L32</f>
        <v>0</v>
      </c>
      <c r="M23" s="34">
        <f>'表4-收入税金表'!M32</f>
        <v>0</v>
      </c>
      <c r="N23" s="34">
        <f>'表4-收入税金表'!N32</f>
        <v>0</v>
      </c>
      <c r="O23" s="34">
        <f>'表4-收入税金表'!O32</f>
        <v>0</v>
      </c>
      <c r="P23" s="34">
        <f>'表4-收入税金表'!P32</f>
        <v>0</v>
      </c>
      <c r="Q23" s="34">
        <f>'表4-收入税金表'!Q32</f>
        <v>0</v>
      </c>
      <c r="R23" s="34">
        <f>'表4-收入税金表'!R32</f>
        <v>2283.50738310551</v>
      </c>
      <c r="S23" s="34">
        <f>'表4-收入税金表'!S32</f>
        <v>2375.95323256637</v>
      </c>
      <c r="T23" s="34">
        <f>'表4-收入税金表'!T32</f>
        <v>2364.87906867257</v>
      </c>
      <c r="U23" s="34">
        <f>'表4-收入税金表'!U32</f>
        <v>2353.80455964602</v>
      </c>
      <c r="V23" s="34">
        <f>'表4-收入税金表'!V32</f>
        <v>2342.73039575221</v>
      </c>
      <c r="W23" s="34">
        <f>'表4-收入税金表'!W32</f>
        <v>2290.37148305594</v>
      </c>
      <c r="X23" s="34">
        <f>'表4-收入税金表'!X32</f>
        <v>2320.58172283186</v>
      </c>
      <c r="Y23" s="34">
        <f>'表4-收入税金表'!Y32</f>
        <v>2309.50755893805</v>
      </c>
      <c r="Z23" s="34">
        <f>'表4-收入税金表'!Z32</f>
        <v>1963.9491219469</v>
      </c>
      <c r="AA23" s="34">
        <f>'表4-收入税金表'!AA32</f>
        <v>1765.19071610619</v>
      </c>
      <c r="AB23" s="34">
        <f>'表4-收入税金表'!AB32</f>
        <v>1715.40124765771</v>
      </c>
      <c r="AC23" s="34">
        <f>'表4-收入税金表'!AC32</f>
        <v>1748.18093168142</v>
      </c>
      <c r="AD23" s="34">
        <f>'表4-收入税金表'!AD32</f>
        <v>1739.6762120354</v>
      </c>
      <c r="AE23" s="34">
        <f>'表4-收入税金表'!AE32</f>
        <v>1731.17114725664</v>
      </c>
      <c r="AF23" s="34">
        <f ca="1">'表4-收入税金表'!AF32</f>
        <v>430.666434336283</v>
      </c>
    </row>
    <row r="24" spans="2:32">
      <c r="B24" s="246">
        <v>2.6</v>
      </c>
      <c r="C24" s="240" t="s">
        <v>837</v>
      </c>
      <c r="D24" s="241">
        <f ca="1" t="shared" si="11"/>
        <v>3568.26854587069</v>
      </c>
      <c r="E24" s="18" t="s">
        <v>24</v>
      </c>
      <c r="F24" s="44"/>
      <c r="G24" s="44"/>
      <c r="H24" s="44"/>
      <c r="I24" s="44"/>
      <c r="J24" s="34">
        <f>'表4-收入税金表'!J62+'表4-收入税金表'!J66</f>
        <v>0</v>
      </c>
      <c r="K24" s="34">
        <f>'表4-收入税金表'!K62+'表4-收入税金表'!K66</f>
        <v>0</v>
      </c>
      <c r="L24" s="34">
        <f>'表4-收入税金表'!L62+'表4-收入税金表'!L66</f>
        <v>0</v>
      </c>
      <c r="M24" s="34">
        <f>'表4-收入税金表'!M62+'表4-收入税金表'!M66</f>
        <v>0</v>
      </c>
      <c r="N24" s="34">
        <f>'表4-收入税金表'!N62+'表4-收入税金表'!N66</f>
        <v>0</v>
      </c>
      <c r="O24" s="34">
        <f>'表4-收入税金表'!O62+'表4-收入税金表'!O66</f>
        <v>0</v>
      </c>
      <c r="P24" s="34">
        <f>'表4-收入税金表'!P62+'表4-收入税金表'!P66</f>
        <v>0</v>
      </c>
      <c r="Q24" s="34">
        <f>'表4-收入税金表'!Q62+'表4-收入税金表'!Q66</f>
        <v>0</v>
      </c>
      <c r="R24" s="34">
        <f>'表4-收入税金表'!R62+'表4-收入税金表'!R66</f>
        <v>274.020885972662</v>
      </c>
      <c r="S24" s="34">
        <f>'表4-收入税金表'!S62+'表4-收入税金表'!S66</f>
        <v>285.114387907965</v>
      </c>
      <c r="T24" s="34">
        <f>'表4-收入税金表'!T62+'表4-收入税金表'!T66</f>
        <v>283.785488240708</v>
      </c>
      <c r="U24" s="34">
        <f>'表4-收入税金表'!U62+'表4-收入税金表'!U66</f>
        <v>282.456547157522</v>
      </c>
      <c r="V24" s="34">
        <f>'表4-收入税金表'!V62+'表4-收入税金表'!V66</f>
        <v>281.127647490266</v>
      </c>
      <c r="W24" s="34">
        <f>'表4-收入税金表'!W62+'表4-收入税金表'!W66</f>
        <v>274.844577966713</v>
      </c>
      <c r="X24" s="34">
        <f>'表4-收入税金表'!X62+'表4-收入税金表'!X66</f>
        <v>278.469806739823</v>
      </c>
      <c r="Y24" s="34">
        <f>'表4-收入税金表'!Y62+'表4-收入税金表'!Y66</f>
        <v>277.140907072566</v>
      </c>
      <c r="Z24" s="34">
        <f>'表4-收入税金表'!Z62+'表4-收入税金表'!Z66</f>
        <v>235.673894633628</v>
      </c>
      <c r="AA24" s="34">
        <f>'表4-收入税金表'!AA62+'表4-收入税金表'!AA66</f>
        <v>211.822885932743</v>
      </c>
      <c r="AB24" s="34">
        <f>'表4-收入税金表'!AB62+'表4-收入税金表'!AB66</f>
        <v>205.848149718925</v>
      </c>
      <c r="AC24" s="34">
        <f>'表4-收入税金表'!AC62+'表4-收入税金表'!AC66</f>
        <v>209.78171180177</v>
      </c>
      <c r="AD24" s="34">
        <f>'表4-收入税金表'!AD62+'表4-收入税金表'!AD66</f>
        <v>208.761145444248</v>
      </c>
      <c r="AE24" s="34">
        <f>'表4-收入税金表'!AE62+'表4-收入税金表'!AE66</f>
        <v>207.740537670796</v>
      </c>
      <c r="AF24" s="34">
        <f ca="1">'表4-收入税金表'!AF62+'表4-收入税金表'!AF66</f>
        <v>51.679972120354</v>
      </c>
    </row>
    <row r="25" spans="2:32">
      <c r="B25" s="246">
        <v>2.7</v>
      </c>
      <c r="C25" s="240" t="s">
        <v>838</v>
      </c>
      <c r="D25" s="241">
        <f t="shared" si="11"/>
        <v>0</v>
      </c>
      <c r="E25" s="18" t="s">
        <v>24</v>
      </c>
      <c r="F25" s="44"/>
      <c r="G25" s="44"/>
      <c r="H25" s="44"/>
      <c r="I25" s="44"/>
      <c r="J25" s="34">
        <f>参数输入表!$I$500</f>
        <v>0</v>
      </c>
      <c r="K25" s="34">
        <f>参数输入表!$I$501</f>
        <v>0</v>
      </c>
      <c r="L25" s="34">
        <f>参数输入表!$I$502</f>
        <v>0</v>
      </c>
      <c r="M25" s="34">
        <f>参数输入表!$I$503</f>
        <v>0</v>
      </c>
      <c r="N25" s="34">
        <f>参数输入表!$I$504</f>
        <v>0</v>
      </c>
      <c r="O25" s="34">
        <f>参数输入表!$I$505</f>
        <v>0</v>
      </c>
      <c r="P25" s="34">
        <f>参数输入表!$I$506</f>
        <v>0</v>
      </c>
      <c r="Q25" s="34">
        <f>参数输入表!$I$507</f>
        <v>0</v>
      </c>
      <c r="R25" s="34">
        <f>参数输入表!$I$508</f>
        <v>0</v>
      </c>
      <c r="S25" s="34">
        <f>参数输入表!$I$509</f>
        <v>0</v>
      </c>
      <c r="T25" s="34">
        <f>参数输入表!$I$510</f>
        <v>0</v>
      </c>
      <c r="U25" s="34">
        <f>参数输入表!$I$511</f>
        <v>0</v>
      </c>
      <c r="V25" s="34">
        <f>参数输入表!$I$512</f>
        <v>0</v>
      </c>
      <c r="W25" s="34">
        <f>参数输入表!$I$513</f>
        <v>0</v>
      </c>
      <c r="X25" s="34">
        <f>参数输入表!$I$514</f>
        <v>0</v>
      </c>
      <c r="Y25" s="34">
        <f>参数输入表!$I$515</f>
        <v>0</v>
      </c>
      <c r="Z25" s="34">
        <f>参数输入表!$I$516</f>
        <v>0</v>
      </c>
      <c r="AA25" s="34">
        <f>参数输入表!$I$517</f>
        <v>0</v>
      </c>
      <c r="AB25" s="34">
        <f>参数输入表!$I$518</f>
        <v>0</v>
      </c>
      <c r="AC25" s="34">
        <f>参数输入表!$I$519</f>
        <v>0</v>
      </c>
      <c r="AD25" s="34">
        <f>参数输入表!$I$520</f>
        <v>0</v>
      </c>
      <c r="AE25" s="34">
        <f>参数输入表!$I$521</f>
        <v>0</v>
      </c>
      <c r="AF25" s="34">
        <f>参数输入表!$I$522</f>
        <v>0</v>
      </c>
    </row>
    <row r="26" spans="2:32">
      <c r="B26" s="236">
        <v>3</v>
      </c>
      <c r="C26" s="237" t="s">
        <v>839</v>
      </c>
      <c r="D26" s="238">
        <f ca="1" t="shared" si="11"/>
        <v>126112.15962708</v>
      </c>
      <c r="E26" s="18" t="s">
        <v>24</v>
      </c>
      <c r="F26" s="19"/>
      <c r="G26" s="19"/>
      <c r="H26" s="19"/>
      <c r="I26" s="28">
        <f>-参数输入表!$I$12</f>
        <v>-47000</v>
      </c>
      <c r="J26" s="39">
        <f ca="1" t="shared" ref="J26:P26" si="12">J5-J18</f>
        <v>-37473.1166500549</v>
      </c>
      <c r="K26" s="39">
        <f ca="1" t="shared" si="12"/>
        <v>-82877.2055018527</v>
      </c>
      <c r="L26" s="39">
        <f ca="1" t="shared" si="12"/>
        <v>20282.0120932208</v>
      </c>
      <c r="M26" s="39">
        <f ca="1" t="shared" si="12"/>
        <v>18978.4100578523</v>
      </c>
      <c r="N26" s="39">
        <f ca="1" t="shared" si="12"/>
        <v>18560.1486008523</v>
      </c>
      <c r="O26" s="39">
        <f ca="1" t="shared" si="12"/>
        <v>18435.0885608523</v>
      </c>
      <c r="P26" s="39">
        <f ca="1" t="shared" si="12"/>
        <v>18310.0261208523</v>
      </c>
      <c r="Q26" s="39">
        <f ca="1" t="shared" ref="Q26:AF26" si="13">Q5-Q18</f>
        <v>18184.9654808523</v>
      </c>
      <c r="R26" s="39">
        <f ca="1" t="shared" si="13"/>
        <v>14818.8424196159</v>
      </c>
      <c r="S26" s="39">
        <f ca="1" t="shared" si="13"/>
        <v>15090.2424282197</v>
      </c>
      <c r="T26" s="39">
        <f ca="1" t="shared" si="13"/>
        <v>14977.5854517808</v>
      </c>
      <c r="U26" s="39">
        <f ca="1" t="shared" si="13"/>
        <v>14864.9264618905</v>
      </c>
      <c r="V26" s="39">
        <f ca="1" t="shared" si="13"/>
        <v>14752.2688854516</v>
      </c>
      <c r="W26" s="39">
        <f ca="1" t="shared" si="13"/>
        <v>14002.3160755133</v>
      </c>
      <c r="X26" s="39">
        <f ca="1" t="shared" si="13"/>
        <v>14343.4199669642</v>
      </c>
      <c r="Y26" s="39">
        <f ca="1" t="shared" si="13"/>
        <v>14230.7629905253</v>
      </c>
      <c r="Z26" s="39">
        <f ca="1" t="shared" si="13"/>
        <v>12166.7762239554</v>
      </c>
      <c r="AA26" s="39">
        <f ca="1" t="shared" si="13"/>
        <v>10377.710210497</v>
      </c>
      <c r="AB26" s="39">
        <f ca="1" t="shared" si="13"/>
        <v>9316.46530700109</v>
      </c>
      <c r="AC26" s="39">
        <f ca="1" t="shared" si="13"/>
        <v>9677.02582089454</v>
      </c>
      <c r="AD26" s="39">
        <f ca="1" t="shared" si="13"/>
        <v>9583.82546689808</v>
      </c>
      <c r="AE26" s="39">
        <f ca="1" t="shared" si="13"/>
        <v>9490.62309945029</v>
      </c>
      <c r="AF26" s="39">
        <f ca="1" t="shared" si="13"/>
        <v>3019.04005584771</v>
      </c>
    </row>
    <row r="27" spans="2:32">
      <c r="B27" s="236">
        <v>4</v>
      </c>
      <c r="C27" s="251" t="s">
        <v>840</v>
      </c>
      <c r="D27" s="16"/>
      <c r="E27" s="18" t="s">
        <v>24</v>
      </c>
      <c r="F27" s="19"/>
      <c r="G27" s="19"/>
      <c r="H27" s="19"/>
      <c r="I27" s="19">
        <f t="shared" ref="I27:Q27" si="14">H27+I26</f>
        <v>-47000</v>
      </c>
      <c r="J27" s="39">
        <f ca="1" t="shared" si="14"/>
        <v>-84473.1166500549</v>
      </c>
      <c r="K27" s="39">
        <f ca="1" t="shared" si="14"/>
        <v>-167350.322151908</v>
      </c>
      <c r="L27" s="39">
        <f ca="1" t="shared" si="14"/>
        <v>-147068.310058687</v>
      </c>
      <c r="M27" s="39">
        <f ca="1" t="shared" si="14"/>
        <v>-128089.900000834</v>
      </c>
      <c r="N27" s="39">
        <f ca="1" t="shared" si="14"/>
        <v>-109529.751399982</v>
      </c>
      <c r="O27" s="39">
        <f ca="1" t="shared" si="14"/>
        <v>-91094.6628391299</v>
      </c>
      <c r="P27" s="39">
        <f ca="1" t="shared" si="14"/>
        <v>-72784.6367182777</v>
      </c>
      <c r="Q27" s="39">
        <f ca="1" t="shared" si="14"/>
        <v>-54599.6712374254</v>
      </c>
      <c r="R27" s="39">
        <f ca="1" t="shared" ref="R27" si="15">Q27+R26</f>
        <v>-39780.8288178095</v>
      </c>
      <c r="S27" s="39">
        <f ca="1" t="shared" ref="S27" si="16">R27+S26</f>
        <v>-24690.5863895897</v>
      </c>
      <c r="T27" s="39">
        <f ca="1" t="shared" ref="T27" si="17">S27+T26</f>
        <v>-9713.00093780894</v>
      </c>
      <c r="U27" s="39">
        <f ca="1" t="shared" ref="U27" si="18">T27+U26</f>
        <v>5151.92552408161</v>
      </c>
      <c r="V27" s="39">
        <f ca="1" t="shared" ref="V27" si="19">U27+V26</f>
        <v>19904.1944095332</v>
      </c>
      <c r="W27" s="39">
        <f ca="1" t="shared" ref="W27" si="20">V27+W26</f>
        <v>33906.5104850465</v>
      </c>
      <c r="X27" s="39">
        <f ca="1" t="shared" ref="X27" si="21">W27+X26</f>
        <v>48249.9304520107</v>
      </c>
      <c r="Y27" s="39">
        <f ca="1" t="shared" ref="Y27" si="22">X27+Y26</f>
        <v>62480.693442536</v>
      </c>
      <c r="Z27" s="39">
        <f ca="1" t="shared" ref="Z27" si="23">Y27+Z26</f>
        <v>74647.4696664913</v>
      </c>
      <c r="AA27" s="39">
        <f ca="1" t="shared" ref="AA27" si="24">Z27+AA26</f>
        <v>85025.1798769883</v>
      </c>
      <c r="AB27" s="39">
        <f ca="1" t="shared" ref="AB27" si="25">AA27+AB26</f>
        <v>94341.6451839894</v>
      </c>
      <c r="AC27" s="39">
        <f ca="1" t="shared" ref="AC27" si="26">AB27+AC26</f>
        <v>104018.671004884</v>
      </c>
      <c r="AD27" s="39">
        <f ca="1" t="shared" ref="AD27" si="27">AC27+AD26</f>
        <v>113602.496471782</v>
      </c>
      <c r="AE27" s="39">
        <f ca="1" t="shared" ref="AE27" si="28">AD27+AE26</f>
        <v>123093.119571232</v>
      </c>
      <c r="AF27" s="39">
        <f ca="1" t="shared" ref="AF27" si="29">AE27+AF26</f>
        <v>126112.15962708</v>
      </c>
    </row>
    <row r="28" spans="2:32">
      <c r="B28" s="236">
        <v>5</v>
      </c>
      <c r="C28" s="251" t="s">
        <v>852</v>
      </c>
      <c r="D28" s="238">
        <f ca="1">SUM(F28:AF28)</f>
        <v>27786.7501718072</v>
      </c>
      <c r="E28" s="18" t="s">
        <v>24</v>
      </c>
      <c r="F28" s="19"/>
      <c r="G28" s="19"/>
      <c r="H28" s="19"/>
      <c r="I28" s="19">
        <f>'表7-利润表-全投资(标准格式)'!I50</f>
        <v>0</v>
      </c>
      <c r="J28" s="39">
        <f>'表7-利润表-全投资(标准格式)'!J50</f>
        <v>0</v>
      </c>
      <c r="K28" s="39">
        <f>'表7-利润表-全投资(标准格式)'!K50</f>
        <v>267.657920814256</v>
      </c>
      <c r="L28" s="39">
        <f>'表7-利润表-全投资(标准格式)'!L50</f>
        <v>567.670088454517</v>
      </c>
      <c r="M28" s="39">
        <f>'表7-利润表-全投资(标准格式)'!M50</f>
        <v>1066.58321503033</v>
      </c>
      <c r="N28" s="39">
        <f>'表7-利润表-全投资(标准格式)'!N50</f>
        <v>1049.4853336144</v>
      </c>
      <c r="O28" s="39">
        <f>'表7-利润表-全投资(标准格式)'!O50</f>
        <v>1032.38745219847</v>
      </c>
      <c r="P28" s="39">
        <f>'表7-利润表-全投资(标准格式)'!P50</f>
        <v>1015.28917255245</v>
      </c>
      <c r="Q28" s="39">
        <f>'表7-利润表-全投资(标准格式)'!Q50</f>
        <v>998.191291136522</v>
      </c>
      <c r="R28" s="39">
        <f>'表7-利润表-全投资(标准格式)'!R50</f>
        <v>1520.76670961813</v>
      </c>
      <c r="S28" s="39">
        <f>'表7-利润表-全投资(标准格式)'!S50</f>
        <v>1489.49686510776</v>
      </c>
      <c r="T28" s="39">
        <f>'表7-利润表-全投资(标准格式)'!T50</f>
        <v>1461.51864619802</v>
      </c>
      <c r="U28" s="39">
        <f>'表7-利润表-全投资(标准格式)'!U50</f>
        <v>1433.53977392546</v>
      </c>
      <c r="V28" s="39">
        <f>'表7-利润表-全投资(标准格式)'!V50</f>
        <v>1405.37552981572</v>
      </c>
      <c r="W28" s="39">
        <f>'表7-利润表-全投资(标准格式)'!W50</f>
        <v>1332.5660764137</v>
      </c>
      <c r="X28" s="39">
        <f>'表7-利润表-全投资(标准格式)'!X50</f>
        <v>1565.37672423852</v>
      </c>
      <c r="Y28" s="39">
        <f>'表7-利润表-全投资(标准格式)'!Y50</f>
        <v>1799.42590417343</v>
      </c>
      <c r="Z28" s="39">
        <f>'表7-利润表-全投资(标准格式)'!Z50</f>
        <v>1138.05720153095</v>
      </c>
      <c r="AA28" s="39">
        <f>'表7-利润表-全投资(标准格式)'!AA50</f>
        <v>754.592250166347</v>
      </c>
      <c r="AB28" s="39">
        <f>'表7-利润表-全投资(标准格式)'!AB50</f>
        <v>946.599361621153</v>
      </c>
      <c r="AC28" s="39">
        <f>'表7-利润表-全投资(标准格式)'!AC50</f>
        <v>2221.82278724298</v>
      </c>
      <c r="AD28" s="39">
        <f>'表7-利润表-全投资(标准格式)'!AD50</f>
        <v>2371.82430490801</v>
      </c>
      <c r="AE28" s="39">
        <f>'表7-利润表-全投资(标准格式)'!AE50</f>
        <v>2348.52356304606</v>
      </c>
      <c r="AF28" s="39">
        <f ca="1">'表7-利润表-全投资(标准格式)'!AF50</f>
        <v>0</v>
      </c>
    </row>
    <row r="29" spans="2:32">
      <c r="B29" s="252">
        <v>6</v>
      </c>
      <c r="C29" s="237" t="s">
        <v>842</v>
      </c>
      <c r="D29" s="253">
        <f ca="1">SUM(F29:AF29)</f>
        <v>98325.4094552728</v>
      </c>
      <c r="E29" s="18" t="s">
        <v>24</v>
      </c>
      <c r="F29" s="19"/>
      <c r="G29" s="19"/>
      <c r="H29" s="19"/>
      <c r="I29" s="28">
        <f>-参数输入表!$I$12</f>
        <v>-47000</v>
      </c>
      <c r="J29" s="39">
        <f ca="1" t="shared" ref="J29:R29" si="30">J26-J28</f>
        <v>-37473.1166500549</v>
      </c>
      <c r="K29" s="39">
        <f ca="1" t="shared" si="30"/>
        <v>-83144.8634226669</v>
      </c>
      <c r="L29" s="39">
        <f ca="1" t="shared" si="30"/>
        <v>19714.3420047663</v>
      </c>
      <c r="M29" s="39">
        <f ca="1" t="shared" si="30"/>
        <v>17911.8268428219</v>
      </c>
      <c r="N29" s="39">
        <f ca="1" t="shared" si="30"/>
        <v>17510.6632672379</v>
      </c>
      <c r="O29" s="39">
        <f ca="1" t="shared" si="30"/>
        <v>17402.7011086538</v>
      </c>
      <c r="P29" s="39">
        <f ca="1" t="shared" si="30"/>
        <v>17294.7369482998</v>
      </c>
      <c r="Q29" s="39">
        <f ca="1" t="shared" si="30"/>
        <v>17186.7741897157</v>
      </c>
      <c r="R29" s="39">
        <f ca="1" t="shared" si="30"/>
        <v>13298.0757099978</v>
      </c>
      <c r="S29" s="39">
        <f ca="1" t="shared" ref="S29:AF29" si="31">S26-S28</f>
        <v>13600.745563112</v>
      </c>
      <c r="T29" s="39">
        <f ca="1" t="shared" si="31"/>
        <v>13516.0668055828</v>
      </c>
      <c r="U29" s="39">
        <f ca="1" t="shared" si="31"/>
        <v>13431.3866879651</v>
      </c>
      <c r="V29" s="39">
        <f ca="1" t="shared" si="31"/>
        <v>13346.8933556359</v>
      </c>
      <c r="W29" s="39">
        <f ca="1" t="shared" si="31"/>
        <v>12669.7499990996</v>
      </c>
      <c r="X29" s="39">
        <f ca="1" t="shared" si="31"/>
        <v>12778.0432427257</v>
      </c>
      <c r="Y29" s="39">
        <f ca="1" t="shared" si="31"/>
        <v>12431.3370863519</v>
      </c>
      <c r="Z29" s="39">
        <f ca="1" t="shared" si="31"/>
        <v>11028.7190224244</v>
      </c>
      <c r="AA29" s="39">
        <f ca="1" t="shared" si="31"/>
        <v>9623.11796033062</v>
      </c>
      <c r="AB29" s="39">
        <f ca="1" t="shared" si="31"/>
        <v>8369.86594537994</v>
      </c>
      <c r="AC29" s="39">
        <f ca="1" t="shared" si="31"/>
        <v>7455.20303365155</v>
      </c>
      <c r="AD29" s="39">
        <f ca="1" t="shared" si="31"/>
        <v>7212.00116199007</v>
      </c>
      <c r="AE29" s="39">
        <f ca="1" t="shared" si="31"/>
        <v>7142.09953640423</v>
      </c>
      <c r="AF29" s="39">
        <f ca="1" t="shared" si="31"/>
        <v>3019.04005584771</v>
      </c>
    </row>
    <row r="30" ht="17.25" spans="2:32">
      <c r="B30" s="254">
        <v>7</v>
      </c>
      <c r="C30" s="255" t="s">
        <v>843</v>
      </c>
      <c r="D30" s="256"/>
      <c r="E30" s="58" t="s">
        <v>24</v>
      </c>
      <c r="F30" s="257"/>
      <c r="G30" s="257"/>
      <c r="H30" s="257"/>
      <c r="I30" s="257">
        <f t="shared" ref="I30:P30" si="32">H30+I29</f>
        <v>-47000</v>
      </c>
      <c r="J30" s="265">
        <f ca="1" t="shared" si="32"/>
        <v>-84473.1166500549</v>
      </c>
      <c r="K30" s="265">
        <f ca="1" t="shared" si="32"/>
        <v>-167617.980072722</v>
      </c>
      <c r="L30" s="265">
        <f ca="1" t="shared" si="32"/>
        <v>-147903.638067956</v>
      </c>
      <c r="M30" s="265">
        <f ca="1" t="shared" si="32"/>
        <v>-129991.811225134</v>
      </c>
      <c r="N30" s="265">
        <f ca="1" t="shared" si="32"/>
        <v>-112481.147957896</v>
      </c>
      <c r="O30" s="265">
        <f ca="1" t="shared" si="32"/>
        <v>-95078.4468492419</v>
      </c>
      <c r="P30" s="265">
        <f ca="1" t="shared" si="32"/>
        <v>-77783.7099009421</v>
      </c>
      <c r="Q30" s="265">
        <f ca="1" t="shared" ref="Q30:AF30" si="33">P30+Q29</f>
        <v>-60596.9357112264</v>
      </c>
      <c r="R30" s="265">
        <f ca="1" t="shared" si="33"/>
        <v>-47298.8600012286</v>
      </c>
      <c r="S30" s="265">
        <f ca="1" t="shared" si="33"/>
        <v>-33698.1144381166</v>
      </c>
      <c r="T30" s="265">
        <f ca="1" t="shared" si="33"/>
        <v>-20182.0476325338</v>
      </c>
      <c r="U30" s="265">
        <f ca="1" t="shared" si="33"/>
        <v>-6750.66094456874</v>
      </c>
      <c r="V30" s="265">
        <f ca="1" t="shared" si="33"/>
        <v>6596.23241106714</v>
      </c>
      <c r="W30" s="265">
        <f ca="1" t="shared" si="33"/>
        <v>19265.9824101667</v>
      </c>
      <c r="X30" s="265">
        <f ca="1" t="shared" si="33"/>
        <v>32044.0256528924</v>
      </c>
      <c r="Y30" s="265">
        <f ca="1" t="shared" si="33"/>
        <v>44475.3627392443</v>
      </c>
      <c r="Z30" s="265">
        <f ca="1" t="shared" si="33"/>
        <v>55504.0817616687</v>
      </c>
      <c r="AA30" s="265">
        <f ca="1" t="shared" si="33"/>
        <v>65127.1997219993</v>
      </c>
      <c r="AB30" s="265">
        <f ca="1" t="shared" si="33"/>
        <v>73497.0656673792</v>
      </c>
      <c r="AC30" s="265">
        <f ca="1" t="shared" si="33"/>
        <v>80952.2687010308</v>
      </c>
      <c r="AD30" s="265">
        <f ca="1" t="shared" si="33"/>
        <v>88164.2698630209</v>
      </c>
      <c r="AE30" s="265">
        <f ca="1" t="shared" si="33"/>
        <v>95306.3693994251</v>
      </c>
      <c r="AF30" s="265">
        <f ca="1" t="shared" si="33"/>
        <v>98325.4094552728</v>
      </c>
    </row>
    <row r="32" spans="3:32">
      <c r="C32" s="16" t="s">
        <v>853</v>
      </c>
      <c r="D32" s="258">
        <f ca="1">XIRR(I26:AF26,I3:AF3)</f>
        <v>0.0644630302347182</v>
      </c>
      <c r="E32" s="259"/>
      <c r="F32" s="259"/>
      <c r="G32" s="259"/>
      <c r="H32" s="259"/>
      <c r="I32" s="259"/>
      <c r="J32" s="259"/>
      <c r="K32" s="259"/>
      <c r="L32" s="259"/>
      <c r="M32" s="259"/>
      <c r="N32" s="259"/>
      <c r="O32" s="259"/>
      <c r="P32" s="259"/>
      <c r="Q32" s="259"/>
      <c r="R32" s="259"/>
      <c r="S32" s="259"/>
      <c r="T32" s="259"/>
      <c r="U32" s="259"/>
      <c r="V32" s="259"/>
      <c r="W32" s="259"/>
      <c r="X32" s="259"/>
      <c r="Y32" s="259"/>
      <c r="Z32" s="259"/>
      <c r="AA32" s="259"/>
      <c r="AB32" s="259"/>
      <c r="AC32" s="259"/>
      <c r="AD32" s="259"/>
      <c r="AE32" s="259"/>
      <c r="AF32" s="259"/>
    </row>
    <row r="33" spans="3:32">
      <c r="C33" s="16" t="s">
        <v>854</v>
      </c>
      <c r="D33" s="258">
        <f ca="1">XIRR(I29:AF29,I3:AF3)</f>
        <v>0.0532063804686749</v>
      </c>
      <c r="E33" s="259"/>
      <c r="F33" s="259"/>
      <c r="G33" s="259"/>
      <c r="H33" s="259"/>
      <c r="I33" s="259"/>
      <c r="J33" s="259"/>
      <c r="K33" s="259"/>
      <c r="L33" s="259"/>
      <c r="M33" s="259"/>
      <c r="N33" s="259"/>
      <c r="O33" s="259"/>
      <c r="P33" s="259"/>
      <c r="Q33" s="259"/>
      <c r="R33" s="259"/>
      <c r="S33" s="259"/>
      <c r="T33" s="259"/>
      <c r="U33" s="259"/>
      <c r="V33" s="259"/>
      <c r="W33" s="259"/>
      <c r="X33" s="259"/>
      <c r="Y33" s="259"/>
      <c r="Z33" s="259"/>
      <c r="AA33" s="259"/>
      <c r="AB33" s="259"/>
      <c r="AC33" s="259"/>
      <c r="AD33" s="259"/>
      <c r="AE33" s="259"/>
      <c r="AF33" s="259"/>
    </row>
    <row r="34" spans="3:32">
      <c r="C34" s="16" t="s">
        <v>846</v>
      </c>
      <c r="D34" s="19">
        <f ca="1">SUM(F34:AF34)</f>
        <v>12.005785186462</v>
      </c>
      <c r="E34" s="18" t="s">
        <v>55</v>
      </c>
      <c r="F34" s="44"/>
      <c r="G34" s="44"/>
      <c r="H34" s="44"/>
      <c r="I34" s="44"/>
      <c r="J34" s="44">
        <f ca="1">IF(J30/I30&lt;0,I4-参数输入表!$I$7-MONTH(参数输入表!$I$8)/12+ABS(I30/J29),0)</f>
        <v>0</v>
      </c>
      <c r="K34" s="44">
        <f ca="1">IF(K30/J30&lt;0,J4-参数输入表!$I$7-MONTH(参数输入表!$I$8)/12+ABS(J30/K29),0)</f>
        <v>0</v>
      </c>
      <c r="L34" s="44">
        <f ca="1">IF(L30/K30&lt;0,K4-参数输入表!$I$7-MONTH(参数输入表!$I$8)/12+ABS(K30/L29),0)</f>
        <v>0</v>
      </c>
      <c r="M34" s="44">
        <f ca="1">IF(M30/L30&lt;0,L4-参数输入表!$I$7-MONTH(参数输入表!$I$8)/12+ABS(L30/M29),0)</f>
        <v>0</v>
      </c>
      <c r="N34" s="44">
        <f ca="1">IF(N30/M30&lt;0,M4-参数输入表!$I$7-MONTH(参数输入表!$I$8)/12+ABS(M30/N29),0)</f>
        <v>0</v>
      </c>
      <c r="O34" s="44">
        <f ca="1">IF(O30/N30&lt;0,N4-参数输入表!$I$7-MONTH(参数输入表!$I$8)/12+ABS(N30/O29),0)</f>
        <v>0</v>
      </c>
      <c r="P34" s="44">
        <f ca="1">IF(P30/O30&lt;0,O4-参数输入表!$I$7-MONTH(参数输入表!$I$8)/12+ABS(O30/P29),0)</f>
        <v>0</v>
      </c>
      <c r="Q34" s="44">
        <f ca="1">IF(Q30/P30&lt;0,P4-参数输入表!$I$7-MONTH(参数输入表!$I$8)/12+ABS(P30/Q29),0)</f>
        <v>0</v>
      </c>
      <c r="R34" s="44">
        <f ca="1">IF(R30/Q30&lt;0,Q4-参数输入表!$I$7-MONTH(参数输入表!$I$8)/12+ABS(Q30/R29),0)</f>
        <v>0</v>
      </c>
      <c r="S34" s="44">
        <f ca="1">IF(S30/R30&lt;0,R4-参数输入表!$I$7-MONTH(参数输入表!$I$8)/12+ABS(R30/S29),0)</f>
        <v>0</v>
      </c>
      <c r="T34" s="44">
        <f ca="1">IF(T30/S30&lt;0,S4-参数输入表!$I$7-MONTH(参数输入表!$I$8)/12+ABS(S30/T29),0)</f>
        <v>0</v>
      </c>
      <c r="U34" s="44">
        <f ca="1">IF(U30/T30&lt;0,T4-参数输入表!$I$7-MONTH(参数输入表!$I$8)/12+ABS(T30/U29),0)</f>
        <v>0</v>
      </c>
      <c r="V34" s="44">
        <f ca="1">IF(V30/U30&lt;0,U4-参数输入表!$I$7-MONTH(参数输入表!$I$8)/12+ABS(U30/V29),0)</f>
        <v>12.005785186462</v>
      </c>
      <c r="W34" s="44">
        <f ca="1">IF(W30/V30&lt;0,V4-参数输入表!$I$7-MONTH(参数输入表!$I$8)/12+ABS(V30/W29),0)</f>
        <v>0</v>
      </c>
      <c r="X34" s="44">
        <f ca="1">IF(X30/W30&lt;0,W4-参数输入表!$I$7-MONTH(参数输入表!$I$8)/12+ABS(W30/X29),0)</f>
        <v>0</v>
      </c>
      <c r="Y34" s="44">
        <f ca="1">IF(Y30/X30&lt;0,X4-参数输入表!$I$7-MONTH(参数输入表!$I$8)/12+ABS(X30/Y29),0)</f>
        <v>0</v>
      </c>
      <c r="Z34" s="44">
        <f ca="1">IF(Z30/Y30&lt;0,Y4-参数输入表!$I$7-MONTH(参数输入表!$I$8)/12+ABS(Y30/Z29),0)</f>
        <v>0</v>
      </c>
      <c r="AA34" s="44">
        <f ca="1">IF(AA30/Z30&lt;0,Z4-参数输入表!$I$7-MONTH(参数输入表!$I$8)/12+ABS(Z30/AA29),0)</f>
        <v>0</v>
      </c>
      <c r="AB34" s="44">
        <f ca="1">IF(AB30/AA30&lt;0,AA4-参数输入表!$I$7-MONTH(参数输入表!$I$8)/12+ABS(AA30/AB29),0)</f>
        <v>0</v>
      </c>
      <c r="AC34" s="44">
        <f ca="1">IF(AC30/AB30&lt;0,AB4-参数输入表!$I$7-MONTH(参数输入表!$I$8)/12+ABS(AB30/AC29),0)</f>
        <v>0</v>
      </c>
      <c r="AD34" s="44">
        <f ca="1">IF(AD30/AC30&lt;0,AC4-参数输入表!$I$7-MONTH(参数输入表!$I$8)/12+ABS(AC30/AD29),0)</f>
        <v>0</v>
      </c>
      <c r="AE34" s="44">
        <f ca="1">IF(AE30/AD30&lt;0,AD4-参数输入表!$I$7-MONTH(参数输入表!$I$8)/12+ABS(AD30/AE29),0)</f>
        <v>0</v>
      </c>
      <c r="AF34" s="44">
        <f ca="1">IF(AF30/AE30&lt;0,AE4-参数输入表!$I$7-MONTH(参数输入表!$I$8)/12+ABS(AE30/AF29),0)</f>
        <v>0</v>
      </c>
    </row>
    <row r="35" spans="3:4">
      <c r="C35" s="4"/>
      <c r="D35" s="260"/>
    </row>
    <row r="36" ht="21.5" spans="3:3">
      <c r="C36" s="59" t="s">
        <v>645</v>
      </c>
    </row>
    <row r="37" ht="22.5" spans="3:3">
      <c r="C37" s="93" t="s">
        <v>847</v>
      </c>
    </row>
    <row r="38" ht="22.5" spans="3:3">
      <c r="C38" s="93" t="s">
        <v>848</v>
      </c>
    </row>
    <row r="39" ht="21.5" spans="3:15">
      <c r="C39" s="59"/>
      <c r="O39" s="266"/>
    </row>
    <row r="40" spans="14:14">
      <c r="N40" s="266"/>
    </row>
    <row r="41" spans="3:4">
      <c r="C41" s="261" t="s">
        <v>855</v>
      </c>
      <c r="D41" s="262">
        <f ca="1">D29-'表7-利润表-全投资(标准格式)'!D51</f>
        <v>-5618.1221993247</v>
      </c>
    </row>
  </sheetData>
  <mergeCells count="4">
    <mergeCell ref="B3:B4"/>
    <mergeCell ref="C3:C4"/>
    <mergeCell ref="D3:D4"/>
    <mergeCell ref="E3:E4"/>
  </mergeCell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rgb="FF0070C0"/>
  </sheetPr>
  <dimension ref="B1:AP68"/>
  <sheetViews>
    <sheetView showGridLines="0" zoomScale="70" zoomScaleNormal="70" workbookViewId="0">
      <selection activeCell="C61" sqref="C61"/>
    </sheetView>
  </sheetViews>
  <sheetFormatPr defaultColWidth="9" defaultRowHeight="16.5"/>
  <cols>
    <col min="1" max="1" width="1.44545454545455" style="4" customWidth="1"/>
    <col min="2" max="2" width="5.66363636363636" style="5" customWidth="1"/>
    <col min="3" max="3" width="61" style="4" customWidth="1"/>
    <col min="4" max="4" width="16.5545454545455" style="4" customWidth="1"/>
    <col min="5" max="5" width="9" style="5"/>
    <col min="6" max="6" width="13.8909090909091" style="4" customWidth="1"/>
    <col min="7" max="7" width="15.4454545454545" style="4" customWidth="1"/>
    <col min="8" max="22" width="13.8909090909091" style="4" customWidth="1"/>
    <col min="23" max="32" width="12.8909090909091" style="4" customWidth="1"/>
    <col min="33" max="16384" width="9" style="4"/>
  </cols>
  <sheetData>
    <row r="1" ht="4.95" customHeight="1"/>
    <row r="2" ht="17.25" spans="2:4">
      <c r="B2" s="222" t="s">
        <v>856</v>
      </c>
      <c r="D2" s="5"/>
    </row>
    <row r="3" spans="2:32">
      <c r="B3" s="7" t="s">
        <v>15</v>
      </c>
      <c r="C3" s="8" t="s">
        <v>463</v>
      </c>
      <c r="D3" s="9" t="s">
        <v>17</v>
      </c>
      <c r="E3" s="9" t="s">
        <v>18</v>
      </c>
      <c r="F3" s="10" t="s">
        <v>464</v>
      </c>
      <c r="G3" s="10" t="s">
        <v>465</v>
      </c>
      <c r="H3" s="10" t="s">
        <v>466</v>
      </c>
      <c r="I3" s="37">
        <v>45107</v>
      </c>
      <c r="J3" s="37">
        <v>45261</v>
      </c>
      <c r="K3" s="10" t="s">
        <v>20</v>
      </c>
      <c r="L3" s="10" t="s">
        <v>467</v>
      </c>
      <c r="M3" s="10" t="s">
        <v>468</v>
      </c>
      <c r="N3" s="10" t="s">
        <v>469</v>
      </c>
      <c r="O3" s="10" t="s">
        <v>470</v>
      </c>
      <c r="P3" s="10" t="s">
        <v>471</v>
      </c>
      <c r="Q3" s="10" t="s">
        <v>472</v>
      </c>
      <c r="R3" s="10" t="s">
        <v>473</v>
      </c>
      <c r="S3" s="10" t="s">
        <v>474</v>
      </c>
      <c r="T3" s="10" t="s">
        <v>475</v>
      </c>
      <c r="U3" s="10" t="s">
        <v>476</v>
      </c>
      <c r="V3" s="10" t="s">
        <v>477</v>
      </c>
      <c r="W3" s="10" t="s">
        <v>478</v>
      </c>
      <c r="X3" s="10" t="s">
        <v>479</v>
      </c>
      <c r="Y3" s="10" t="s">
        <v>480</v>
      </c>
      <c r="Z3" s="10" t="s">
        <v>481</v>
      </c>
      <c r="AA3" s="10" t="s">
        <v>482</v>
      </c>
      <c r="AB3" s="10" t="s">
        <v>483</v>
      </c>
      <c r="AC3" s="10" t="s">
        <v>484</v>
      </c>
      <c r="AD3" s="10" t="s">
        <v>485</v>
      </c>
      <c r="AE3" s="10" t="s">
        <v>486</v>
      </c>
      <c r="AF3" s="37">
        <v>53051</v>
      </c>
    </row>
    <row r="4" spans="2:32">
      <c r="B4" s="11"/>
      <c r="C4" s="12"/>
      <c r="D4" s="13"/>
      <c r="E4" s="13"/>
      <c r="F4" s="14">
        <v>1</v>
      </c>
      <c r="G4" s="14">
        <v>2</v>
      </c>
      <c r="H4" s="14">
        <v>3</v>
      </c>
      <c r="I4" s="14">
        <v>4</v>
      </c>
      <c r="J4" s="38">
        <v>5</v>
      </c>
      <c r="K4" s="38">
        <v>6</v>
      </c>
      <c r="L4" s="38">
        <v>7</v>
      </c>
      <c r="M4" s="38">
        <v>8</v>
      </c>
      <c r="N4" s="38">
        <v>9</v>
      </c>
      <c r="O4" s="38">
        <v>10</v>
      </c>
      <c r="P4" s="38">
        <v>11</v>
      </c>
      <c r="Q4" s="38">
        <v>12</v>
      </c>
      <c r="R4" s="38">
        <v>13</v>
      </c>
      <c r="S4" s="38">
        <v>14</v>
      </c>
      <c r="T4" s="38">
        <v>15</v>
      </c>
      <c r="U4" s="38">
        <v>16</v>
      </c>
      <c r="V4" s="38">
        <v>17</v>
      </c>
      <c r="W4" s="38">
        <v>18</v>
      </c>
      <c r="X4" s="38">
        <v>19</v>
      </c>
      <c r="Y4" s="38">
        <v>20</v>
      </c>
      <c r="Z4" s="38">
        <v>21</v>
      </c>
      <c r="AA4" s="38">
        <v>22</v>
      </c>
      <c r="AB4" s="38">
        <v>23</v>
      </c>
      <c r="AC4" s="38">
        <v>24</v>
      </c>
      <c r="AD4" s="38">
        <v>25</v>
      </c>
      <c r="AE4" s="38">
        <v>26</v>
      </c>
      <c r="AF4" s="38">
        <v>27</v>
      </c>
    </row>
    <row r="5" ht="19.95" customHeight="1" spans="2:32">
      <c r="B5" s="15" t="s">
        <v>724</v>
      </c>
      <c r="C5" s="223" t="s">
        <v>857</v>
      </c>
      <c r="D5" s="17"/>
      <c r="E5" s="18"/>
      <c r="F5" s="22"/>
      <c r="G5" s="22"/>
      <c r="H5" s="22"/>
      <c r="I5" s="22"/>
      <c r="J5" s="22"/>
      <c r="K5" s="22"/>
      <c r="L5" s="22"/>
      <c r="M5" s="22"/>
      <c r="N5" s="22"/>
      <c r="O5" s="22"/>
      <c r="P5" s="22"/>
      <c r="Q5" s="22"/>
      <c r="R5" s="22"/>
      <c r="S5" s="22"/>
      <c r="T5" s="22"/>
      <c r="U5" s="22"/>
      <c r="V5" s="22"/>
      <c r="W5" s="22"/>
      <c r="X5" s="22"/>
      <c r="Y5" s="22"/>
      <c r="Z5" s="22"/>
      <c r="AA5" s="22"/>
      <c r="AB5" s="22"/>
      <c r="AC5" s="22"/>
      <c r="AD5" s="22"/>
      <c r="AE5" s="22"/>
      <c r="AF5" s="22"/>
    </row>
    <row r="6" ht="19.95" customHeight="1" spans="2:32">
      <c r="B6" s="20"/>
      <c r="C6" s="24" t="s">
        <v>858</v>
      </c>
      <c r="D6" s="22">
        <f>SUM(F6:AF6)</f>
        <v>407916.090797</v>
      </c>
      <c r="E6" s="18" t="s">
        <v>24</v>
      </c>
      <c r="F6" s="23"/>
      <c r="G6" s="23"/>
      <c r="H6" s="23"/>
      <c r="I6" s="23"/>
      <c r="J6" s="23">
        <f>'表6-现金流量表-资本金'!J7+IF(参数输入表!$I$721="手动输入",基准日往来账处理!J72,基准日往来账处理!J150)</f>
        <v>4515.6006086</v>
      </c>
      <c r="K6" s="23">
        <f>'表6-现金流量表-资本金'!K7+IF(参数输入表!$I$721="手动输入",基准日往来账处理!K72,基准日往来账处理!K150)</f>
        <v>16162.06991065</v>
      </c>
      <c r="L6" s="23">
        <f>'表6-现金流量表-资本金'!L7+IF(参数输入表!$I$721="手动输入",基准日往来账处理!L72,基准日往来账处理!L150)</f>
        <v>23103.44016475</v>
      </c>
      <c r="M6" s="23">
        <f>'表6-现金流量表-资本金'!M7+IF(参数输入表!$I$721="手动输入",基准日往来账处理!M72,基准日往来账处理!M150)</f>
        <v>21746.963053</v>
      </c>
      <c r="N6" s="23">
        <f>'表6-现金流量表-资本金'!N7+IF(参数输入表!$I$721="手动输入",基准日往来账处理!N72,基准日往来账处理!N150)</f>
        <v>20833.074768</v>
      </c>
      <c r="O6" s="23">
        <f>'表6-现金流量表-资本金'!O7+IF(参数输入表!$I$721="手动输入",基准日往来账处理!O72,基准日往来账处理!O150)</f>
        <v>20736.814728</v>
      </c>
      <c r="P6" s="23">
        <f>'表6-现金流量表-资本金'!P7+IF(参数输入表!$I$721="手动输入",基准日往来账处理!P72,基准日往来账处理!P150)</f>
        <v>20640.552288</v>
      </c>
      <c r="Q6" s="23">
        <f>'表6-现金流量表-资本金'!Q7+IF(参数输入表!$I$721="手动输入",基准日往来账处理!Q72,基准日往来账处理!Q150)</f>
        <v>20544.291648</v>
      </c>
      <c r="R6" s="23">
        <f>'表6-现金流量表-资本金'!R7+IF(参数输入表!$I$721="手动输入",基准日往来账处理!R72,基准日往来账处理!R150)</f>
        <v>20448.029208</v>
      </c>
      <c r="S6" s="23">
        <f>'表6-现金流量表-资本金'!S7+IF(参数输入表!$I$721="手动输入",基准日往来账处理!S72,基准日往来账处理!S150)</f>
        <v>20351.768568</v>
      </c>
      <c r="T6" s="23">
        <f>'表6-现金流量表-资本金'!T7+IF(参数输入表!$I$721="手动输入",基准日往来账处理!T72,基准日往来账处理!T150)</f>
        <v>20255.508528</v>
      </c>
      <c r="U6" s="23">
        <f>'表6-现金流量表-资本金'!U7+IF(参数输入表!$I$721="手动输入",基准日往来账处理!U72,基准日往来账处理!U150)</f>
        <v>20159.246088</v>
      </c>
      <c r="V6" s="23">
        <f>'表6-现金流量表-资本金'!V7+IF(参数输入表!$I$721="手动输入",基准日往来账处理!V72,基准日往来账处理!V150)</f>
        <v>20062.985448</v>
      </c>
      <c r="W6" s="23">
        <f>'表6-现金流量表-资本金'!W7+IF(参数输入表!$I$721="手动输入",基准日往来账处理!W72,基准日往来账处理!W150)</f>
        <v>19966.723008</v>
      </c>
      <c r="X6" s="23">
        <f>'表6-现金流量表-资本金'!X7+IF(参数输入表!$I$721="手动输入",基准日往来账处理!X72,基准日往来账处理!X150)</f>
        <v>19870.462368</v>
      </c>
      <c r="Y6" s="23">
        <f>'表6-现金流量表-资本金'!Y7+IF(参数输入表!$I$721="手动输入",基准日往来账处理!Y72,基准日往来账处理!Y150)</f>
        <v>19774.202328</v>
      </c>
      <c r="Z6" s="23">
        <f>'表6-现金流量表-资本金'!Z7+IF(参数输入表!$I$721="手动输入",基准日往来账处理!Z72,基准日往来账处理!Z150)</f>
        <v>17351.990112</v>
      </c>
      <c r="AA6" s="23">
        <f>'表6-现金流量表-资本金'!AA7+IF(参数输入表!$I$721="手动输入",基准日往来账处理!AA72,基准日往来账处理!AA150)</f>
        <v>15369.114684</v>
      </c>
      <c r="AB6" s="23">
        <f>'表6-现金流量表-资本金'!AB7+IF(参数输入表!$I$721="手动输入",基准日往来账处理!AB72,基准日往来账处理!AB150)</f>
        <v>14964.437928</v>
      </c>
      <c r="AC6" s="23">
        <f>'表6-现金流量表-资本金'!AC7+IF(参数输入表!$I$721="手动输入",基准日往来账处理!AC72,基准日往来账处理!AC150)</f>
        <v>14890.511688</v>
      </c>
      <c r="AD6" s="23">
        <f>'表6-现金流量表-资本金'!AD7+IF(参数输入表!$I$721="手动输入",基准日往来账处理!AD72,基准日往来账处理!AD150)</f>
        <v>14816.586048</v>
      </c>
      <c r="AE6" s="23">
        <f>'表6-现金流量表-资本金'!AE7+IF(参数输入表!$I$721="手动输入",基准日往来账处理!AE72,基准日往来账处理!AE150)</f>
        <v>14742.658008</v>
      </c>
      <c r="AF6" s="23">
        <f>'表6-现金流量表-资本金'!AF7+IF(参数输入表!$I$721="手动输入",基准日往来账处理!AF72,基准日往来账处理!AF150)</f>
        <v>6609.059616</v>
      </c>
    </row>
    <row r="7" ht="19.95" customHeight="1" spans="2:32">
      <c r="B7" s="20"/>
      <c r="C7" s="21" t="s">
        <v>859</v>
      </c>
      <c r="D7" s="22">
        <f t="shared" ref="D7:D21" si="0">SUM(F7:AF7)</f>
        <v>0</v>
      </c>
      <c r="E7" s="18" t="s">
        <v>24</v>
      </c>
      <c r="F7" s="23"/>
      <c r="G7" s="23"/>
      <c r="H7" s="23"/>
      <c r="I7" s="23"/>
      <c r="J7" s="22"/>
      <c r="K7" s="22"/>
      <c r="L7" s="22"/>
      <c r="M7" s="22"/>
      <c r="N7" s="22"/>
      <c r="O7" s="22"/>
      <c r="P7" s="22"/>
      <c r="Q7" s="22"/>
      <c r="R7" s="22"/>
      <c r="S7" s="22"/>
      <c r="T7" s="22"/>
      <c r="U7" s="22"/>
      <c r="V7" s="22"/>
      <c r="W7" s="22"/>
      <c r="X7" s="22"/>
      <c r="Y7" s="22"/>
      <c r="Z7" s="22"/>
      <c r="AA7" s="22"/>
      <c r="AB7" s="22"/>
      <c r="AC7" s="22"/>
      <c r="AD7" s="22"/>
      <c r="AE7" s="22"/>
      <c r="AF7" s="22"/>
    </row>
    <row r="8" ht="19.95" customHeight="1" spans="2:32">
      <c r="B8" s="20"/>
      <c r="C8" s="21" t="s">
        <v>860</v>
      </c>
      <c r="D8" s="22">
        <f t="shared" si="0"/>
        <v>0</v>
      </c>
      <c r="E8" s="18" t="s">
        <v>24</v>
      </c>
      <c r="F8" s="23"/>
      <c r="G8" s="23"/>
      <c r="H8" s="23"/>
      <c r="I8" s="23"/>
      <c r="J8" s="22"/>
      <c r="K8" s="22"/>
      <c r="L8" s="22"/>
      <c r="M8" s="22"/>
      <c r="N8" s="22"/>
      <c r="O8" s="22"/>
      <c r="P8" s="22"/>
      <c r="Q8" s="22"/>
      <c r="R8" s="22"/>
      <c r="S8" s="22"/>
      <c r="T8" s="22"/>
      <c r="U8" s="22"/>
      <c r="V8" s="22"/>
      <c r="W8" s="22"/>
      <c r="X8" s="22"/>
      <c r="Y8" s="22"/>
      <c r="Z8" s="22"/>
      <c r="AA8" s="22"/>
      <c r="AB8" s="22"/>
      <c r="AC8" s="22"/>
      <c r="AD8" s="22"/>
      <c r="AE8" s="22"/>
      <c r="AF8" s="22"/>
    </row>
    <row r="9" ht="19.95" customHeight="1" spans="2:32">
      <c r="B9" s="20"/>
      <c r="C9" s="21" t="s">
        <v>861</v>
      </c>
      <c r="D9" s="22">
        <f t="shared" si="0"/>
        <v>0</v>
      </c>
      <c r="E9" s="18" t="s">
        <v>24</v>
      </c>
      <c r="F9" s="23"/>
      <c r="G9" s="23"/>
      <c r="H9" s="23"/>
      <c r="I9" s="23"/>
      <c r="J9" s="22"/>
      <c r="K9" s="22"/>
      <c r="L9" s="22"/>
      <c r="M9" s="22"/>
      <c r="N9" s="22"/>
      <c r="O9" s="22"/>
      <c r="P9" s="22"/>
      <c r="Q9" s="22"/>
      <c r="R9" s="22"/>
      <c r="S9" s="22"/>
      <c r="T9" s="22"/>
      <c r="U9" s="22"/>
      <c r="V9" s="22"/>
      <c r="W9" s="22"/>
      <c r="X9" s="22"/>
      <c r="Y9" s="22"/>
      <c r="Z9" s="22"/>
      <c r="AA9" s="22"/>
      <c r="AB9" s="22"/>
      <c r="AC9" s="22"/>
      <c r="AD9" s="22"/>
      <c r="AE9" s="22"/>
      <c r="AF9" s="22"/>
    </row>
    <row r="10" ht="19.95" customHeight="1" spans="2:32">
      <c r="B10" s="20"/>
      <c r="C10" s="21" t="s">
        <v>862</v>
      </c>
      <c r="D10" s="22">
        <f t="shared" si="0"/>
        <v>0</v>
      </c>
      <c r="E10" s="18" t="s">
        <v>24</v>
      </c>
      <c r="F10" s="23"/>
      <c r="G10" s="23"/>
      <c r="H10" s="23"/>
      <c r="I10" s="23"/>
      <c r="J10" s="22"/>
      <c r="K10" s="22"/>
      <c r="L10" s="22"/>
      <c r="M10" s="22"/>
      <c r="N10" s="22"/>
      <c r="O10" s="22"/>
      <c r="P10" s="22"/>
      <c r="Q10" s="22"/>
      <c r="R10" s="22"/>
      <c r="S10" s="22"/>
      <c r="T10" s="22"/>
      <c r="U10" s="22"/>
      <c r="V10" s="22"/>
      <c r="W10" s="22"/>
      <c r="X10" s="22"/>
      <c r="Y10" s="22"/>
      <c r="Z10" s="22"/>
      <c r="AA10" s="22"/>
      <c r="AB10" s="22"/>
      <c r="AC10" s="22"/>
      <c r="AD10" s="22"/>
      <c r="AE10" s="22"/>
      <c r="AF10" s="22"/>
    </row>
    <row r="11" ht="19.95" customHeight="1" spans="2:32">
      <c r="B11" s="20"/>
      <c r="C11" s="21" t="s">
        <v>863</v>
      </c>
      <c r="D11" s="22">
        <f t="shared" si="0"/>
        <v>0</v>
      </c>
      <c r="E11" s="18" t="s">
        <v>24</v>
      </c>
      <c r="F11" s="23"/>
      <c r="G11" s="23"/>
      <c r="H11" s="23"/>
      <c r="I11" s="23"/>
      <c r="J11" s="22"/>
      <c r="K11" s="22"/>
      <c r="L11" s="22"/>
      <c r="M11" s="22"/>
      <c r="N11" s="22"/>
      <c r="O11" s="22"/>
      <c r="P11" s="22"/>
      <c r="Q11" s="22"/>
      <c r="R11" s="22"/>
      <c r="S11" s="22"/>
      <c r="T11" s="22"/>
      <c r="U11" s="22"/>
      <c r="V11" s="22"/>
      <c r="W11" s="22"/>
      <c r="X11" s="22"/>
      <c r="Y11" s="22"/>
      <c r="Z11" s="22"/>
      <c r="AA11" s="22"/>
      <c r="AB11" s="22"/>
      <c r="AC11" s="22"/>
      <c r="AD11" s="22"/>
      <c r="AE11" s="22"/>
      <c r="AF11" s="22"/>
    </row>
    <row r="12" ht="19.95" customHeight="1" spans="2:42">
      <c r="B12" s="20"/>
      <c r="C12" s="21" t="s">
        <v>864</v>
      </c>
      <c r="D12" s="22">
        <f t="shared" si="0"/>
        <v>0</v>
      </c>
      <c r="E12" s="18" t="s">
        <v>24</v>
      </c>
      <c r="F12" s="23"/>
      <c r="G12" s="23"/>
      <c r="H12" s="23"/>
      <c r="I12" s="23"/>
      <c r="J12" s="22"/>
      <c r="K12" s="22"/>
      <c r="L12" s="22"/>
      <c r="M12" s="22"/>
      <c r="N12" s="22"/>
      <c r="O12" s="22"/>
      <c r="P12" s="22"/>
      <c r="Q12" s="22"/>
      <c r="R12" s="22"/>
      <c r="S12" s="22"/>
      <c r="T12" s="22"/>
      <c r="U12" s="22"/>
      <c r="V12" s="22"/>
      <c r="W12" s="22"/>
      <c r="X12" s="22"/>
      <c r="Y12" s="22"/>
      <c r="Z12" s="22"/>
      <c r="AA12" s="22"/>
      <c r="AB12" s="22"/>
      <c r="AC12" s="22"/>
      <c r="AD12" s="22"/>
      <c r="AE12" s="22"/>
      <c r="AF12" s="22"/>
      <c r="AP12" s="229"/>
    </row>
    <row r="13" ht="19.95" customHeight="1" spans="2:32">
      <c r="B13" s="20"/>
      <c r="C13" s="21" t="s">
        <v>865</v>
      </c>
      <c r="D13" s="22">
        <f t="shared" si="0"/>
        <v>0</v>
      </c>
      <c r="E13" s="18" t="s">
        <v>24</v>
      </c>
      <c r="F13" s="23"/>
      <c r="G13" s="23"/>
      <c r="H13" s="23"/>
      <c r="I13" s="23"/>
      <c r="J13" s="22"/>
      <c r="K13" s="22"/>
      <c r="L13" s="22"/>
      <c r="M13" s="22"/>
      <c r="N13" s="22"/>
      <c r="O13" s="22"/>
      <c r="P13" s="22"/>
      <c r="Q13" s="22"/>
      <c r="R13" s="22"/>
      <c r="S13" s="22"/>
      <c r="T13" s="22"/>
      <c r="U13" s="22"/>
      <c r="V13" s="22"/>
      <c r="W13" s="22"/>
      <c r="X13" s="22"/>
      <c r="Y13" s="22"/>
      <c r="Z13" s="22"/>
      <c r="AA13" s="22"/>
      <c r="AB13" s="22"/>
      <c r="AC13" s="22"/>
      <c r="AD13" s="22"/>
      <c r="AE13" s="22"/>
      <c r="AF13" s="22"/>
    </row>
    <row r="14" ht="19.95" customHeight="1" spans="2:32">
      <c r="B14" s="20"/>
      <c r="C14" s="21" t="s">
        <v>866</v>
      </c>
      <c r="D14" s="22">
        <f t="shared" si="0"/>
        <v>0</v>
      </c>
      <c r="E14" s="18" t="s">
        <v>24</v>
      </c>
      <c r="F14" s="23"/>
      <c r="G14" s="23"/>
      <c r="H14" s="23"/>
      <c r="I14" s="23"/>
      <c r="J14" s="22"/>
      <c r="K14" s="22"/>
      <c r="L14" s="22"/>
      <c r="M14" s="22"/>
      <c r="N14" s="22"/>
      <c r="O14" s="22"/>
      <c r="P14" s="22"/>
      <c r="Q14" s="22"/>
      <c r="R14" s="22"/>
      <c r="S14" s="22"/>
      <c r="T14" s="22"/>
      <c r="U14" s="22"/>
      <c r="V14" s="22"/>
      <c r="W14" s="22"/>
      <c r="X14" s="22"/>
      <c r="Y14" s="22"/>
      <c r="Z14" s="22"/>
      <c r="AA14" s="22"/>
      <c r="AB14" s="22"/>
      <c r="AC14" s="22"/>
      <c r="AD14" s="22"/>
      <c r="AE14" s="22"/>
      <c r="AF14" s="22"/>
    </row>
    <row r="15" ht="19.95" customHeight="1" spans="2:32">
      <c r="B15" s="20"/>
      <c r="C15" s="21" t="s">
        <v>867</v>
      </c>
      <c r="D15" s="22">
        <f t="shared" si="0"/>
        <v>0</v>
      </c>
      <c r="E15" s="18" t="s">
        <v>24</v>
      </c>
      <c r="F15" s="23"/>
      <c r="G15" s="23"/>
      <c r="H15" s="23"/>
      <c r="I15" s="23"/>
      <c r="J15" s="22"/>
      <c r="K15" s="22"/>
      <c r="L15" s="22"/>
      <c r="M15" s="22"/>
      <c r="N15" s="22"/>
      <c r="O15" s="22"/>
      <c r="P15" s="22"/>
      <c r="Q15" s="22"/>
      <c r="R15" s="22"/>
      <c r="S15" s="22"/>
      <c r="T15" s="22"/>
      <c r="U15" s="22"/>
      <c r="V15" s="22"/>
      <c r="W15" s="22"/>
      <c r="X15" s="22"/>
      <c r="Y15" s="22"/>
      <c r="Z15" s="22"/>
      <c r="AA15" s="22"/>
      <c r="AB15" s="22"/>
      <c r="AC15" s="22"/>
      <c r="AD15" s="22"/>
      <c r="AE15" s="22"/>
      <c r="AF15" s="22"/>
    </row>
    <row r="16" ht="19.95" customHeight="1" spans="2:32">
      <c r="B16" s="20"/>
      <c r="C16" s="21" t="s">
        <v>868</v>
      </c>
      <c r="D16" s="22">
        <f t="shared" si="0"/>
        <v>0</v>
      </c>
      <c r="E16" s="18" t="s">
        <v>24</v>
      </c>
      <c r="F16" s="23"/>
      <c r="G16" s="23"/>
      <c r="H16" s="23"/>
      <c r="I16" s="23"/>
      <c r="J16" s="22"/>
      <c r="K16" s="22"/>
      <c r="L16" s="22"/>
      <c r="M16" s="22"/>
      <c r="N16" s="22"/>
      <c r="O16" s="22"/>
      <c r="P16" s="22"/>
      <c r="Q16" s="22"/>
      <c r="R16" s="22"/>
      <c r="S16" s="22"/>
      <c r="T16" s="22"/>
      <c r="U16" s="22"/>
      <c r="V16" s="22"/>
      <c r="W16" s="22"/>
      <c r="X16" s="22"/>
      <c r="Y16" s="22"/>
      <c r="Z16" s="22"/>
      <c r="AA16" s="22"/>
      <c r="AB16" s="22"/>
      <c r="AC16" s="22"/>
      <c r="AD16" s="22"/>
      <c r="AE16" s="22"/>
      <c r="AF16" s="22"/>
    </row>
    <row r="17" ht="19.95" customHeight="1" spans="2:32">
      <c r="B17" s="20"/>
      <c r="C17" s="21" t="s">
        <v>869</v>
      </c>
      <c r="D17" s="22">
        <f t="shared" si="0"/>
        <v>0</v>
      </c>
      <c r="E17" s="18" t="s">
        <v>24</v>
      </c>
      <c r="F17" s="23"/>
      <c r="G17" s="23"/>
      <c r="H17" s="23"/>
      <c r="I17" s="23"/>
      <c r="J17" s="22"/>
      <c r="K17" s="22"/>
      <c r="L17" s="22"/>
      <c r="M17" s="22"/>
      <c r="N17" s="22"/>
      <c r="O17" s="22"/>
      <c r="P17" s="22"/>
      <c r="Q17" s="22"/>
      <c r="R17" s="22"/>
      <c r="S17" s="22"/>
      <c r="T17" s="22"/>
      <c r="U17" s="22"/>
      <c r="V17" s="22"/>
      <c r="W17" s="22"/>
      <c r="X17" s="22"/>
      <c r="Y17" s="22"/>
      <c r="Z17" s="22"/>
      <c r="AA17" s="22"/>
      <c r="AB17" s="22"/>
      <c r="AC17" s="22"/>
      <c r="AD17" s="22"/>
      <c r="AE17" s="22"/>
      <c r="AF17" s="22"/>
    </row>
    <row r="18" ht="19.95" customHeight="1" spans="2:32">
      <c r="B18" s="20"/>
      <c r="C18" s="24" t="s">
        <v>870</v>
      </c>
      <c r="D18" s="22">
        <f ca="1" t="shared" si="0"/>
        <v>0</v>
      </c>
      <c r="E18" s="18" t="s">
        <v>24</v>
      </c>
      <c r="F18" s="23"/>
      <c r="G18" s="23"/>
      <c r="H18" s="23"/>
      <c r="I18" s="23"/>
      <c r="J18" s="22">
        <f>'表4-收入税金表'!J24</f>
        <v>0</v>
      </c>
      <c r="K18" s="22">
        <f>'表4-收入税金表'!K24</f>
        <v>0</v>
      </c>
      <c r="L18" s="22">
        <f>'表4-收入税金表'!L24</f>
        <v>0</v>
      </c>
      <c r="M18" s="22">
        <f>'表4-收入税金表'!M24</f>
        <v>0</v>
      </c>
      <c r="N18" s="22">
        <f>'表4-收入税金表'!N24</f>
        <v>0</v>
      </c>
      <c r="O18" s="22">
        <f>'表4-收入税金表'!O24</f>
        <v>0</v>
      </c>
      <c r="P18" s="22">
        <f>'表4-收入税金表'!P24</f>
        <v>0</v>
      </c>
      <c r="Q18" s="22">
        <f>'表4-收入税金表'!Q24</f>
        <v>0</v>
      </c>
      <c r="R18" s="22">
        <f>'表4-收入税金表'!R24</f>
        <v>0</v>
      </c>
      <c r="S18" s="22">
        <f>'表4-收入税金表'!S24</f>
        <v>0</v>
      </c>
      <c r="T18" s="22">
        <f>'表4-收入税金表'!T24</f>
        <v>0</v>
      </c>
      <c r="U18" s="22">
        <f>'表4-收入税金表'!U24</f>
        <v>0</v>
      </c>
      <c r="V18" s="22">
        <f>'表4-收入税金表'!V24</f>
        <v>0</v>
      </c>
      <c r="W18" s="22">
        <f>'表4-收入税金表'!W24</f>
        <v>0</v>
      </c>
      <c r="X18" s="22">
        <f>'表4-收入税金表'!X24</f>
        <v>0</v>
      </c>
      <c r="Y18" s="22">
        <f>'表4-收入税金表'!Y24</f>
        <v>0</v>
      </c>
      <c r="Z18" s="22">
        <f>'表4-收入税金表'!Z24</f>
        <v>0</v>
      </c>
      <c r="AA18" s="22">
        <f>'表4-收入税金表'!AA24</f>
        <v>0</v>
      </c>
      <c r="AB18" s="22">
        <f>'表4-收入税金表'!AB24</f>
        <v>0</v>
      </c>
      <c r="AC18" s="22">
        <f>'表4-收入税金表'!AC24</f>
        <v>0</v>
      </c>
      <c r="AD18" s="22">
        <f>'表4-收入税金表'!AD24</f>
        <v>0</v>
      </c>
      <c r="AE18" s="22">
        <f>'表4-收入税金表'!AE24</f>
        <v>0</v>
      </c>
      <c r="AF18" s="22">
        <f ca="1">'表4-收入税金表'!AF24</f>
        <v>0</v>
      </c>
    </row>
    <row r="19" ht="19.95" customHeight="1" spans="2:32">
      <c r="B19" s="20"/>
      <c r="C19" s="24" t="s">
        <v>871</v>
      </c>
      <c r="D19" s="22">
        <f t="shared" si="0"/>
        <v>7157.674288</v>
      </c>
      <c r="E19" s="18" t="s">
        <v>24</v>
      </c>
      <c r="F19" s="23"/>
      <c r="G19" s="23"/>
      <c r="H19" s="23"/>
      <c r="I19" s="23"/>
      <c r="J19" s="23">
        <f>'表6-现金流量表-资本金'!J13+'表6-现金流量表-资本金'!J15+IF(参数输入表!$I$721="手动输入",基准日往来账处理!J73,基准日往来账处理!J151)</f>
        <v>285.476116</v>
      </c>
      <c r="K19" s="23">
        <f>'表6-现金流量表-资本金'!K13+'表6-现金流量表-资本金'!K15+IF(参数输入表!$I$721="手动输入",基准日往来账处理!K73,基准日往来账处理!K151)</f>
        <v>315.375</v>
      </c>
      <c r="L19" s="23">
        <f>'表6-现金流量表-资本金'!L13+'表6-现金流量表-资本金'!L15+IF(参数输入表!$I$721="手动输入",基准日往来账处理!L73,基准日往来账处理!L151)</f>
        <v>261.25</v>
      </c>
      <c r="M19" s="23">
        <f>'表6-现金流量表-资本金'!M13+'表6-现金流量表-资本金'!M15+IF(参数输入表!$I$721="手动输入",基准日往来账处理!M73,基准日往来账处理!M151)</f>
        <v>295.573172</v>
      </c>
      <c r="N19" s="23">
        <f>'表6-现金流量表-资本金'!N13+'表6-现金流量表-资本金'!N15+IF(参数输入表!$I$721="手动输入",基准日往来账处理!N73,基准日往来账处理!N151)</f>
        <v>320</v>
      </c>
      <c r="O19" s="23">
        <f>'表6-现金流量表-资本金'!O13+'表6-现金流量表-资本金'!O15+IF(参数输入表!$I$721="手动输入",基准日往来账处理!O73,基准日往来账处理!O151)</f>
        <v>320</v>
      </c>
      <c r="P19" s="23">
        <f>'表6-现金流量表-资本金'!P13+'表6-现金流量表-资本金'!P15+IF(参数输入表!$I$721="手动输入",基准日往来账处理!P73,基准日往来账处理!P151)</f>
        <v>320</v>
      </c>
      <c r="Q19" s="23">
        <f>'表6-现金流量表-资本金'!Q13+'表6-现金流量表-资本金'!Q15+IF(参数输入表!$I$721="手动输入",基准日往来账处理!Q73,基准日往来账处理!Q151)</f>
        <v>320</v>
      </c>
      <c r="R19" s="23">
        <f>'表6-现金流量表-资本金'!R13+'表6-现金流量表-资本金'!R15+IF(参数输入表!$I$721="手动输入",基准日往来账处理!R73,基准日往来账处理!R151)</f>
        <v>320</v>
      </c>
      <c r="S19" s="23">
        <f>'表6-现金流量表-资本金'!S13+'表6-现金流量表-资本金'!S15+IF(参数输入表!$I$721="手动输入",基准日往来账处理!S73,基准日往来账处理!S151)</f>
        <v>320</v>
      </c>
      <c r="T19" s="23">
        <f>'表6-现金流量表-资本金'!T13+'表6-现金流量表-资本金'!T15+IF(参数输入表!$I$721="手动输入",基准日往来账处理!T73,基准日往来账处理!T151)</f>
        <v>320</v>
      </c>
      <c r="U19" s="23">
        <f>'表6-现金流量表-资本金'!U13+'表6-现金流量表-资本金'!U15+IF(参数输入表!$I$721="手动输入",基准日往来账处理!U73,基准日往来账处理!U151)</f>
        <v>320</v>
      </c>
      <c r="V19" s="23">
        <f>'表6-现金流量表-资本金'!V13+'表6-现金流量表-资本金'!V15+IF(参数输入表!$I$721="手动输入",基准日往来账处理!V73,基准日往来账处理!V151)</f>
        <v>320</v>
      </c>
      <c r="W19" s="23">
        <f>'表6-现金流量表-资本金'!W13+'表6-现金流量表-资本金'!W15+IF(参数输入表!$I$721="手动输入",基准日往来账处理!W73,基准日往来账处理!W151)</f>
        <v>320</v>
      </c>
      <c r="X19" s="23">
        <f>'表6-现金流量表-资本金'!X13+'表6-现金流量表-资本金'!X15+IF(参数输入表!$I$721="手动输入",基准日往来账处理!X73,基准日往来账处理!X151)</f>
        <v>320</v>
      </c>
      <c r="Y19" s="23">
        <f>'表6-现金流量表-资本金'!Y13+'表6-现金流量表-资本金'!Y15+IF(参数输入表!$I$721="手动输入",基准日往来账处理!Y73,基准日往来账处理!Y151)</f>
        <v>320</v>
      </c>
      <c r="Z19" s="23">
        <f>'表6-现金流量表-资本金'!Z13+'表6-现金流量表-资本金'!Z15+IF(参数输入表!$I$721="手动输入",基准日往来账处理!Z73,基准日往来账处理!Z151)</f>
        <v>320</v>
      </c>
      <c r="AA19" s="23">
        <f>'表6-现金流量表-资本金'!AA13+'表6-现金流量表-资本金'!AA15+IF(参数输入表!$I$721="手动输入",基准日往来账处理!AA73,基准日往来账处理!AA151)</f>
        <v>320</v>
      </c>
      <c r="AB19" s="23">
        <f>'表6-现金流量表-资本金'!AB13+'表6-现金流量表-资本金'!AB15+IF(参数输入表!$I$721="手动输入",基准日往来账处理!AB73,基准日往来账处理!AB151)</f>
        <v>320</v>
      </c>
      <c r="AC19" s="23">
        <f>'表6-现金流量表-资本金'!AC13+'表6-现金流量表-资本金'!AC15+IF(参数输入表!$I$721="手动输入",基准日往来账处理!AC73,基准日往来账处理!AC151)</f>
        <v>320</v>
      </c>
      <c r="AD19" s="23">
        <f>'表6-现金流量表-资本金'!AD13+'表6-现金流量表-资本金'!AD15+IF(参数输入表!$I$721="手动输入",基准日往来账处理!AD73,基准日往来账处理!AD151)</f>
        <v>320</v>
      </c>
      <c r="AE19" s="23">
        <f>'表6-现金流量表-资本金'!AE13+'表6-现金流量表-资本金'!AE15+IF(参数输入表!$I$721="手动输入",基准日往来账处理!AE73,基准日往来账处理!AE151)</f>
        <v>320</v>
      </c>
      <c r="AF19" s="23">
        <f>'表6-现金流量表-资本金'!AF13+'表6-现金流量表-资本金'!AF15+IF(参数输入表!$I$721="手动输入",基准日往来账处理!AF73,基准日往来账处理!AF151)</f>
        <v>240</v>
      </c>
    </row>
    <row r="20" ht="19.95" customHeight="1" spans="2:32">
      <c r="B20" s="20"/>
      <c r="C20" s="224" t="s">
        <v>872</v>
      </c>
      <c r="D20" s="17">
        <f ca="1" t="shared" si="0"/>
        <v>415073.765085</v>
      </c>
      <c r="E20" s="18" t="s">
        <v>24</v>
      </c>
      <c r="F20" s="17">
        <f>SUM(F6:F19)</f>
        <v>0</v>
      </c>
      <c r="G20" s="17">
        <f t="shared" ref="G20:O20" si="1">SUM(G6:G19)</f>
        <v>0</v>
      </c>
      <c r="H20" s="17">
        <f t="shared" si="1"/>
        <v>0</v>
      </c>
      <c r="I20" s="17">
        <f t="shared" si="1"/>
        <v>0</v>
      </c>
      <c r="J20" s="17">
        <f t="shared" si="1"/>
        <v>4801.0767246</v>
      </c>
      <c r="K20" s="17">
        <f t="shared" si="1"/>
        <v>16477.44491065</v>
      </c>
      <c r="L20" s="17">
        <f t="shared" si="1"/>
        <v>23364.69016475</v>
      </c>
      <c r="M20" s="17">
        <f t="shared" si="1"/>
        <v>22042.536225</v>
      </c>
      <c r="N20" s="17">
        <f t="shared" si="1"/>
        <v>21153.074768</v>
      </c>
      <c r="O20" s="17">
        <f t="shared" si="1"/>
        <v>21056.814728</v>
      </c>
      <c r="P20" s="17">
        <f t="shared" ref="P20:AF20" si="2">SUM(P6:P19)</f>
        <v>20960.552288</v>
      </c>
      <c r="Q20" s="17">
        <f t="shared" si="2"/>
        <v>20864.291648</v>
      </c>
      <c r="R20" s="17">
        <f t="shared" si="2"/>
        <v>20768.029208</v>
      </c>
      <c r="S20" s="17">
        <f t="shared" si="2"/>
        <v>20671.768568</v>
      </c>
      <c r="T20" s="17">
        <f t="shared" si="2"/>
        <v>20575.508528</v>
      </c>
      <c r="U20" s="17">
        <f t="shared" si="2"/>
        <v>20479.246088</v>
      </c>
      <c r="V20" s="17">
        <f t="shared" si="2"/>
        <v>20382.985448</v>
      </c>
      <c r="W20" s="17">
        <f t="shared" si="2"/>
        <v>20286.723008</v>
      </c>
      <c r="X20" s="17">
        <f t="shared" si="2"/>
        <v>20190.462368</v>
      </c>
      <c r="Y20" s="17">
        <f t="shared" si="2"/>
        <v>20094.202328</v>
      </c>
      <c r="Z20" s="17">
        <f t="shared" si="2"/>
        <v>17671.990112</v>
      </c>
      <c r="AA20" s="17">
        <f t="shared" si="2"/>
        <v>15689.114684</v>
      </c>
      <c r="AB20" s="17">
        <f t="shared" si="2"/>
        <v>15284.437928</v>
      </c>
      <c r="AC20" s="17">
        <f t="shared" si="2"/>
        <v>15210.511688</v>
      </c>
      <c r="AD20" s="17">
        <f t="shared" si="2"/>
        <v>15136.586048</v>
      </c>
      <c r="AE20" s="17">
        <f t="shared" si="2"/>
        <v>15062.658008</v>
      </c>
      <c r="AF20" s="17">
        <f ca="1" t="shared" si="2"/>
        <v>6849.059616</v>
      </c>
    </row>
    <row r="21" ht="19.95" customHeight="1" spans="2:32">
      <c r="B21" s="20"/>
      <c r="C21" s="24" t="s">
        <v>873</v>
      </c>
      <c r="D21" s="22">
        <f ca="1" t="shared" si="0"/>
        <v>49517.3579651356</v>
      </c>
      <c r="E21" s="18" t="s">
        <v>24</v>
      </c>
      <c r="F21" s="23"/>
      <c r="G21" s="23"/>
      <c r="H21" s="23"/>
      <c r="I21" s="23"/>
      <c r="J21" s="22">
        <f>'表3-成本费用表'!J53-'表3-成本费用表'!J57</f>
        <v>235.676892252187</v>
      </c>
      <c r="K21" s="22">
        <f>'表3-成本费用表'!K53-'表3-成本费用表'!K57</f>
        <v>1282.35916358072</v>
      </c>
      <c r="L21" s="22">
        <f>'表3-成本费用表'!L53-'表3-成本费用表'!L57</f>
        <v>1620.2780715292</v>
      </c>
      <c r="M21" s="22">
        <f>'表3-成本费用表'!M53-'表3-成本费用表'!M57</f>
        <v>2372.92616714774</v>
      </c>
      <c r="N21" s="22">
        <f>'表3-成本费用表'!N53-'表3-成本费用表'!N57</f>
        <v>1872.92616714774</v>
      </c>
      <c r="O21" s="22">
        <f>'表3-成本费用表'!O53-'表3-成本费用表'!O57</f>
        <v>1872.92616714774</v>
      </c>
      <c r="P21" s="22">
        <f>'表3-成本费用表'!P53-'表3-成本费用表'!P57</f>
        <v>1872.92616714774</v>
      </c>
      <c r="Q21" s="22">
        <f>'表3-成本费用表'!Q53-'表3-成本费用表'!Q57</f>
        <v>1872.92616714774</v>
      </c>
      <c r="R21" s="22">
        <f>'表3-成本费用表'!R53-'表3-成本费用表'!R57</f>
        <v>2556.45851930592</v>
      </c>
      <c r="S21" s="22">
        <f>'表3-成本费用表'!S53-'表3-成本费用表'!S57</f>
        <v>2056.45851930592</v>
      </c>
      <c r="T21" s="22">
        <f>'表3-成本费用表'!T53-'表3-成本费用表'!T57</f>
        <v>2056.45851930592</v>
      </c>
      <c r="U21" s="22">
        <f>'表3-成本费用表'!U53-'表3-成本费用表'!U57</f>
        <v>2056.45851930592</v>
      </c>
      <c r="V21" s="22">
        <f>'表3-成本费用表'!V53-'表3-成本费用表'!V57</f>
        <v>2056.45851930592</v>
      </c>
      <c r="W21" s="22">
        <f>'表3-成本费用表'!W53-'表3-成本费用表'!W57</f>
        <v>2739.9908714641</v>
      </c>
      <c r="X21" s="22">
        <f>'表3-成本费用表'!X53-'表3-成本费用表'!X57</f>
        <v>2239.9908714641</v>
      </c>
      <c r="Y21" s="22">
        <f>'表3-成本费用表'!Y53-'表3-成本费用表'!Y57</f>
        <v>2239.9908714641</v>
      </c>
      <c r="Z21" s="22">
        <f>'表3-成本费用表'!Z53-'表3-成本费用表'!Z57</f>
        <v>2239.9908714641</v>
      </c>
      <c r="AA21" s="22">
        <f>'表3-成本费用表'!AA53-'表3-成本费用表'!AA57</f>
        <v>2239.9908714641</v>
      </c>
      <c r="AB21" s="22">
        <f>'表3-成本费用表'!AB53-'表3-成本费用表'!AB57</f>
        <v>2923.52322362228</v>
      </c>
      <c r="AC21" s="22">
        <f>'表3-成本费用表'!AC53-'表3-成本费用表'!AC57</f>
        <v>2423.52322362228</v>
      </c>
      <c r="AD21" s="22">
        <f>'表3-成本费用表'!AD53-'表3-成本费用表'!AD57</f>
        <v>2423.52322362228</v>
      </c>
      <c r="AE21" s="22">
        <f>'表3-成本费用表'!AE53-'表3-成本费用表'!AE57</f>
        <v>2423.52322362228</v>
      </c>
      <c r="AF21" s="22">
        <f ca="1">'表3-成本费用表'!AF53-'表3-成本费用表'!AF57</f>
        <v>3838.07315369565</v>
      </c>
    </row>
    <row r="22" ht="19.95" customHeight="1" spans="2:32">
      <c r="B22" s="20"/>
      <c r="C22" s="21" t="s">
        <v>874</v>
      </c>
      <c r="D22" s="22">
        <f t="shared" ref="D22:D32" si="3">SUM(F22:AF22)</f>
        <v>0</v>
      </c>
      <c r="E22" s="18" t="s">
        <v>24</v>
      </c>
      <c r="F22" s="23"/>
      <c r="G22" s="23"/>
      <c r="H22" s="23"/>
      <c r="I22" s="23"/>
      <c r="J22" s="22"/>
      <c r="K22" s="22"/>
      <c r="L22" s="22"/>
      <c r="M22" s="22"/>
      <c r="N22" s="22"/>
      <c r="O22" s="22"/>
      <c r="P22" s="22"/>
      <c r="Q22" s="22"/>
      <c r="R22" s="22"/>
      <c r="S22" s="22"/>
      <c r="T22" s="22"/>
      <c r="U22" s="22"/>
      <c r="V22" s="22"/>
      <c r="W22" s="22"/>
      <c r="X22" s="22"/>
      <c r="Y22" s="22"/>
      <c r="Z22" s="22"/>
      <c r="AA22" s="22"/>
      <c r="AB22" s="22"/>
      <c r="AC22" s="22"/>
      <c r="AD22" s="22"/>
      <c r="AE22" s="22"/>
      <c r="AF22" s="22"/>
    </row>
    <row r="23" ht="19.95" customHeight="1" spans="2:32">
      <c r="B23" s="20"/>
      <c r="C23" s="21" t="s">
        <v>875</v>
      </c>
      <c r="D23" s="22">
        <f t="shared" si="3"/>
        <v>0</v>
      </c>
      <c r="E23" s="18" t="s">
        <v>24</v>
      </c>
      <c r="F23" s="23"/>
      <c r="G23" s="23"/>
      <c r="H23" s="23"/>
      <c r="I23" s="23"/>
      <c r="J23" s="22"/>
      <c r="K23" s="22"/>
      <c r="L23" s="22"/>
      <c r="M23" s="22"/>
      <c r="N23" s="22"/>
      <c r="O23" s="22"/>
      <c r="P23" s="22"/>
      <c r="Q23" s="22"/>
      <c r="R23" s="22"/>
      <c r="S23" s="22"/>
      <c r="T23" s="22"/>
      <c r="U23" s="22"/>
      <c r="V23" s="22"/>
      <c r="W23" s="22"/>
      <c r="X23" s="22"/>
      <c r="Y23" s="22"/>
      <c r="Z23" s="22"/>
      <c r="AA23" s="22"/>
      <c r="AB23" s="22"/>
      <c r="AC23" s="22"/>
      <c r="AD23" s="22"/>
      <c r="AE23" s="22"/>
      <c r="AF23" s="22"/>
    </row>
    <row r="24" ht="19.95" customHeight="1" spans="2:32">
      <c r="B24" s="20"/>
      <c r="C24" s="21" t="s">
        <v>876</v>
      </c>
      <c r="D24" s="22">
        <f t="shared" si="3"/>
        <v>0</v>
      </c>
      <c r="E24" s="18" t="s">
        <v>24</v>
      </c>
      <c r="F24" s="23"/>
      <c r="G24" s="23"/>
      <c r="H24" s="23"/>
      <c r="I24" s="23"/>
      <c r="J24" s="22"/>
      <c r="K24" s="22"/>
      <c r="L24" s="22"/>
      <c r="M24" s="22"/>
      <c r="N24" s="22"/>
      <c r="O24" s="22"/>
      <c r="P24" s="22"/>
      <c r="Q24" s="22"/>
      <c r="R24" s="22"/>
      <c r="S24" s="22"/>
      <c r="T24" s="22"/>
      <c r="U24" s="22"/>
      <c r="V24" s="22"/>
      <c r="W24" s="22"/>
      <c r="X24" s="22"/>
      <c r="Y24" s="22"/>
      <c r="Z24" s="22"/>
      <c r="AA24" s="22"/>
      <c r="AB24" s="22"/>
      <c r="AC24" s="22"/>
      <c r="AD24" s="22"/>
      <c r="AE24" s="22"/>
      <c r="AF24" s="22"/>
    </row>
    <row r="25" ht="19.95" customHeight="1" spans="2:32">
      <c r="B25" s="20"/>
      <c r="C25" s="21" t="s">
        <v>877</v>
      </c>
      <c r="D25" s="22">
        <f t="shared" si="3"/>
        <v>0</v>
      </c>
      <c r="E25" s="18" t="s">
        <v>24</v>
      </c>
      <c r="F25" s="23"/>
      <c r="G25" s="23"/>
      <c r="H25" s="23"/>
      <c r="I25" s="23"/>
      <c r="J25" s="22"/>
      <c r="K25" s="22"/>
      <c r="L25" s="22"/>
      <c r="M25" s="22"/>
      <c r="N25" s="22"/>
      <c r="O25" s="22"/>
      <c r="P25" s="22"/>
      <c r="Q25" s="22"/>
      <c r="R25" s="22"/>
      <c r="S25" s="22"/>
      <c r="T25" s="22"/>
      <c r="U25" s="22"/>
      <c r="V25" s="22"/>
      <c r="W25" s="22"/>
      <c r="X25" s="22"/>
      <c r="Y25" s="22"/>
      <c r="Z25" s="22"/>
      <c r="AA25" s="22"/>
      <c r="AB25" s="22"/>
      <c r="AC25" s="22"/>
      <c r="AD25" s="22"/>
      <c r="AE25" s="22"/>
      <c r="AF25" s="22"/>
    </row>
    <row r="26" ht="19.95" customHeight="1" spans="2:32">
      <c r="B26" s="20"/>
      <c r="C26" s="21" t="s">
        <v>878</v>
      </c>
      <c r="D26" s="22">
        <f t="shared" si="3"/>
        <v>0</v>
      </c>
      <c r="E26" s="18" t="s">
        <v>24</v>
      </c>
      <c r="F26" s="23"/>
      <c r="G26" s="23"/>
      <c r="H26" s="23"/>
      <c r="I26" s="23"/>
      <c r="J26" s="22"/>
      <c r="K26" s="22"/>
      <c r="L26" s="22"/>
      <c r="M26" s="22"/>
      <c r="N26" s="22"/>
      <c r="O26" s="22"/>
      <c r="P26" s="22"/>
      <c r="Q26" s="22"/>
      <c r="R26" s="22"/>
      <c r="S26" s="22"/>
      <c r="T26" s="22"/>
      <c r="U26" s="22"/>
      <c r="V26" s="22"/>
      <c r="W26" s="22"/>
      <c r="X26" s="22"/>
      <c r="Y26" s="22"/>
      <c r="Z26" s="22"/>
      <c r="AA26" s="22"/>
      <c r="AB26" s="22"/>
      <c r="AC26" s="22"/>
      <c r="AD26" s="22"/>
      <c r="AE26" s="22"/>
      <c r="AF26" s="22"/>
    </row>
    <row r="27" ht="19.95" customHeight="1" spans="2:32">
      <c r="B27" s="20"/>
      <c r="C27" s="21" t="s">
        <v>879</v>
      </c>
      <c r="D27" s="22">
        <f t="shared" si="3"/>
        <v>0</v>
      </c>
      <c r="E27" s="18" t="s">
        <v>24</v>
      </c>
      <c r="F27" s="23"/>
      <c r="G27" s="23"/>
      <c r="H27" s="23"/>
      <c r="I27" s="23"/>
      <c r="J27" s="22"/>
      <c r="K27" s="22"/>
      <c r="L27" s="22"/>
      <c r="M27" s="22"/>
      <c r="N27" s="22"/>
      <c r="O27" s="22"/>
      <c r="P27" s="22"/>
      <c r="Q27" s="22"/>
      <c r="R27" s="22"/>
      <c r="S27" s="22"/>
      <c r="T27" s="22"/>
      <c r="U27" s="22"/>
      <c r="V27" s="22"/>
      <c r="W27" s="22"/>
      <c r="X27" s="22"/>
      <c r="Y27" s="22"/>
      <c r="Z27" s="22"/>
      <c r="AA27" s="22"/>
      <c r="AB27" s="22"/>
      <c r="AC27" s="22"/>
      <c r="AD27" s="22"/>
      <c r="AE27" s="22"/>
      <c r="AF27" s="22"/>
    </row>
    <row r="28" ht="19.95" customHeight="1" spans="2:32">
      <c r="B28" s="20"/>
      <c r="C28" s="24" t="s">
        <v>880</v>
      </c>
      <c r="D28" s="22">
        <f t="shared" si="3"/>
        <v>19563.1425</v>
      </c>
      <c r="E28" s="18" t="s">
        <v>24</v>
      </c>
      <c r="F28" s="23"/>
      <c r="G28" s="23"/>
      <c r="H28" s="23"/>
      <c r="I28" s="23"/>
      <c r="J28" s="22">
        <f>'表3-成本费用表'!J57</f>
        <v>53.3925</v>
      </c>
      <c r="K28" s="22">
        <f>'表3-成本费用表'!K57</f>
        <v>480.15</v>
      </c>
      <c r="L28" s="22">
        <f>'表3-成本费用表'!L57</f>
        <v>662.4</v>
      </c>
      <c r="M28" s="22">
        <f>'表3-成本费用表'!M57</f>
        <v>691.2</v>
      </c>
      <c r="N28" s="22">
        <f>'表3-成本费用表'!N57</f>
        <v>720</v>
      </c>
      <c r="O28" s="22">
        <f>'表3-成本费用表'!O57</f>
        <v>748.8</v>
      </c>
      <c r="P28" s="22">
        <f>'表3-成本费用表'!P57</f>
        <v>777.6</v>
      </c>
      <c r="Q28" s="22">
        <f>'表3-成本费用表'!Q57</f>
        <v>806.4</v>
      </c>
      <c r="R28" s="22">
        <f>'表3-成本费用表'!R57</f>
        <v>835.2</v>
      </c>
      <c r="S28" s="22">
        <f>'表3-成本费用表'!S57</f>
        <v>864</v>
      </c>
      <c r="T28" s="22">
        <f>'表3-成本费用表'!T57</f>
        <v>892.8</v>
      </c>
      <c r="U28" s="22">
        <f>'表3-成本费用表'!U57</f>
        <v>921.6</v>
      </c>
      <c r="V28" s="22">
        <f>'表3-成本费用表'!V57</f>
        <v>950.4</v>
      </c>
      <c r="W28" s="22">
        <f>'表3-成本费用表'!W57</f>
        <v>979.2</v>
      </c>
      <c r="X28" s="22">
        <f>'表3-成本费用表'!X57</f>
        <v>1008</v>
      </c>
      <c r="Y28" s="22">
        <f>'表3-成本费用表'!Y57</f>
        <v>1036.8</v>
      </c>
      <c r="Z28" s="22">
        <f>'表3-成本费用表'!Z57</f>
        <v>1065.6</v>
      </c>
      <c r="AA28" s="22">
        <f>'表3-成本费用表'!AA57</f>
        <v>1094.4</v>
      </c>
      <c r="AB28" s="22">
        <f>'表3-成本费用表'!AB57</f>
        <v>1123.2</v>
      </c>
      <c r="AC28" s="22">
        <f>'表3-成本费用表'!AC57</f>
        <v>1152</v>
      </c>
      <c r="AD28" s="22">
        <f>'表3-成本费用表'!AD57</f>
        <v>1180.8</v>
      </c>
      <c r="AE28" s="22">
        <f>'表3-成本费用表'!AE57</f>
        <v>1209.6</v>
      </c>
      <c r="AF28" s="22">
        <f>'表3-成本费用表'!AF57</f>
        <v>309.6</v>
      </c>
    </row>
    <row r="29" ht="19.95" customHeight="1" spans="2:32">
      <c r="B29" s="20"/>
      <c r="C29" s="24" t="s">
        <v>881</v>
      </c>
      <c r="D29" s="22">
        <f ca="1" t="shared" si="3"/>
        <v>51378.2819133679</v>
      </c>
      <c r="E29" s="18" t="s">
        <v>24</v>
      </c>
      <c r="F29" s="23"/>
      <c r="G29" s="23"/>
      <c r="H29" s="23"/>
      <c r="I29" s="23"/>
      <c r="J29" s="22">
        <f ca="1">'表4-收入税金表'!J32+'表4-收入税金表'!J62+'表4-收入税金表'!J66+'表5-利润表-资本金(标准格式)'!J50</f>
        <v>0</v>
      </c>
      <c r="K29" s="22">
        <f ca="1">'表4-收入税金表'!K32+'表4-收入税金表'!K62+'表4-收入税金表'!K66+'表5-利润表-资本金(标准格式)'!K50</f>
        <v>0</v>
      </c>
      <c r="L29" s="22">
        <f ca="1">'表4-收入税金表'!L32+'表4-收入税金表'!L62+'表4-收入税金表'!L66+'表5-利润表-资本金(标准格式)'!L50</f>
        <v>66.2030193729878</v>
      </c>
      <c r="M29" s="22">
        <f ca="1">'表4-收入税金表'!M32+'表4-收入税金表'!M62+'表4-收入税金表'!M66+'表5-利润表-资本金(标准格式)'!M50</f>
        <v>259.317161172908</v>
      </c>
      <c r="N29" s="22">
        <f ca="1">'表4-收入税金表'!N32+'表4-收入税金表'!N62+'表4-收入税金表'!N66+'表5-利润表-资本金(标准格式)'!N50</f>
        <v>291.050382585559</v>
      </c>
      <c r="O29" s="22">
        <f ca="1">'表4-收入税金表'!O32+'表4-收入税金表'!O62+'表4-收入税金表'!O66+'表5-利润表-资本金(标准格式)'!O50</f>
        <v>321.525028919838</v>
      </c>
      <c r="P29" s="22">
        <f ca="1">'表4-收入税金表'!P32+'表4-收入税金表'!P62+'表4-收入税金表'!P66+'表5-利润表-资本金(标准格式)'!P50</f>
        <v>353.541795717288</v>
      </c>
      <c r="Q29" s="22">
        <f ca="1">'表4-收入税金表'!Q32+'表4-收入税金表'!Q62+'表4-收入税金表'!Q66+'表5-利润表-资本金(标准格式)'!Q50</f>
        <v>387.167807741895</v>
      </c>
      <c r="R29" s="22">
        <f ca="1">'表4-收入税金表'!R32+'表4-收入税金表'!R62+'表4-收入税金表'!R66+'表5-利润表-资本金(标准格式)'!R50</f>
        <v>3147.25904113606</v>
      </c>
      <c r="S29" s="22">
        <f ca="1">'表4-收入税金表'!S32+'表4-收入税金表'!S62+'表4-收入税金表'!S66+'表5-利润表-资本金(标准格式)'!S50</f>
        <v>3309.78205378084</v>
      </c>
      <c r="T29" s="22">
        <f ca="1">'表4-收入税金表'!T32+'表4-收入税金表'!T62+'表4-收入税金表'!T66+'表5-利润表-资本金(标准格式)'!T50</f>
        <v>3362.69667781667</v>
      </c>
      <c r="U29" s="22">
        <f ca="1">'表4-收入税金表'!U32+'表4-收入税金表'!U62+'表4-收入税金表'!U66+'表5-利润表-资本金(标准格式)'!U50</f>
        <v>3418.78348592078</v>
      </c>
      <c r="V29" s="22">
        <f ca="1">'表4-收入税金表'!V32+'表4-收入税金表'!V62+'表4-收入税金表'!V66+'表5-利润表-资本金(标准格式)'!V50</f>
        <v>3458.49498134731</v>
      </c>
      <c r="W29" s="22">
        <f ca="1">'表4-收入税金表'!W32+'表4-收入税金表'!W62+'表4-收入税金表'!W66+'表5-利润表-资本金(标准格式)'!W50</f>
        <v>3410.77433735598</v>
      </c>
      <c r="X29" s="22">
        <f ca="1">'表4-收入税金表'!X32+'表4-收入税金表'!X62+'表4-收入税金表'!X66+'表5-利润表-资本金(标准格式)'!X50</f>
        <v>3764.75166940045</v>
      </c>
      <c r="Y29" s="22">
        <f ca="1">'表4-收入税金表'!Y32+'表4-收入税金表'!Y62+'表4-收入税金表'!Y66+'表5-利润表-资本金(标准格式)'!Y50</f>
        <v>4077.48424371876</v>
      </c>
      <c r="Z29" s="22">
        <f ca="1">'表4-收入税金表'!Z32+'表4-收入税金表'!Z62+'表4-收入税金表'!Z66+'表5-利润表-资本金(标准格式)'!Z50</f>
        <v>3124.09326728227</v>
      </c>
      <c r="AA29" s="22">
        <f ca="1">'表4-收入税金表'!AA32+'表4-收入税金表'!AA62+'表4-收入税金表'!AA66+'表5-利润表-资本金(标准格式)'!AA50</f>
        <v>2617.1072135645</v>
      </c>
      <c r="AB29" s="22">
        <f ca="1">'表4-收入税金表'!AB32+'表4-收入税金表'!AB62+'表4-收入税金表'!AB66+'表5-利润表-资本金(标准格式)'!AB50</f>
        <v>2754.55275625559</v>
      </c>
      <c r="AC29" s="22">
        <f ca="1">'表4-收入税金表'!AC32+'表4-收入税金表'!AC62+'表4-收入税金表'!AC66+'表5-利润表-资本金(标准格式)'!AC50</f>
        <v>4173.87367346044</v>
      </c>
      <c r="AD29" s="22">
        <f ca="1">'表4-收入税金表'!AD32+'表4-收入税金表'!AD62+'表4-收入税金表'!AD66+'表5-利润表-资本金(标准格式)'!AD50</f>
        <v>4315.15166238765</v>
      </c>
      <c r="AE29" s="22">
        <f ca="1">'表4-收入税金表'!AE32+'表4-收入税金表'!AE62+'表4-收入税金表'!AE66+'表5-利润表-资本金(标准格式)'!AE50</f>
        <v>4282.32524797349</v>
      </c>
      <c r="AF29" s="22">
        <f ca="1">'表4-收入税金表'!AF32+'表4-收入税金表'!AF62+'表4-收入税金表'!AF66+'表5-利润表-资本金(标准格式)'!AF50</f>
        <v>482.346406456637</v>
      </c>
    </row>
    <row r="30" ht="19.95" customHeight="1" spans="2:32">
      <c r="B30" s="20"/>
      <c r="C30" s="24" t="s">
        <v>882</v>
      </c>
      <c r="D30" s="22">
        <f t="shared" si="3"/>
        <v>0</v>
      </c>
      <c r="E30" s="18" t="s">
        <v>24</v>
      </c>
      <c r="F30" s="23"/>
      <c r="G30" s="23"/>
      <c r="H30" s="23"/>
      <c r="I30" s="23"/>
      <c r="J30" s="22"/>
      <c r="K30" s="22"/>
      <c r="L30" s="22"/>
      <c r="M30" s="22"/>
      <c r="N30" s="22"/>
      <c r="O30" s="22"/>
      <c r="P30" s="22"/>
      <c r="Q30" s="22"/>
      <c r="R30" s="22"/>
      <c r="S30" s="22"/>
      <c r="T30" s="22"/>
      <c r="U30" s="22"/>
      <c r="V30" s="22"/>
      <c r="W30" s="22"/>
      <c r="X30" s="22"/>
      <c r="Y30" s="22"/>
      <c r="Z30" s="22"/>
      <c r="AA30" s="22"/>
      <c r="AB30" s="22"/>
      <c r="AC30" s="22"/>
      <c r="AD30" s="22"/>
      <c r="AE30" s="22"/>
      <c r="AF30" s="22"/>
    </row>
    <row r="31" ht="19.95" customHeight="1" spans="2:32">
      <c r="B31" s="20"/>
      <c r="C31" s="224" t="s">
        <v>883</v>
      </c>
      <c r="D31" s="17">
        <f ca="1" t="shared" si="3"/>
        <v>120458.782378504</v>
      </c>
      <c r="E31" s="18" t="s">
        <v>24</v>
      </c>
      <c r="F31" s="17">
        <f>SUM(F21:F30)</f>
        <v>0</v>
      </c>
      <c r="G31" s="17">
        <f t="shared" ref="G31:N31" si="4">SUM(G21:G30)</f>
        <v>0</v>
      </c>
      <c r="H31" s="17">
        <f t="shared" si="4"/>
        <v>0</v>
      </c>
      <c r="I31" s="17">
        <f t="shared" si="4"/>
        <v>0</v>
      </c>
      <c r="J31" s="17">
        <f ca="1" t="shared" si="4"/>
        <v>289.069392252187</v>
      </c>
      <c r="K31" s="17">
        <f ca="1" t="shared" si="4"/>
        <v>1762.50916358072</v>
      </c>
      <c r="L31" s="17">
        <f ca="1" t="shared" si="4"/>
        <v>2348.88109090219</v>
      </c>
      <c r="M31" s="17">
        <f ca="1" t="shared" si="4"/>
        <v>3323.44332832065</v>
      </c>
      <c r="N31" s="17">
        <f ca="1" t="shared" si="4"/>
        <v>2883.9765497333</v>
      </c>
      <c r="O31" s="17">
        <f ca="1" t="shared" ref="O31:AF31" si="5">SUM(O21:O30)</f>
        <v>2943.25119606758</v>
      </c>
      <c r="P31" s="17">
        <f ca="1" t="shared" si="5"/>
        <v>3004.06796286503</v>
      </c>
      <c r="Q31" s="17">
        <f ca="1" t="shared" si="5"/>
        <v>3066.49397488963</v>
      </c>
      <c r="R31" s="17">
        <f ca="1" t="shared" si="5"/>
        <v>6538.91756044198</v>
      </c>
      <c r="S31" s="17">
        <f ca="1" t="shared" si="5"/>
        <v>6230.24057308676</v>
      </c>
      <c r="T31" s="17">
        <f ca="1" t="shared" si="5"/>
        <v>6311.95519712259</v>
      </c>
      <c r="U31" s="17">
        <f ca="1" t="shared" si="5"/>
        <v>6396.8420052267</v>
      </c>
      <c r="V31" s="17">
        <f ca="1" t="shared" si="5"/>
        <v>6465.35350065323</v>
      </c>
      <c r="W31" s="17">
        <f ca="1" t="shared" si="5"/>
        <v>7129.96520882008</v>
      </c>
      <c r="X31" s="17">
        <f ca="1" t="shared" si="5"/>
        <v>7012.74254086455</v>
      </c>
      <c r="Y31" s="17">
        <f ca="1" t="shared" si="5"/>
        <v>7354.27511518286</v>
      </c>
      <c r="Z31" s="17">
        <f ca="1" t="shared" si="5"/>
        <v>6429.68413874636</v>
      </c>
      <c r="AA31" s="17">
        <f ca="1" t="shared" si="5"/>
        <v>5951.49808502859</v>
      </c>
      <c r="AB31" s="17">
        <f ca="1" t="shared" si="5"/>
        <v>6801.27597987787</v>
      </c>
      <c r="AC31" s="17">
        <f ca="1" t="shared" si="5"/>
        <v>7749.39689708272</v>
      </c>
      <c r="AD31" s="17">
        <f ca="1" t="shared" si="5"/>
        <v>7919.47488600993</v>
      </c>
      <c r="AE31" s="17">
        <f ca="1" t="shared" si="5"/>
        <v>7915.44847159577</v>
      </c>
      <c r="AF31" s="17">
        <f ca="1" t="shared" si="5"/>
        <v>4630.01956015229</v>
      </c>
    </row>
    <row r="32" ht="19.95" customHeight="1" spans="2:32">
      <c r="B32" s="20"/>
      <c r="C32" s="224" t="s">
        <v>884</v>
      </c>
      <c r="D32" s="17">
        <f ca="1" t="shared" si="3"/>
        <v>294614.982706496</v>
      </c>
      <c r="E32" s="18" t="s">
        <v>24</v>
      </c>
      <c r="F32" s="17">
        <f>F20-F31</f>
        <v>0</v>
      </c>
      <c r="G32" s="17">
        <f t="shared" ref="G32:R32" si="6">G20-G31</f>
        <v>0</v>
      </c>
      <c r="H32" s="17">
        <f t="shared" si="6"/>
        <v>0</v>
      </c>
      <c r="I32" s="17">
        <f t="shared" si="6"/>
        <v>0</v>
      </c>
      <c r="J32" s="17">
        <f ca="1" t="shared" si="6"/>
        <v>4512.00733234781</v>
      </c>
      <c r="K32" s="17">
        <f ca="1" t="shared" si="6"/>
        <v>14714.9357470693</v>
      </c>
      <c r="L32" s="17">
        <f ca="1" t="shared" si="6"/>
        <v>21015.8090738478</v>
      </c>
      <c r="M32" s="17">
        <f ca="1" t="shared" si="6"/>
        <v>18719.0928966794</v>
      </c>
      <c r="N32" s="17">
        <f ca="1" t="shared" si="6"/>
        <v>18269.0982182667</v>
      </c>
      <c r="O32" s="17">
        <f ca="1" t="shared" si="6"/>
        <v>18113.5635319324</v>
      </c>
      <c r="P32" s="17">
        <f ca="1" t="shared" si="6"/>
        <v>17956.484325135</v>
      </c>
      <c r="Q32" s="17">
        <f ca="1" t="shared" si="6"/>
        <v>17797.7976731104</v>
      </c>
      <c r="R32" s="17">
        <f ca="1" t="shared" si="6"/>
        <v>14229.111647558</v>
      </c>
      <c r="S32" s="17">
        <f ca="1" t="shared" ref="S32:AF32" si="7">S20-S31</f>
        <v>14441.5279949132</v>
      </c>
      <c r="T32" s="17">
        <f ca="1" t="shared" si="7"/>
        <v>14263.5533308774</v>
      </c>
      <c r="U32" s="17">
        <f ca="1" t="shared" si="7"/>
        <v>14082.4040827733</v>
      </c>
      <c r="V32" s="17">
        <f ca="1" t="shared" si="7"/>
        <v>13917.6319473468</v>
      </c>
      <c r="W32" s="17">
        <f ca="1" t="shared" si="7"/>
        <v>13156.7577991799</v>
      </c>
      <c r="X32" s="17">
        <f ca="1" t="shared" si="7"/>
        <v>13177.7198271354</v>
      </c>
      <c r="Y32" s="17">
        <f ca="1" t="shared" si="7"/>
        <v>12739.9272128171</v>
      </c>
      <c r="Z32" s="17">
        <f ca="1" t="shared" si="7"/>
        <v>11242.3059732536</v>
      </c>
      <c r="AA32" s="17">
        <f ca="1" t="shared" si="7"/>
        <v>9737.61659897141</v>
      </c>
      <c r="AB32" s="17">
        <f ca="1" t="shared" si="7"/>
        <v>8483.16194812213</v>
      </c>
      <c r="AC32" s="17">
        <f ca="1" t="shared" si="7"/>
        <v>7461.11479091728</v>
      </c>
      <c r="AD32" s="17">
        <f ca="1" t="shared" si="7"/>
        <v>7217.11116199007</v>
      </c>
      <c r="AE32" s="17">
        <f ca="1" t="shared" si="7"/>
        <v>7147.20953640423</v>
      </c>
      <c r="AF32" s="17">
        <f ca="1" t="shared" si="7"/>
        <v>2219.04005584771</v>
      </c>
    </row>
    <row r="33" ht="19.95" customHeight="1" spans="2:32">
      <c r="B33" s="15" t="s">
        <v>730</v>
      </c>
      <c r="C33" s="223" t="s">
        <v>885</v>
      </c>
      <c r="D33" s="17"/>
      <c r="E33" s="18"/>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row>
    <row r="34" ht="19.95" customHeight="1" spans="2:32">
      <c r="B34" s="20"/>
      <c r="C34" s="24" t="s">
        <v>886</v>
      </c>
      <c r="D34" s="22">
        <f t="shared" ref="D34:D46" si="8">SUM(F34:AF34)</f>
        <v>0</v>
      </c>
      <c r="E34" s="18" t="s">
        <v>24</v>
      </c>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row>
    <row r="35" ht="19.95" customHeight="1" spans="2:32">
      <c r="B35" s="20"/>
      <c r="C35" s="24" t="s">
        <v>887</v>
      </c>
      <c r="D35" s="22">
        <f t="shared" si="8"/>
        <v>0</v>
      </c>
      <c r="E35" s="18" t="s">
        <v>24</v>
      </c>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row>
    <row r="36" ht="19.95" customHeight="1" spans="2:32">
      <c r="B36" s="20"/>
      <c r="C36" s="24" t="s">
        <v>888</v>
      </c>
      <c r="D36" s="22">
        <f t="shared" si="8"/>
        <v>0</v>
      </c>
      <c r="E36" s="18" t="s">
        <v>24</v>
      </c>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row>
    <row r="37" ht="19.95" customHeight="1" spans="2:32">
      <c r="B37" s="20"/>
      <c r="C37" s="24" t="s">
        <v>889</v>
      </c>
      <c r="D37" s="22">
        <f t="shared" si="8"/>
        <v>0</v>
      </c>
      <c r="E37" s="18" t="s">
        <v>24</v>
      </c>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row>
    <row r="38" ht="19.95" customHeight="1" spans="2:32">
      <c r="B38" s="20"/>
      <c r="C38" s="24" t="s">
        <v>890</v>
      </c>
      <c r="D38" s="22">
        <f t="shared" si="8"/>
        <v>0</v>
      </c>
      <c r="E38" s="18" t="s">
        <v>24</v>
      </c>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row>
    <row r="39" ht="19.95" customHeight="1" spans="2:32">
      <c r="B39" s="20"/>
      <c r="C39" s="224" t="s">
        <v>891</v>
      </c>
      <c r="D39" s="17">
        <f t="shared" si="8"/>
        <v>0</v>
      </c>
      <c r="E39" s="18" t="s">
        <v>24</v>
      </c>
      <c r="F39" s="17">
        <f>SUM(F34:F38)</f>
        <v>0</v>
      </c>
      <c r="G39" s="17">
        <f t="shared" ref="G39:O39" si="9">SUM(G34:G38)</f>
        <v>0</v>
      </c>
      <c r="H39" s="17">
        <f t="shared" si="9"/>
        <v>0</v>
      </c>
      <c r="I39" s="17">
        <f t="shared" si="9"/>
        <v>0</v>
      </c>
      <c r="J39" s="17">
        <f t="shared" si="9"/>
        <v>0</v>
      </c>
      <c r="K39" s="17">
        <f t="shared" si="9"/>
        <v>0</v>
      </c>
      <c r="L39" s="17">
        <f t="shared" si="9"/>
        <v>0</v>
      </c>
      <c r="M39" s="17">
        <f t="shared" si="9"/>
        <v>0</v>
      </c>
      <c r="N39" s="17">
        <f t="shared" si="9"/>
        <v>0</v>
      </c>
      <c r="O39" s="17">
        <f t="shared" si="9"/>
        <v>0</v>
      </c>
      <c r="P39" s="17">
        <f t="shared" ref="P39:AF39" si="10">SUM(P34:P38)</f>
        <v>0</v>
      </c>
      <c r="Q39" s="17">
        <f t="shared" si="10"/>
        <v>0</v>
      </c>
      <c r="R39" s="17">
        <f t="shared" si="10"/>
        <v>0</v>
      </c>
      <c r="S39" s="17">
        <f t="shared" si="10"/>
        <v>0</v>
      </c>
      <c r="T39" s="17">
        <f t="shared" si="10"/>
        <v>0</v>
      </c>
      <c r="U39" s="17">
        <f t="shared" si="10"/>
        <v>0</v>
      </c>
      <c r="V39" s="17">
        <f t="shared" si="10"/>
        <v>0</v>
      </c>
      <c r="W39" s="17">
        <f t="shared" si="10"/>
        <v>0</v>
      </c>
      <c r="X39" s="17">
        <f t="shared" si="10"/>
        <v>0</v>
      </c>
      <c r="Y39" s="17">
        <f t="shared" si="10"/>
        <v>0</v>
      </c>
      <c r="Z39" s="17">
        <f t="shared" si="10"/>
        <v>0</v>
      </c>
      <c r="AA39" s="17">
        <f t="shared" si="10"/>
        <v>0</v>
      </c>
      <c r="AB39" s="17">
        <f t="shared" si="10"/>
        <v>0</v>
      </c>
      <c r="AC39" s="17">
        <f t="shared" si="10"/>
        <v>0</v>
      </c>
      <c r="AD39" s="17">
        <f t="shared" si="10"/>
        <v>0</v>
      </c>
      <c r="AE39" s="17">
        <f t="shared" si="10"/>
        <v>0</v>
      </c>
      <c r="AF39" s="17">
        <f t="shared" si="10"/>
        <v>0</v>
      </c>
    </row>
    <row r="40" ht="19.95" customHeight="1" spans="2:32">
      <c r="B40" s="20"/>
      <c r="C40" s="24" t="s">
        <v>892</v>
      </c>
      <c r="D40" s="22">
        <f ca="1" t="shared" si="8"/>
        <v>139577.265231325</v>
      </c>
      <c r="E40" s="18" t="s">
        <v>24</v>
      </c>
      <c r="F40" s="23"/>
      <c r="G40" s="23"/>
      <c r="H40" s="23"/>
      <c r="I40" s="23"/>
      <c r="J40" s="40">
        <f ca="1">'表1-资金筹措及还本付息表'!J8+'表1-资金筹措及还本付息表'!J9</f>
        <v>41985.1239824027</v>
      </c>
      <c r="K40" s="40">
        <f ca="1">'表1-资金筹措及还本付息表'!K8+'表1-资金筹措及还本付息表'!K9</f>
        <v>97592.141248922</v>
      </c>
      <c r="L40" s="40">
        <f>'表1-资金筹措及还本付息表'!L8+'表1-资金筹措及还本付息表'!L9</f>
        <v>0</v>
      </c>
      <c r="M40" s="40">
        <f>'表1-资金筹措及还本付息表'!M8+'表1-资金筹措及还本付息表'!M9</f>
        <v>0</v>
      </c>
      <c r="N40" s="40">
        <f>'表1-资金筹措及还本付息表'!N8+'表1-资金筹措及还本付息表'!N9</f>
        <v>0</v>
      </c>
      <c r="O40" s="40">
        <f>'表1-资金筹措及还本付息表'!O8+'表1-资金筹措及还本付息表'!O9</f>
        <v>0</v>
      </c>
      <c r="P40" s="40">
        <f>'表1-资金筹措及还本付息表'!P8+'表1-资金筹措及还本付息表'!P9</f>
        <v>0</v>
      </c>
      <c r="Q40" s="40">
        <f>'表1-资金筹措及还本付息表'!Q8+'表1-资金筹措及还本付息表'!Q9</f>
        <v>0</v>
      </c>
      <c r="R40" s="40">
        <f>'表1-资金筹措及还本付息表'!R8+'表1-资金筹措及还本付息表'!R9</f>
        <v>0</v>
      </c>
      <c r="S40" s="40">
        <f>'表1-资金筹措及还本付息表'!S8+'表1-资金筹措及还本付息表'!S9</f>
        <v>0</v>
      </c>
      <c r="T40" s="40">
        <f>'表1-资金筹措及还本付息表'!T8+'表1-资金筹措及还本付息表'!T9</f>
        <v>0</v>
      </c>
      <c r="U40" s="40">
        <f>'表1-资金筹措及还本付息表'!U8+'表1-资金筹措及还本付息表'!U9</f>
        <v>0</v>
      </c>
      <c r="V40" s="40">
        <f>'表1-资金筹措及还本付息表'!V8+'表1-资金筹措及还本付息表'!V9</f>
        <v>0</v>
      </c>
      <c r="W40" s="40">
        <f>'表1-资金筹措及还本付息表'!W8+'表1-资金筹措及还本付息表'!W9</f>
        <v>0</v>
      </c>
      <c r="X40" s="40">
        <f>'表1-资金筹措及还本付息表'!X8+'表1-资金筹措及还本付息表'!X9</f>
        <v>0</v>
      </c>
      <c r="Y40" s="40">
        <f>'表1-资金筹措及还本付息表'!Y8+'表1-资金筹措及还本付息表'!Y9</f>
        <v>0</v>
      </c>
      <c r="Z40" s="40">
        <f>'表1-资金筹措及还本付息表'!Z8+'表1-资金筹措及还本付息表'!Z9</f>
        <v>0</v>
      </c>
      <c r="AA40" s="40">
        <f>'表1-资金筹措及还本付息表'!AA8+'表1-资金筹措及还本付息表'!AA9</f>
        <v>0</v>
      </c>
      <c r="AB40" s="40">
        <f>'表1-资金筹措及还本付息表'!AB8+'表1-资金筹措及还本付息表'!AB9</f>
        <v>0</v>
      </c>
      <c r="AC40" s="40">
        <f>'表1-资金筹措及还本付息表'!AC8+'表1-资金筹措及还本付息表'!AC9</f>
        <v>0</v>
      </c>
      <c r="AD40" s="40">
        <f>'表1-资金筹措及还本付息表'!AD8+'表1-资金筹措及还本付息表'!AD9</f>
        <v>0</v>
      </c>
      <c r="AE40" s="40">
        <f>'表1-资金筹措及还本付息表'!AE8+'表1-资金筹措及还本付息表'!AE9</f>
        <v>0</v>
      </c>
      <c r="AF40" s="40">
        <f>'表1-资金筹措及还本付息表'!AF8+'表1-资金筹措及还本付息表'!AF9</f>
        <v>0</v>
      </c>
    </row>
    <row r="41" ht="19.95" customHeight="1" spans="2:32">
      <c r="B41" s="20"/>
      <c r="C41" s="24" t="s">
        <v>893</v>
      </c>
      <c r="D41" s="22">
        <f t="shared" si="8"/>
        <v>0</v>
      </c>
      <c r="E41" s="18" t="s">
        <v>24</v>
      </c>
      <c r="F41" s="23"/>
      <c r="G41" s="23"/>
      <c r="H41" s="23"/>
      <c r="I41" s="23"/>
      <c r="J41" s="22">
        <f>'表6-现金流量表-资本金'!J33</f>
        <v>0</v>
      </c>
      <c r="K41" s="22">
        <f>'表6-现金流量表-资本金'!K33</f>
        <v>0</v>
      </c>
      <c r="L41" s="22">
        <f>'表6-现金流量表-资本金'!L33</f>
        <v>0</v>
      </c>
      <c r="M41" s="22">
        <f>'表6-现金流量表-资本金'!M33</f>
        <v>0</v>
      </c>
      <c r="N41" s="22">
        <f>'表6-现金流量表-资本金'!N33</f>
        <v>0</v>
      </c>
      <c r="O41" s="22">
        <f>'表6-现金流量表-资本金'!O33</f>
        <v>0</v>
      </c>
      <c r="P41" s="22">
        <f>'表6-现金流量表-资本金'!P33</f>
        <v>0</v>
      </c>
      <c r="Q41" s="22">
        <f>'表6-现金流量表-资本金'!Q33</f>
        <v>0</v>
      </c>
      <c r="R41" s="22">
        <f>'表6-现金流量表-资本金'!R33</f>
        <v>0</v>
      </c>
      <c r="S41" s="22">
        <f>'表6-现金流量表-资本金'!S33</f>
        <v>0</v>
      </c>
      <c r="T41" s="22">
        <f>'表6-现金流量表-资本金'!T33</f>
        <v>0</v>
      </c>
      <c r="U41" s="22">
        <f>'表6-现金流量表-资本金'!U33</f>
        <v>0</v>
      </c>
      <c r="V41" s="22">
        <f>'表6-现金流量表-资本金'!V33</f>
        <v>0</v>
      </c>
      <c r="W41" s="22">
        <f>'表6-现金流量表-资本金'!W33</f>
        <v>0</v>
      </c>
      <c r="X41" s="22">
        <f>'表6-现金流量表-资本金'!X33</f>
        <v>0</v>
      </c>
      <c r="Y41" s="22">
        <f>'表6-现金流量表-资本金'!Y33</f>
        <v>0</v>
      </c>
      <c r="Z41" s="22">
        <f>'表6-现金流量表-资本金'!Z33</f>
        <v>0</v>
      </c>
      <c r="AA41" s="22">
        <f>'表6-现金流量表-资本金'!AA33</f>
        <v>0</v>
      </c>
      <c r="AB41" s="22">
        <f>'表6-现金流量表-资本金'!AB33</f>
        <v>0</v>
      </c>
      <c r="AC41" s="22">
        <f>'表6-现金流量表-资本金'!AC33</f>
        <v>0</v>
      </c>
      <c r="AD41" s="22">
        <f>'表6-现金流量表-资本金'!AD33</f>
        <v>0</v>
      </c>
      <c r="AE41" s="22">
        <f>'表6-现金流量表-资本金'!AE33</f>
        <v>0</v>
      </c>
      <c r="AF41" s="22">
        <f>'表6-现金流量表-资本金'!AF33</f>
        <v>0</v>
      </c>
    </row>
    <row r="42" ht="19.95" customHeight="1" spans="2:32">
      <c r="B42" s="20"/>
      <c r="C42" s="21" t="s">
        <v>894</v>
      </c>
      <c r="D42" s="22">
        <f t="shared" si="8"/>
        <v>0</v>
      </c>
      <c r="E42" s="18" t="s">
        <v>24</v>
      </c>
      <c r="F42" s="23"/>
      <c r="G42" s="23"/>
      <c r="H42" s="23"/>
      <c r="I42" s="23"/>
      <c r="J42" s="22"/>
      <c r="K42" s="22"/>
      <c r="L42" s="22"/>
      <c r="M42" s="22"/>
      <c r="N42" s="22"/>
      <c r="O42" s="22"/>
      <c r="P42" s="22"/>
      <c r="Q42" s="22"/>
      <c r="R42" s="22"/>
      <c r="S42" s="22"/>
      <c r="T42" s="22"/>
      <c r="U42" s="22"/>
      <c r="V42" s="22"/>
      <c r="W42" s="22"/>
      <c r="X42" s="22"/>
      <c r="Y42" s="22"/>
      <c r="Z42" s="22"/>
      <c r="AA42" s="22"/>
      <c r="AB42" s="22"/>
      <c r="AC42" s="22"/>
      <c r="AD42" s="22"/>
      <c r="AE42" s="22"/>
      <c r="AF42" s="22"/>
    </row>
    <row r="43" ht="19.95" customHeight="1" spans="2:32">
      <c r="B43" s="20"/>
      <c r="C43" s="24" t="s">
        <v>895</v>
      </c>
      <c r="D43" s="22">
        <f t="shared" si="8"/>
        <v>0</v>
      </c>
      <c r="E43" s="18" t="s">
        <v>24</v>
      </c>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row>
    <row r="44" s="2" customFormat="1" ht="19.95" customHeight="1" spans="2:32">
      <c r="B44" s="48"/>
      <c r="C44" s="225" t="s">
        <v>896</v>
      </c>
      <c r="D44" s="49">
        <f t="shared" si="8"/>
        <v>8115.18722</v>
      </c>
      <c r="E44" s="54" t="s">
        <v>24</v>
      </c>
      <c r="F44" s="78"/>
      <c r="G44" s="78"/>
      <c r="H44" s="78"/>
      <c r="I44" s="80">
        <f>'表10-资产负债表(标准格式)'!H103</f>
        <v>8115.18722</v>
      </c>
      <c r="J44" s="49">
        <f>'表6-现金流量表-资本金'!J30</f>
        <v>0</v>
      </c>
      <c r="K44" s="49">
        <f>'表6-现金流量表-资本金'!K30</f>
        <v>0</v>
      </c>
      <c r="L44" s="49">
        <f>'表6-现金流量表-资本金'!L30</f>
        <v>0</v>
      </c>
      <c r="M44" s="49">
        <f>'表6-现金流量表-资本金'!M30</f>
        <v>0</v>
      </c>
      <c r="N44" s="49">
        <f>'表6-现金流量表-资本金'!N30</f>
        <v>0</v>
      </c>
      <c r="O44" s="49">
        <f>'表6-现金流量表-资本金'!O30</f>
        <v>0</v>
      </c>
      <c r="P44" s="49">
        <f>'表6-现金流量表-资本金'!P30</f>
        <v>0</v>
      </c>
      <c r="Q44" s="49">
        <f>'表6-现金流量表-资本金'!Q30</f>
        <v>0</v>
      </c>
      <c r="R44" s="49">
        <f>'表6-现金流量表-资本金'!R30</f>
        <v>0</v>
      </c>
      <c r="S44" s="49">
        <f>'表6-现金流量表-资本金'!S30</f>
        <v>0</v>
      </c>
      <c r="T44" s="49">
        <f>'表6-现金流量表-资本金'!T30</f>
        <v>0</v>
      </c>
      <c r="U44" s="49">
        <f>'表6-现金流量表-资本金'!U30</f>
        <v>0</v>
      </c>
      <c r="V44" s="49">
        <f>'表6-现金流量表-资本金'!V30</f>
        <v>0</v>
      </c>
      <c r="W44" s="49">
        <f>'表6-现金流量表-资本金'!W30</f>
        <v>0</v>
      </c>
      <c r="X44" s="49">
        <f>'表6-现金流量表-资本金'!X30</f>
        <v>0</v>
      </c>
      <c r="Y44" s="49">
        <f>'表6-现金流量表-资本金'!Y30</f>
        <v>0</v>
      </c>
      <c r="Z44" s="49">
        <f>'表6-现金流量表-资本金'!Z30</f>
        <v>0</v>
      </c>
      <c r="AA44" s="49">
        <f>'表6-现金流量表-资本金'!AA30</f>
        <v>0</v>
      </c>
      <c r="AB44" s="49">
        <f>'表6-现金流量表-资本金'!AB30</f>
        <v>0</v>
      </c>
      <c r="AC44" s="49">
        <f>'表6-现金流量表-资本金'!AC30</f>
        <v>0</v>
      </c>
      <c r="AD44" s="49">
        <f>'表6-现金流量表-资本金'!AD30</f>
        <v>0</v>
      </c>
      <c r="AE44" s="49">
        <f>'表6-现金流量表-资本金'!AE30</f>
        <v>0</v>
      </c>
      <c r="AF44" s="49">
        <f>'表6-现金流量表-资本金'!AF30</f>
        <v>0</v>
      </c>
    </row>
    <row r="45" ht="19.95" customHeight="1" spans="2:32">
      <c r="B45" s="20"/>
      <c r="C45" s="224" t="s">
        <v>897</v>
      </c>
      <c r="D45" s="17">
        <f ca="1" t="shared" si="8"/>
        <v>147692.452451325</v>
      </c>
      <c r="E45" s="18" t="s">
        <v>24</v>
      </c>
      <c r="F45" s="17">
        <f>SUM(F40:F44)</f>
        <v>0</v>
      </c>
      <c r="G45" s="17">
        <f t="shared" ref="G45:Q45" si="11">SUM(G40:G44)</f>
        <v>0</v>
      </c>
      <c r="H45" s="17">
        <f t="shared" si="11"/>
        <v>0</v>
      </c>
      <c r="I45" s="17">
        <f t="shared" si="11"/>
        <v>8115.18722</v>
      </c>
      <c r="J45" s="17">
        <f ca="1" t="shared" si="11"/>
        <v>41985.1239824027</v>
      </c>
      <c r="K45" s="17">
        <f ca="1" t="shared" si="11"/>
        <v>97592.141248922</v>
      </c>
      <c r="L45" s="17">
        <f t="shared" si="11"/>
        <v>0</v>
      </c>
      <c r="M45" s="17">
        <f t="shared" si="11"/>
        <v>0</v>
      </c>
      <c r="N45" s="17">
        <f t="shared" si="11"/>
        <v>0</v>
      </c>
      <c r="O45" s="17">
        <f t="shared" si="11"/>
        <v>0</v>
      </c>
      <c r="P45" s="17">
        <f t="shared" si="11"/>
        <v>0</v>
      </c>
      <c r="Q45" s="17">
        <f t="shared" si="11"/>
        <v>0</v>
      </c>
      <c r="R45" s="17">
        <f t="shared" ref="R45:AF45" si="12">SUM(R40:R44)</f>
        <v>0</v>
      </c>
      <c r="S45" s="17">
        <f t="shared" si="12"/>
        <v>0</v>
      </c>
      <c r="T45" s="17">
        <f t="shared" si="12"/>
        <v>0</v>
      </c>
      <c r="U45" s="17">
        <f t="shared" si="12"/>
        <v>0</v>
      </c>
      <c r="V45" s="17">
        <f t="shared" si="12"/>
        <v>0</v>
      </c>
      <c r="W45" s="17">
        <f t="shared" si="12"/>
        <v>0</v>
      </c>
      <c r="X45" s="17">
        <f t="shared" si="12"/>
        <v>0</v>
      </c>
      <c r="Y45" s="17">
        <f t="shared" si="12"/>
        <v>0</v>
      </c>
      <c r="Z45" s="17">
        <f t="shared" si="12"/>
        <v>0</v>
      </c>
      <c r="AA45" s="17">
        <f t="shared" si="12"/>
        <v>0</v>
      </c>
      <c r="AB45" s="17">
        <f t="shared" si="12"/>
        <v>0</v>
      </c>
      <c r="AC45" s="17">
        <f t="shared" si="12"/>
        <v>0</v>
      </c>
      <c r="AD45" s="17">
        <f t="shared" si="12"/>
        <v>0</v>
      </c>
      <c r="AE45" s="17">
        <f t="shared" si="12"/>
        <v>0</v>
      </c>
      <c r="AF45" s="17">
        <f t="shared" si="12"/>
        <v>0</v>
      </c>
    </row>
    <row r="46" ht="19.95" customHeight="1" spans="2:32">
      <c r="B46" s="20"/>
      <c r="C46" s="224" t="s">
        <v>898</v>
      </c>
      <c r="D46" s="17">
        <f ca="1" t="shared" si="8"/>
        <v>-147692.452451325</v>
      </c>
      <c r="E46" s="18" t="s">
        <v>24</v>
      </c>
      <c r="F46" s="17">
        <f>F39-F45</f>
        <v>0</v>
      </c>
      <c r="G46" s="17">
        <f>G39-G45</f>
        <v>0</v>
      </c>
      <c r="H46" s="17">
        <f t="shared" ref="H46:R46" si="13">H39-H45</f>
        <v>0</v>
      </c>
      <c r="I46" s="17">
        <f t="shared" si="13"/>
        <v>-8115.18722</v>
      </c>
      <c r="J46" s="17">
        <f ca="1" t="shared" si="13"/>
        <v>-41985.1239824027</v>
      </c>
      <c r="K46" s="17">
        <f ca="1" t="shared" si="13"/>
        <v>-97592.141248922</v>
      </c>
      <c r="L46" s="17">
        <f t="shared" si="13"/>
        <v>0</v>
      </c>
      <c r="M46" s="17">
        <f t="shared" si="13"/>
        <v>0</v>
      </c>
      <c r="N46" s="17">
        <f t="shared" si="13"/>
        <v>0</v>
      </c>
      <c r="O46" s="17">
        <f t="shared" si="13"/>
        <v>0</v>
      </c>
      <c r="P46" s="17">
        <f t="shared" si="13"/>
        <v>0</v>
      </c>
      <c r="Q46" s="17">
        <f t="shared" si="13"/>
        <v>0</v>
      </c>
      <c r="R46" s="17">
        <f t="shared" si="13"/>
        <v>0</v>
      </c>
      <c r="S46" s="17">
        <f t="shared" ref="S46:AF46" si="14">S39-S45</f>
        <v>0</v>
      </c>
      <c r="T46" s="17">
        <f t="shared" si="14"/>
        <v>0</v>
      </c>
      <c r="U46" s="17">
        <f t="shared" si="14"/>
        <v>0</v>
      </c>
      <c r="V46" s="17">
        <f t="shared" si="14"/>
        <v>0</v>
      </c>
      <c r="W46" s="17">
        <f t="shared" si="14"/>
        <v>0</v>
      </c>
      <c r="X46" s="17">
        <f t="shared" si="14"/>
        <v>0</v>
      </c>
      <c r="Y46" s="17">
        <f t="shared" si="14"/>
        <v>0</v>
      </c>
      <c r="Z46" s="17">
        <f t="shared" si="14"/>
        <v>0</v>
      </c>
      <c r="AA46" s="17">
        <f t="shared" si="14"/>
        <v>0</v>
      </c>
      <c r="AB46" s="17">
        <f t="shared" si="14"/>
        <v>0</v>
      </c>
      <c r="AC46" s="17">
        <f t="shared" si="14"/>
        <v>0</v>
      </c>
      <c r="AD46" s="17">
        <f t="shared" si="14"/>
        <v>0</v>
      </c>
      <c r="AE46" s="17">
        <f t="shared" si="14"/>
        <v>0</v>
      </c>
      <c r="AF46" s="17">
        <f t="shared" si="14"/>
        <v>0</v>
      </c>
    </row>
    <row r="47" ht="19.95" customHeight="1" spans="2:32">
      <c r="B47" s="15" t="s">
        <v>754</v>
      </c>
      <c r="C47" s="223" t="s">
        <v>899</v>
      </c>
      <c r="D47" s="17"/>
      <c r="E47" s="18"/>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row>
    <row r="48" ht="19.95" customHeight="1" spans="2:32">
      <c r="B48" s="20"/>
      <c r="C48" s="24" t="s">
        <v>900</v>
      </c>
      <c r="D48" s="22">
        <f ca="1" t="shared" ref="D48:D53" si="15">SUM(F48:AF48)</f>
        <v>43249.5035278312</v>
      </c>
      <c r="E48" s="18" t="s">
        <v>24</v>
      </c>
      <c r="F48" s="23"/>
      <c r="G48" s="23"/>
      <c r="H48" s="23"/>
      <c r="I48" s="80">
        <f>I44</f>
        <v>8115.18722</v>
      </c>
      <c r="J48" s="22">
        <f ca="1">'表1-资金筹措及还本付息表'!J12</f>
        <v>10496.2809956007</v>
      </c>
      <c r="K48" s="22">
        <f ca="1">'表1-资金筹措及还本付息表'!K12</f>
        <v>24398.0353122305</v>
      </c>
      <c r="L48" s="22">
        <f>'表1-资金筹措及还本付息表'!L12</f>
        <v>240</v>
      </c>
      <c r="M48" s="22">
        <f>'表1-资金筹措及还本付息表'!M12</f>
        <v>0</v>
      </c>
      <c r="N48" s="22">
        <f>'表1-资金筹措及还本付息表'!N12</f>
        <v>0</v>
      </c>
      <c r="O48" s="22">
        <f>'表1-资金筹措及还本付息表'!O12</f>
        <v>0</v>
      </c>
      <c r="P48" s="22">
        <f>'表1-资金筹措及还本付息表'!P12</f>
        <v>0</v>
      </c>
      <c r="Q48" s="22">
        <f>'表1-资金筹措及还本付息表'!Q12</f>
        <v>0</v>
      </c>
      <c r="R48" s="22">
        <f>'表1-资金筹措及还本付息表'!R12</f>
        <v>0</v>
      </c>
      <c r="S48" s="22">
        <f>'表1-资金筹措及还本付息表'!S12</f>
        <v>0</v>
      </c>
      <c r="T48" s="22">
        <f>'表1-资金筹措及还本付息表'!T12</f>
        <v>0</v>
      </c>
      <c r="U48" s="22">
        <f>'表1-资金筹措及还本付息表'!U12</f>
        <v>0</v>
      </c>
      <c r="V48" s="22">
        <f>'表1-资金筹措及还本付息表'!V12</f>
        <v>0</v>
      </c>
      <c r="W48" s="22">
        <f>'表1-资金筹措及还本付息表'!W12</f>
        <v>0</v>
      </c>
      <c r="X48" s="22">
        <f>'表1-资金筹措及还本付息表'!X12</f>
        <v>0</v>
      </c>
      <c r="Y48" s="22">
        <f>'表1-资金筹措及还本付息表'!Y12</f>
        <v>0</v>
      </c>
      <c r="Z48" s="22">
        <f>'表1-资金筹措及还本付息表'!Z12</f>
        <v>0</v>
      </c>
      <c r="AA48" s="22">
        <f>'表1-资金筹措及还本付息表'!AA12</f>
        <v>0</v>
      </c>
      <c r="AB48" s="22">
        <f>'表1-资金筹措及还本付息表'!AB12</f>
        <v>0</v>
      </c>
      <c r="AC48" s="22">
        <f>'表1-资金筹措及还本付息表'!AC12</f>
        <v>0</v>
      </c>
      <c r="AD48" s="22">
        <f>'表1-资金筹措及还本付息表'!AD12</f>
        <v>0</v>
      </c>
      <c r="AE48" s="22">
        <f>'表1-资金筹措及还本付息表'!AE12</f>
        <v>0</v>
      </c>
      <c r="AF48" s="22">
        <f>'表1-资金筹措及还本付息表'!AF12</f>
        <v>0</v>
      </c>
    </row>
    <row r="49" ht="19.95" customHeight="1" spans="2:32">
      <c r="B49" s="20"/>
      <c r="C49" s="26" t="s">
        <v>901</v>
      </c>
      <c r="D49" s="22">
        <f t="shared" si="15"/>
        <v>0</v>
      </c>
      <c r="E49" s="18" t="s">
        <v>24</v>
      </c>
      <c r="F49" s="23"/>
      <c r="G49" s="23"/>
      <c r="H49" s="23"/>
      <c r="I49" s="23"/>
      <c r="J49" s="22"/>
      <c r="K49" s="22"/>
      <c r="L49" s="22"/>
      <c r="M49" s="22"/>
      <c r="N49" s="22"/>
      <c r="O49" s="22"/>
      <c r="P49" s="22"/>
      <c r="Q49" s="22"/>
      <c r="R49" s="22"/>
      <c r="S49" s="22"/>
      <c r="T49" s="22"/>
      <c r="U49" s="22"/>
      <c r="V49" s="22"/>
      <c r="W49" s="22"/>
      <c r="X49" s="22"/>
      <c r="Y49" s="22"/>
      <c r="Z49" s="22"/>
      <c r="AA49" s="22"/>
      <c r="AB49" s="22"/>
      <c r="AC49" s="22"/>
      <c r="AD49" s="22"/>
      <c r="AE49" s="22"/>
      <c r="AF49" s="22"/>
    </row>
    <row r="50" ht="19.95" customHeight="1" spans="2:32">
      <c r="B50" s="20"/>
      <c r="C50" s="24" t="s">
        <v>902</v>
      </c>
      <c r="D50" s="22">
        <f ca="1" t="shared" si="15"/>
        <v>117942.948923493</v>
      </c>
      <c r="E50" s="18" t="s">
        <v>24</v>
      </c>
      <c r="F50" s="23"/>
      <c r="G50" s="23"/>
      <c r="H50" s="23"/>
      <c r="I50" s="23"/>
      <c r="J50" s="40">
        <f ca="1">'表1-资金筹措及还本付息表'!J91</f>
        <v>31988.842986802</v>
      </c>
      <c r="K50" s="40">
        <f ca="1">'表1-资金筹措及还本付息表'!K91</f>
        <v>73694.1059366915</v>
      </c>
      <c r="L50" s="40">
        <f>'表1-资金筹措及还本付息表'!L91</f>
        <v>1060</v>
      </c>
      <c r="M50" s="40">
        <f>'表1-资金筹措及还本付息表'!M91</f>
        <v>560</v>
      </c>
      <c r="N50" s="40">
        <f>'表1-资金筹措及还本付息表'!N91</f>
        <v>560</v>
      </c>
      <c r="O50" s="40">
        <f>'表1-资金筹措及还本付息表'!O91</f>
        <v>560</v>
      </c>
      <c r="P50" s="40">
        <f>'表1-资金筹措及还本付息表'!P91</f>
        <v>560</v>
      </c>
      <c r="Q50" s="40">
        <f>'表1-资金筹措及还本付息表'!Q91</f>
        <v>560</v>
      </c>
      <c r="R50" s="40">
        <f>'表1-资金筹措及还本付息表'!R91</f>
        <v>560</v>
      </c>
      <c r="S50" s="40">
        <f>'表1-资金筹措及还本付息表'!S91</f>
        <v>560</v>
      </c>
      <c r="T50" s="40">
        <f>'表1-资金筹措及还本付息表'!T91</f>
        <v>560</v>
      </c>
      <c r="U50" s="40">
        <f>'表1-资金筹措及还本付息表'!U91</f>
        <v>560</v>
      </c>
      <c r="V50" s="40">
        <f>'表1-资金筹措及还本付息表'!V91</f>
        <v>560</v>
      </c>
      <c r="W50" s="40">
        <f>'表1-资金筹措及还本付息表'!W91</f>
        <v>560</v>
      </c>
      <c r="X50" s="40">
        <f>'表1-资金筹措及还本付息表'!X91</f>
        <v>560</v>
      </c>
      <c r="Y50" s="40">
        <f>'表1-资金筹措及还本付息表'!Y91</f>
        <v>560</v>
      </c>
      <c r="Z50" s="40">
        <f>'表1-资金筹措及还本付息表'!Z91</f>
        <v>560</v>
      </c>
      <c r="AA50" s="40">
        <f>'表1-资金筹措及还本付息表'!AA91</f>
        <v>560</v>
      </c>
      <c r="AB50" s="40">
        <f>'表1-资金筹措及还本付息表'!AB91</f>
        <v>560</v>
      </c>
      <c r="AC50" s="40">
        <f>'表1-资金筹措及还本付息表'!AC91</f>
        <v>560</v>
      </c>
      <c r="AD50" s="40">
        <f>'表1-资金筹措及还本付息表'!AD91</f>
        <v>560</v>
      </c>
      <c r="AE50" s="40">
        <f>'表1-资金筹措及还本付息表'!AE91</f>
        <v>560</v>
      </c>
      <c r="AF50" s="40">
        <f>'表1-资金筹措及还本付息表'!AF91</f>
        <v>560</v>
      </c>
    </row>
    <row r="51" ht="19.95" customHeight="1" spans="2:32">
      <c r="B51" s="20"/>
      <c r="C51" s="24" t="s">
        <v>903</v>
      </c>
      <c r="D51" s="22">
        <f t="shared" si="15"/>
        <v>0</v>
      </c>
      <c r="E51" s="18" t="s">
        <v>24</v>
      </c>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row>
    <row r="52" ht="19.95" customHeight="1" spans="2:32">
      <c r="B52" s="20"/>
      <c r="C52" s="224" t="s">
        <v>904</v>
      </c>
      <c r="D52" s="17">
        <f ca="1" t="shared" si="15"/>
        <v>161192.452451325</v>
      </c>
      <c r="E52" s="18" t="s">
        <v>24</v>
      </c>
      <c r="F52" s="17">
        <f>F48+F50+F51</f>
        <v>0</v>
      </c>
      <c r="G52" s="17">
        <f t="shared" ref="G52:S52" si="16">G48+G50+G51</f>
        <v>0</v>
      </c>
      <c r="H52" s="17">
        <f t="shared" si="16"/>
        <v>0</v>
      </c>
      <c r="I52" s="17">
        <f t="shared" si="16"/>
        <v>8115.18722</v>
      </c>
      <c r="J52" s="17">
        <f ca="1" t="shared" si="16"/>
        <v>42485.1239824027</v>
      </c>
      <c r="K52" s="17">
        <f ca="1" t="shared" si="16"/>
        <v>98092.141248922</v>
      </c>
      <c r="L52" s="17">
        <f t="shared" si="16"/>
        <v>1300</v>
      </c>
      <c r="M52" s="17">
        <f t="shared" si="16"/>
        <v>560</v>
      </c>
      <c r="N52" s="17">
        <f t="shared" si="16"/>
        <v>560</v>
      </c>
      <c r="O52" s="17">
        <f t="shared" si="16"/>
        <v>560</v>
      </c>
      <c r="P52" s="17">
        <f t="shared" si="16"/>
        <v>560</v>
      </c>
      <c r="Q52" s="17">
        <f t="shared" si="16"/>
        <v>560</v>
      </c>
      <c r="R52" s="17">
        <f t="shared" si="16"/>
        <v>560</v>
      </c>
      <c r="S52" s="17">
        <f t="shared" si="16"/>
        <v>560</v>
      </c>
      <c r="T52" s="17">
        <f t="shared" ref="T52:AF52" si="17">T48+T50+T51</f>
        <v>560</v>
      </c>
      <c r="U52" s="17">
        <f t="shared" si="17"/>
        <v>560</v>
      </c>
      <c r="V52" s="17">
        <f t="shared" si="17"/>
        <v>560</v>
      </c>
      <c r="W52" s="17">
        <f t="shared" si="17"/>
        <v>560</v>
      </c>
      <c r="X52" s="17">
        <f t="shared" si="17"/>
        <v>560</v>
      </c>
      <c r="Y52" s="17">
        <f t="shared" si="17"/>
        <v>560</v>
      </c>
      <c r="Z52" s="17">
        <f t="shared" si="17"/>
        <v>560</v>
      </c>
      <c r="AA52" s="17">
        <f t="shared" si="17"/>
        <v>560</v>
      </c>
      <c r="AB52" s="17">
        <f t="shared" si="17"/>
        <v>560</v>
      </c>
      <c r="AC52" s="17">
        <f t="shared" si="17"/>
        <v>560</v>
      </c>
      <c r="AD52" s="17">
        <f t="shared" si="17"/>
        <v>560</v>
      </c>
      <c r="AE52" s="17">
        <f t="shared" si="17"/>
        <v>560</v>
      </c>
      <c r="AF52" s="17">
        <f t="shared" si="17"/>
        <v>560</v>
      </c>
    </row>
    <row r="53" ht="19.95" customHeight="1" spans="2:32">
      <c r="B53" s="20"/>
      <c r="C53" s="24" t="s">
        <v>905</v>
      </c>
      <c r="D53" s="22">
        <f ca="1" t="shared" si="15"/>
        <v>211307.646279178</v>
      </c>
      <c r="E53" s="18" t="s">
        <v>24</v>
      </c>
      <c r="F53" s="23"/>
      <c r="G53" s="23"/>
      <c r="H53" s="23"/>
      <c r="I53" s="23"/>
      <c r="J53" s="22">
        <f ca="1">'表1-资金筹措及还本付息表'!J93+'表1-资金筹措及还本付息表'!J94</f>
        <v>2007.28044761159</v>
      </c>
      <c r="K53" s="22">
        <f ca="1">'表1-资金筹措及还本付息表'!K93+'表1-资金筹措及还本付息表'!K94</f>
        <v>6951.25550423158</v>
      </c>
      <c r="L53" s="22">
        <f ca="1">'表1-资金筹措及还本付息表'!L93+'表1-资金筹措及还本付息表'!L94</f>
        <v>14438.2949255645</v>
      </c>
      <c r="M53" s="22">
        <f ca="1">'表1-资金筹措及还本付息表'!M93+'表1-资金筹措及还本付息表'!M94</f>
        <v>14342.0449255645</v>
      </c>
      <c r="N53" s="22">
        <f ca="1">'表1-资金筹措及还本付息表'!N93+'表1-资金筹措及还本付息表'!N94</f>
        <v>13745.7949255645</v>
      </c>
      <c r="O53" s="22">
        <f ca="1">'表1-资金筹措及还本付息表'!O93+'表1-资金筹措及还本付息表'!O94</f>
        <v>13667.7949255645</v>
      </c>
      <c r="P53" s="22">
        <f ca="1">'表1-资金筹措及还本付息表'!P93+'表1-资金筹措及还本付息表'!P94</f>
        <v>13589.7949255645</v>
      </c>
      <c r="Q53" s="22">
        <f ca="1">'表1-资金筹措及还本付息表'!Q93+'表1-资金筹措及还本付息表'!Q94</f>
        <v>13511.7949255645</v>
      </c>
      <c r="R53" s="22">
        <f ca="1">'表1-资金筹措及还本付息表'!R93+'表1-资金筹措及还本付息表'!R94</f>
        <v>13433.7949255645</v>
      </c>
      <c r="S53" s="22">
        <f ca="1">'表1-资金筹措及还本付息表'!S93+'表1-资金筹措及还本付息表'!S94</f>
        <v>13355.7949255645</v>
      </c>
      <c r="T53" s="22">
        <f ca="1">'表1-资金筹措及还本付息表'!T93+'表1-资金筹措及还本付息表'!T94</f>
        <v>13277.7949255645</v>
      </c>
      <c r="U53" s="22">
        <f ca="1">'表1-资金筹措及还本付息表'!U93+'表1-资金筹措及还本付息表'!U94</f>
        <v>10599.7949255645</v>
      </c>
      <c r="V53" s="22">
        <f ca="1">'表1-资金筹措及还本付息表'!V93+'表1-资金筹措及还本付息表'!V94</f>
        <v>10599.7949255645</v>
      </c>
      <c r="W53" s="22">
        <f ca="1">'表1-资金筹措及还本付息表'!W93+'表1-资金筹措及还本付息表'!W94</f>
        <v>10599.7949255645</v>
      </c>
      <c r="X53" s="22">
        <f ca="1">'表1-资金筹措及还本付息表'!X93+'表1-资金筹措及还本付息表'!X94</f>
        <v>10599.7949255645</v>
      </c>
      <c r="Y53" s="22">
        <f ca="1">'表1-资金筹措及还本付息表'!Y93+'表1-资金筹措及还本付息表'!Y94</f>
        <v>10599.7949255645</v>
      </c>
      <c r="Z53" s="22">
        <f ca="1">'表1-资金筹措及还本付息表'!Z93+'表1-资金筹措及还本付息表'!Z94</f>
        <v>10599.7949255645</v>
      </c>
      <c r="AA53" s="22">
        <f ca="1">'表1-资金筹措及还本付息表'!AA93+'表1-资金筹措及还本付息表'!AA94</f>
        <v>985.924263934</v>
      </c>
      <c r="AB53" s="22">
        <f ca="1">'表1-资金筹措及还本付息表'!AB93+'表1-资金筹措及还本付息表'!AB94</f>
        <v>12095.082179934</v>
      </c>
      <c r="AC53" s="22">
        <f ca="1">'表1-资金筹措及还本付息表'!AC93+'表1-资金筹措及还本付息表'!AC94</f>
        <v>580.44</v>
      </c>
      <c r="AD53" s="22">
        <f ca="1">'表1-资金筹措及还本付息表'!AD93+'表1-资金筹措及还本付息表'!AD94</f>
        <v>580.44</v>
      </c>
      <c r="AE53" s="22">
        <f ca="1">'表1-资金筹措及还本付息表'!AE93+'表1-资金筹措及还本付息表'!AE94</f>
        <v>580.44</v>
      </c>
      <c r="AF53" s="22">
        <f ca="1">'表1-资金筹措及还本付息表'!AF93+'表1-资金筹措及还本付息表'!AF94</f>
        <v>565.11</v>
      </c>
    </row>
    <row r="54" ht="19.95" customHeight="1" spans="2:32">
      <c r="B54" s="20"/>
      <c r="C54" s="24" t="s">
        <v>906</v>
      </c>
      <c r="D54" s="22">
        <f ca="1" t="shared" ref="D54:D60" si="18">SUM(F54:AF54)</f>
        <v>52583.0434734873</v>
      </c>
      <c r="E54" s="18" t="s">
        <v>24</v>
      </c>
      <c r="F54" s="23"/>
      <c r="G54" s="23"/>
      <c r="H54" s="23"/>
      <c r="I54" s="23"/>
      <c r="J54" s="22">
        <f ca="1">'表5-利润表-资本金(标准格式)'!J60</f>
        <v>-1974.52485102332</v>
      </c>
      <c r="K54" s="22">
        <f ca="1">'表5-利润表-资本金(标准格式)'!K60</f>
        <v>347.374149788666</v>
      </c>
      <c r="L54" s="22">
        <f ca="1">'表5-利润表-资本金(标准格式)'!L60</f>
        <v>1624.38312157249</v>
      </c>
      <c r="M54" s="22">
        <f ca="1">'表5-利润表-资本金(标准格式)'!M60</f>
        <v>1322.51752198183</v>
      </c>
      <c r="N54" s="22">
        <f ca="1">'表5-利润表-资本金(标准格式)'!N60</f>
        <v>1484.35695118635</v>
      </c>
      <c r="O54" s="22">
        <f ca="1">'表5-利润表-资本金(标准格式)'!O60</f>
        <v>1639.77764749117</v>
      </c>
      <c r="P54" s="22">
        <f ca="1">'表5-利润表-资本金(标准格式)'!P60</f>
        <v>1803.06315815817</v>
      </c>
      <c r="Q54" s="22">
        <f ca="1">'表5-利润表-资本金(标准格式)'!Q60</f>
        <v>1974.55581948367</v>
      </c>
      <c r="R54" s="22">
        <f ca="1">'表5-利润表-资本金(标准格式)'!R60</f>
        <v>1592.27308455629</v>
      </c>
      <c r="S54" s="22">
        <f ca="1">'表5-利润表-资本金(标准格式)'!S60</f>
        <v>1751.52896992755</v>
      </c>
      <c r="T54" s="22">
        <f ca="1">'表5-利润表-资本金(标准格式)'!T60</f>
        <v>1927.88672643916</v>
      </c>
      <c r="U54" s="22">
        <f ca="1">'表5-利润表-资本金(标准格式)'!U60</f>
        <v>2112.81042361655</v>
      </c>
      <c r="V54" s="22">
        <f ca="1">'表5-利润表-资本金(标准格式)'!V60</f>
        <v>2253.51973288305</v>
      </c>
      <c r="W54" s="22">
        <f ca="1">'表5-利润表-资本金(标准格式)'!W60</f>
        <v>2283.00734609999</v>
      </c>
      <c r="X54" s="22">
        <f ca="1">'表5-利润表-资本金(标准格式)'!X60</f>
        <v>3147.39037753768</v>
      </c>
      <c r="Y54" s="22">
        <f ca="1">'表5-利润表-资本金(标准格式)'!Y60</f>
        <v>4025.25659981198</v>
      </c>
      <c r="Z54" s="22">
        <f ca="1">'表5-利润表-资本金(标准格式)'!Z60</f>
        <v>2496.06967689469</v>
      </c>
      <c r="AA54" s="22">
        <f ca="1">'表5-利润表-资本金(标准格式)'!AA60</f>
        <v>1728.25275111901</v>
      </c>
      <c r="AB54" s="22">
        <f ca="1">'表5-利润表-资本金(标准格式)'!AB60</f>
        <v>2249.91906897319</v>
      </c>
      <c r="AC54" s="22">
        <f ca="1">'表5-利润表-资本金(标准格式)'!AC60</f>
        <v>5982.95978093859</v>
      </c>
      <c r="AD54" s="22">
        <f ca="1">'表5-利润表-资本金(标准格式)'!AD60</f>
        <v>6763.81224633069</v>
      </c>
      <c r="AE54" s="22">
        <f ca="1">'表5-利润表-资本金(标准格式)'!AE60</f>
        <v>7030.24068913818</v>
      </c>
      <c r="AF54" s="22">
        <f ca="1">'表5-利润表-资本金(标准格式)'!AF60</f>
        <v>-983.387519418344</v>
      </c>
    </row>
    <row r="55" ht="19.95" customHeight="1" spans="2:32">
      <c r="B55" s="20"/>
      <c r="C55" s="26" t="s">
        <v>907</v>
      </c>
      <c r="D55" s="22">
        <f t="shared" si="18"/>
        <v>0</v>
      </c>
      <c r="E55" s="18" t="s">
        <v>24</v>
      </c>
      <c r="F55" s="23"/>
      <c r="G55" s="23"/>
      <c r="H55" s="23"/>
      <c r="I55" s="23"/>
      <c r="J55" s="22"/>
      <c r="K55" s="22"/>
      <c r="L55" s="22"/>
      <c r="M55" s="22"/>
      <c r="N55" s="22"/>
      <c r="O55" s="22"/>
      <c r="P55" s="22"/>
      <c r="Q55" s="22"/>
      <c r="R55" s="22"/>
      <c r="S55" s="22"/>
      <c r="T55" s="22"/>
      <c r="U55" s="22"/>
      <c r="V55" s="22"/>
      <c r="W55" s="22"/>
      <c r="X55" s="22"/>
      <c r="Y55" s="22"/>
      <c r="Z55" s="22"/>
      <c r="AA55" s="22"/>
      <c r="AB55" s="22"/>
      <c r="AC55" s="22"/>
      <c r="AD55" s="22"/>
      <c r="AE55" s="22"/>
      <c r="AF55" s="22"/>
    </row>
    <row r="56" ht="19.95" customHeight="1" spans="2:32">
      <c r="B56" s="20"/>
      <c r="C56" s="24" t="s">
        <v>908</v>
      </c>
      <c r="D56" s="22">
        <f t="shared" si="18"/>
        <v>0</v>
      </c>
      <c r="E56" s="18" t="s">
        <v>24</v>
      </c>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row>
    <row r="57" ht="19.95" customHeight="1" spans="2:32">
      <c r="B57" s="20"/>
      <c r="C57" s="224" t="s">
        <v>909</v>
      </c>
      <c r="D57" s="17">
        <f ca="1" t="shared" si="18"/>
        <v>263890.689752666</v>
      </c>
      <c r="E57" s="18" t="s">
        <v>24</v>
      </c>
      <c r="F57" s="17">
        <f>F53+F54+F56</f>
        <v>0</v>
      </c>
      <c r="G57" s="17">
        <f t="shared" ref="G57:P57" si="19">G53+G54+G56</f>
        <v>0</v>
      </c>
      <c r="H57" s="17">
        <f t="shared" si="19"/>
        <v>0</v>
      </c>
      <c r="I57" s="17">
        <f t="shared" si="19"/>
        <v>0</v>
      </c>
      <c r="J57" s="17">
        <f ca="1" t="shared" si="19"/>
        <v>32.7555965882707</v>
      </c>
      <c r="K57" s="17">
        <f ca="1" t="shared" si="19"/>
        <v>7298.62965402024</v>
      </c>
      <c r="L57" s="17">
        <f ca="1" t="shared" si="19"/>
        <v>16062.678047137</v>
      </c>
      <c r="M57" s="17">
        <f ca="1" t="shared" si="19"/>
        <v>15664.5624475463</v>
      </c>
      <c r="N57" s="17">
        <f ca="1" t="shared" si="19"/>
        <v>15230.1518767508</v>
      </c>
      <c r="O57" s="17">
        <f ca="1" t="shared" si="19"/>
        <v>15307.5725730556</v>
      </c>
      <c r="P57" s="17">
        <f ca="1" t="shared" si="19"/>
        <v>15392.8580837226</v>
      </c>
      <c r="Q57" s="17">
        <f ca="1" t="shared" ref="Q57:AF57" si="20">Q53+Q54+Q56</f>
        <v>15486.3507450481</v>
      </c>
      <c r="R57" s="17">
        <f ca="1" t="shared" si="20"/>
        <v>15026.0680101208</v>
      </c>
      <c r="S57" s="17">
        <f ca="1" t="shared" si="20"/>
        <v>15107.323895492</v>
      </c>
      <c r="T57" s="17">
        <f ca="1" t="shared" si="20"/>
        <v>15205.6816520036</v>
      </c>
      <c r="U57" s="17">
        <f ca="1" t="shared" si="20"/>
        <v>12712.605349181</v>
      </c>
      <c r="V57" s="17">
        <f ca="1" t="shared" si="20"/>
        <v>12853.3146584475</v>
      </c>
      <c r="W57" s="17">
        <f ca="1" t="shared" si="20"/>
        <v>12882.8022716645</v>
      </c>
      <c r="X57" s="17">
        <f ca="1" t="shared" si="20"/>
        <v>13747.1853031022</v>
      </c>
      <c r="Y57" s="17">
        <f ca="1" t="shared" si="20"/>
        <v>14625.0515253764</v>
      </c>
      <c r="Z57" s="17">
        <f ca="1" t="shared" si="20"/>
        <v>13095.8646024592</v>
      </c>
      <c r="AA57" s="17">
        <f ca="1" t="shared" si="20"/>
        <v>2714.17701505301</v>
      </c>
      <c r="AB57" s="17">
        <f ca="1" t="shared" si="20"/>
        <v>14345.0012489072</v>
      </c>
      <c r="AC57" s="17">
        <f ca="1" t="shared" si="20"/>
        <v>6563.39978093859</v>
      </c>
      <c r="AD57" s="17">
        <f ca="1" t="shared" si="20"/>
        <v>7344.25224633069</v>
      </c>
      <c r="AE57" s="17">
        <f ca="1" t="shared" si="20"/>
        <v>7610.68068913818</v>
      </c>
      <c r="AF57" s="17">
        <f ca="1" t="shared" si="20"/>
        <v>-418.277519418344</v>
      </c>
    </row>
    <row r="58" ht="19.95" customHeight="1" spans="2:32">
      <c r="B58" s="20"/>
      <c r="C58" s="224" t="s">
        <v>910</v>
      </c>
      <c r="D58" s="17">
        <f ca="1" t="shared" si="18"/>
        <v>-102698.237301341</v>
      </c>
      <c r="E58" s="18" t="s">
        <v>24</v>
      </c>
      <c r="F58" s="17">
        <f>F52-F57</f>
        <v>0</v>
      </c>
      <c r="G58" s="17">
        <f>G52-G57</f>
        <v>0</v>
      </c>
      <c r="H58" s="17">
        <f t="shared" ref="H58:R58" si="21">H52-H57</f>
        <v>0</v>
      </c>
      <c r="I58" s="17">
        <f t="shared" si="21"/>
        <v>8115.18722</v>
      </c>
      <c r="J58" s="17">
        <f ca="1" t="shared" si="21"/>
        <v>42452.3683858144</v>
      </c>
      <c r="K58" s="17">
        <f ca="1" t="shared" si="21"/>
        <v>90793.5115949017</v>
      </c>
      <c r="L58" s="17">
        <f ca="1" t="shared" si="21"/>
        <v>-14762.678047137</v>
      </c>
      <c r="M58" s="17">
        <f ca="1" t="shared" si="21"/>
        <v>-15104.5624475463</v>
      </c>
      <c r="N58" s="17">
        <f ca="1" t="shared" si="21"/>
        <v>-14670.1518767508</v>
      </c>
      <c r="O58" s="17">
        <f ca="1" t="shared" si="21"/>
        <v>-14747.5725730556</v>
      </c>
      <c r="P58" s="17">
        <f ca="1" t="shared" si="21"/>
        <v>-14832.8580837226</v>
      </c>
      <c r="Q58" s="17">
        <f ca="1" t="shared" si="21"/>
        <v>-14926.3507450481</v>
      </c>
      <c r="R58" s="17">
        <f ca="1" t="shared" si="21"/>
        <v>-14466.0680101208</v>
      </c>
      <c r="S58" s="17">
        <f ca="1" t="shared" ref="S58:AF58" si="22">S52-S57</f>
        <v>-14547.323895492</v>
      </c>
      <c r="T58" s="17">
        <f ca="1" t="shared" si="22"/>
        <v>-14645.6816520036</v>
      </c>
      <c r="U58" s="17">
        <f ca="1" t="shared" si="22"/>
        <v>-12152.605349181</v>
      </c>
      <c r="V58" s="17">
        <f ca="1" t="shared" si="22"/>
        <v>-12293.3146584475</v>
      </c>
      <c r="W58" s="17">
        <f ca="1" t="shared" si="22"/>
        <v>-12322.8022716645</v>
      </c>
      <c r="X58" s="17">
        <f ca="1" t="shared" si="22"/>
        <v>-13187.1853031022</v>
      </c>
      <c r="Y58" s="17">
        <f ca="1" t="shared" si="22"/>
        <v>-14065.0515253764</v>
      </c>
      <c r="Z58" s="17">
        <f ca="1" t="shared" si="22"/>
        <v>-12535.8646024592</v>
      </c>
      <c r="AA58" s="17">
        <f ca="1" t="shared" si="22"/>
        <v>-2154.17701505301</v>
      </c>
      <c r="AB58" s="17">
        <f ca="1" t="shared" si="22"/>
        <v>-13785.0012489072</v>
      </c>
      <c r="AC58" s="17">
        <f ca="1" t="shared" si="22"/>
        <v>-6003.39978093859</v>
      </c>
      <c r="AD58" s="17">
        <f ca="1" t="shared" si="22"/>
        <v>-6784.25224633069</v>
      </c>
      <c r="AE58" s="17">
        <f ca="1" t="shared" si="22"/>
        <v>-7050.68068913818</v>
      </c>
      <c r="AF58" s="17">
        <f ca="1" t="shared" si="22"/>
        <v>978.277519418344</v>
      </c>
    </row>
    <row r="59" ht="19.95" customHeight="1" spans="2:32">
      <c r="B59" s="15" t="s">
        <v>759</v>
      </c>
      <c r="C59" s="223" t="s">
        <v>911</v>
      </c>
      <c r="D59" s="17">
        <f t="shared" si="18"/>
        <v>0</v>
      </c>
      <c r="E59" s="18" t="s">
        <v>24</v>
      </c>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row>
    <row r="60" ht="19.95" customHeight="1" spans="2:32">
      <c r="B60" s="15" t="s">
        <v>769</v>
      </c>
      <c r="C60" s="223" t="s">
        <v>912</v>
      </c>
      <c r="D60" s="17">
        <f ca="1" t="shared" si="18"/>
        <v>44224.292953831</v>
      </c>
      <c r="E60" s="18" t="s">
        <v>24</v>
      </c>
      <c r="F60" s="17">
        <f>F32+F46+F58</f>
        <v>0</v>
      </c>
      <c r="G60" s="17">
        <f>G32+G46+G58</f>
        <v>0</v>
      </c>
      <c r="H60" s="17">
        <f t="shared" ref="H60:P60" si="23">H32+H46+H58</f>
        <v>0</v>
      </c>
      <c r="I60" s="17">
        <f t="shared" si="23"/>
        <v>0</v>
      </c>
      <c r="J60" s="17">
        <f ca="1" t="shared" si="23"/>
        <v>4979.25173575954</v>
      </c>
      <c r="K60" s="17">
        <f ca="1" t="shared" si="23"/>
        <v>7916.30609304903</v>
      </c>
      <c r="L60" s="17">
        <f ca="1" t="shared" si="23"/>
        <v>6253.13102671085</v>
      </c>
      <c r="M60" s="17">
        <f ca="1" t="shared" si="23"/>
        <v>3614.53044913306</v>
      </c>
      <c r="N60" s="17">
        <f ca="1" t="shared" si="23"/>
        <v>3598.94634151589</v>
      </c>
      <c r="O60" s="17">
        <f ca="1" t="shared" si="23"/>
        <v>3365.99095887678</v>
      </c>
      <c r="P60" s="17">
        <f ca="1" t="shared" si="23"/>
        <v>3123.62624141234</v>
      </c>
      <c r="Q60" s="17">
        <f ca="1" t="shared" ref="Q60:AF60" si="24">Q32+Q46+Q58</f>
        <v>2871.44692806223</v>
      </c>
      <c r="R60" s="17">
        <f ca="1" t="shared" si="24"/>
        <v>-236.956362562738</v>
      </c>
      <c r="S60" s="17">
        <f ca="1" t="shared" si="24"/>
        <v>-105.79590057878</v>
      </c>
      <c r="T60" s="17">
        <f ca="1" t="shared" si="24"/>
        <v>-382.12832112622</v>
      </c>
      <c r="U60" s="17">
        <f ca="1" t="shared" si="24"/>
        <v>1929.79873359228</v>
      </c>
      <c r="V60" s="17">
        <f ca="1" t="shared" si="24"/>
        <v>1624.31728889925</v>
      </c>
      <c r="W60" s="17">
        <f ca="1" t="shared" si="24"/>
        <v>833.955527515467</v>
      </c>
      <c r="X60" s="17">
        <f ca="1" t="shared" si="24"/>
        <v>-9.4654759667028</v>
      </c>
      <c r="Y60" s="17">
        <f ca="1" t="shared" si="24"/>
        <v>-1325.12431255931</v>
      </c>
      <c r="Z60" s="17">
        <f ca="1" t="shared" si="24"/>
        <v>-1293.55862920552</v>
      </c>
      <c r="AA60" s="17">
        <f ca="1" t="shared" si="24"/>
        <v>7583.4395839184</v>
      </c>
      <c r="AB60" s="17">
        <f ca="1" t="shared" si="24"/>
        <v>-5301.83930078506</v>
      </c>
      <c r="AC60" s="17">
        <f ca="1" t="shared" si="24"/>
        <v>1457.7150099787</v>
      </c>
      <c r="AD60" s="17">
        <f ca="1" t="shared" si="24"/>
        <v>432.858915659377</v>
      </c>
      <c r="AE60" s="17">
        <f ca="1" t="shared" si="24"/>
        <v>96.5288472660532</v>
      </c>
      <c r="AF60" s="17">
        <f ca="1" t="shared" si="24"/>
        <v>3197.31757526605</v>
      </c>
    </row>
    <row r="61" ht="19.95" customHeight="1" spans="2:32">
      <c r="B61" s="20"/>
      <c r="C61" s="24" t="s">
        <v>913</v>
      </c>
      <c r="D61" s="22"/>
      <c r="E61" s="18" t="s">
        <v>24</v>
      </c>
      <c r="F61" s="22">
        <v>0</v>
      </c>
      <c r="G61" s="22">
        <f>F62</f>
        <v>0</v>
      </c>
      <c r="H61" s="22">
        <f t="shared" ref="H61:O61" si="25">G62</f>
        <v>0</v>
      </c>
      <c r="I61" s="80">
        <f>'表10-资产负债表(标准格式)'!H7</f>
        <v>4559.951542</v>
      </c>
      <c r="J61" s="22">
        <f t="shared" si="25"/>
        <v>4559.951542</v>
      </c>
      <c r="K61" s="22">
        <f ca="1" t="shared" si="25"/>
        <v>9539.20327775954</v>
      </c>
      <c r="L61" s="22">
        <f ca="1" t="shared" si="25"/>
        <v>17455.5093708086</v>
      </c>
      <c r="M61" s="22">
        <f ca="1" t="shared" si="25"/>
        <v>23708.6403975194</v>
      </c>
      <c r="N61" s="22">
        <f ca="1" t="shared" si="25"/>
        <v>27323.1708466525</v>
      </c>
      <c r="O61" s="22">
        <f ca="1" t="shared" si="25"/>
        <v>30922.1171881684</v>
      </c>
      <c r="P61" s="22">
        <f ca="1" t="shared" ref="P61:AF61" si="26">O62</f>
        <v>34288.1081470452</v>
      </c>
      <c r="Q61" s="22">
        <f ca="1" t="shared" si="26"/>
        <v>37411.7343884575</v>
      </c>
      <c r="R61" s="22">
        <f ca="1" t="shared" si="26"/>
        <v>40283.1813165198</v>
      </c>
      <c r="S61" s="22">
        <f ca="1" t="shared" si="26"/>
        <v>40046.224953957</v>
      </c>
      <c r="T61" s="22">
        <f ca="1" t="shared" si="26"/>
        <v>39940.4290533783</v>
      </c>
      <c r="U61" s="22">
        <f ca="1" t="shared" si="26"/>
        <v>39558.3007322521</v>
      </c>
      <c r="V61" s="22">
        <f ca="1" t="shared" si="26"/>
        <v>41488.0994658444</v>
      </c>
      <c r="W61" s="22">
        <f ca="1" t="shared" si="26"/>
        <v>43112.4167547436</v>
      </c>
      <c r="X61" s="22">
        <f ca="1" t="shared" si="26"/>
        <v>43946.3722822591</v>
      </c>
      <c r="Y61" s="22">
        <f ca="1" t="shared" si="26"/>
        <v>43936.9068062924</v>
      </c>
      <c r="Z61" s="22">
        <f ca="1" t="shared" si="26"/>
        <v>42611.7824937331</v>
      </c>
      <c r="AA61" s="22">
        <f ca="1" t="shared" si="26"/>
        <v>41318.2238645276</v>
      </c>
      <c r="AB61" s="22">
        <f ca="1" t="shared" si="26"/>
        <v>48901.663448446</v>
      </c>
      <c r="AC61" s="22">
        <f ca="1" t="shared" si="26"/>
        <v>43599.8241476609</v>
      </c>
      <c r="AD61" s="22">
        <f ca="1" t="shared" si="26"/>
        <v>45057.5391576396</v>
      </c>
      <c r="AE61" s="22">
        <f ca="1" t="shared" si="26"/>
        <v>45490.398073299</v>
      </c>
      <c r="AF61" s="22">
        <f ca="1" t="shared" si="26"/>
        <v>45586.9269205651</v>
      </c>
    </row>
    <row r="62" ht="19.95" customHeight="1" spans="2:32">
      <c r="B62" s="226" t="s">
        <v>790</v>
      </c>
      <c r="C62" s="227" t="s">
        <v>914</v>
      </c>
      <c r="D62" s="228"/>
      <c r="E62" s="58" t="s">
        <v>24</v>
      </c>
      <c r="F62" s="228">
        <f>F60+F61</f>
        <v>0</v>
      </c>
      <c r="G62" s="228">
        <f>G60+G61</f>
        <v>0</v>
      </c>
      <c r="H62" s="228">
        <f t="shared" ref="H62:P62" si="27">H60+H61</f>
        <v>0</v>
      </c>
      <c r="I62" s="228">
        <f t="shared" si="27"/>
        <v>4559.951542</v>
      </c>
      <c r="J62" s="228">
        <f ca="1" t="shared" si="27"/>
        <v>9539.20327775954</v>
      </c>
      <c r="K62" s="228">
        <f ca="1" t="shared" si="27"/>
        <v>17455.5093708086</v>
      </c>
      <c r="L62" s="228">
        <f ca="1" t="shared" si="27"/>
        <v>23708.6403975194</v>
      </c>
      <c r="M62" s="228">
        <f ca="1" t="shared" si="27"/>
        <v>27323.1708466525</v>
      </c>
      <c r="N62" s="228">
        <f ca="1" t="shared" si="27"/>
        <v>30922.1171881684</v>
      </c>
      <c r="O62" s="228">
        <f ca="1" t="shared" si="27"/>
        <v>34288.1081470452</v>
      </c>
      <c r="P62" s="228">
        <f ca="1" t="shared" si="27"/>
        <v>37411.7343884575</v>
      </c>
      <c r="Q62" s="228">
        <f ca="1" t="shared" ref="Q62:AF62" si="28">Q60+Q61</f>
        <v>40283.1813165198</v>
      </c>
      <c r="R62" s="228">
        <f ca="1" t="shared" si="28"/>
        <v>40046.224953957</v>
      </c>
      <c r="S62" s="228">
        <f ca="1" t="shared" si="28"/>
        <v>39940.4290533783</v>
      </c>
      <c r="T62" s="228">
        <f ca="1" t="shared" si="28"/>
        <v>39558.3007322521</v>
      </c>
      <c r="U62" s="228">
        <f ca="1" t="shared" si="28"/>
        <v>41488.0994658444</v>
      </c>
      <c r="V62" s="228">
        <f ca="1" t="shared" si="28"/>
        <v>43112.4167547436</v>
      </c>
      <c r="W62" s="228">
        <f ca="1" t="shared" si="28"/>
        <v>43946.3722822591</v>
      </c>
      <c r="X62" s="228">
        <f ca="1" t="shared" si="28"/>
        <v>43936.9068062924</v>
      </c>
      <c r="Y62" s="228">
        <f ca="1" t="shared" si="28"/>
        <v>42611.7824937331</v>
      </c>
      <c r="Z62" s="228">
        <f ca="1" t="shared" si="28"/>
        <v>41318.2238645276</v>
      </c>
      <c r="AA62" s="228">
        <f ca="1" t="shared" si="28"/>
        <v>48901.663448446</v>
      </c>
      <c r="AB62" s="228">
        <f ca="1" t="shared" si="28"/>
        <v>43599.8241476609</v>
      </c>
      <c r="AC62" s="228">
        <f ca="1" t="shared" si="28"/>
        <v>45057.5391576396</v>
      </c>
      <c r="AD62" s="228">
        <f ca="1" t="shared" si="28"/>
        <v>45490.398073299</v>
      </c>
      <c r="AE62" s="228">
        <f ca="1" t="shared" si="28"/>
        <v>45586.9269205651</v>
      </c>
      <c r="AF62" s="228">
        <f ca="1" t="shared" si="28"/>
        <v>48784.2444958311</v>
      </c>
    </row>
    <row r="66" ht="21.5" spans="3:21">
      <c r="C66" s="59" t="s">
        <v>915</v>
      </c>
      <c r="D66" s="230"/>
      <c r="E66" s="230"/>
      <c r="F66" s="230"/>
      <c r="G66" s="230"/>
      <c r="H66" s="230"/>
      <c r="I66" s="230"/>
      <c r="J66" s="230"/>
      <c r="K66" s="230"/>
      <c r="L66" s="230"/>
      <c r="M66" s="230"/>
      <c r="N66" s="230"/>
      <c r="O66" s="230"/>
      <c r="P66" s="230"/>
      <c r="Q66" s="230"/>
      <c r="R66" s="230"/>
      <c r="S66" s="230"/>
      <c r="T66" s="230"/>
      <c r="U66" s="230"/>
    </row>
    <row r="67" ht="31.05" customHeight="1" spans="3:27">
      <c r="C67" s="59" t="s">
        <v>916</v>
      </c>
      <c r="D67" s="231"/>
      <c r="E67" s="231"/>
      <c r="F67" s="231"/>
      <c r="G67" s="231"/>
      <c r="H67" s="231"/>
      <c r="I67" s="231"/>
      <c r="J67" s="231"/>
      <c r="K67" s="231"/>
      <c r="L67" s="231"/>
      <c r="M67" s="231"/>
      <c r="N67" s="231"/>
      <c r="O67" s="231"/>
      <c r="P67" s="231"/>
      <c r="Q67" s="231"/>
      <c r="R67" s="231"/>
      <c r="S67" s="231"/>
      <c r="T67" s="231"/>
      <c r="U67" s="231"/>
      <c r="V67" s="231"/>
      <c r="W67" s="231"/>
      <c r="X67" s="231"/>
      <c r="Y67" s="231"/>
      <c r="Z67" s="231"/>
      <c r="AA67" s="231"/>
    </row>
    <row r="68" ht="31.05" customHeight="1" spans="3:3">
      <c r="C68" s="59" t="s">
        <v>917</v>
      </c>
    </row>
  </sheetData>
  <mergeCells count="4">
    <mergeCell ref="B3:B4"/>
    <mergeCell ref="C3:C4"/>
    <mergeCell ref="D3:D4"/>
    <mergeCell ref="E3:E4"/>
  </mergeCells>
  <pageMargins left="0.75" right="0.75" top="1" bottom="1" header="0.5" footer="0.5"/>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tabColor rgb="FFF4C2ED"/>
  </sheetPr>
  <dimension ref="A2:AE82"/>
  <sheetViews>
    <sheetView zoomScale="115" zoomScaleNormal="115" topLeftCell="A61" workbookViewId="0">
      <selection activeCell="E33" sqref="E33"/>
    </sheetView>
  </sheetViews>
  <sheetFormatPr defaultColWidth="8.78181818181818" defaultRowHeight="14"/>
  <cols>
    <col min="1" max="1" width="4.55454545454545" customWidth="1"/>
    <col min="2" max="2" width="11.3363636363636" customWidth="1"/>
    <col min="3" max="3" width="30" customWidth="1"/>
    <col min="4" max="4" width="16" customWidth="1"/>
    <col min="5" max="5" width="11.8909090909091" customWidth="1"/>
    <col min="6" max="6" width="9.33636363636364" customWidth="1"/>
    <col min="7" max="8" width="13.2181818181818" customWidth="1"/>
    <col min="9" max="9" width="14.7818181818182" customWidth="1"/>
    <col min="10" max="29" width="9.33636363636364" customWidth="1"/>
    <col min="30" max="31" width="13.2181818181818" customWidth="1"/>
    <col min="32" max="32" width="39.2181818181818" customWidth="1"/>
  </cols>
  <sheetData>
    <row r="2" ht="21.5" spans="2:3">
      <c r="B2" s="145"/>
      <c r="C2" s="59" t="s">
        <v>918</v>
      </c>
    </row>
    <row r="3" ht="21" spans="1:6">
      <c r="A3">
        <v>1</v>
      </c>
      <c r="B3" s="151" t="s">
        <v>919</v>
      </c>
      <c r="C3" s="152"/>
      <c r="D3" s="152"/>
      <c r="E3" s="152"/>
      <c r="F3" s="152"/>
    </row>
    <row r="4" s="94" customFormat="1" ht="16.5" spans="2:31">
      <c r="B4" s="153" t="s">
        <v>15</v>
      </c>
      <c r="C4" s="154" t="s">
        <v>463</v>
      </c>
      <c r="D4" s="10" t="s">
        <v>464</v>
      </c>
      <c r="E4" s="10" t="s">
        <v>465</v>
      </c>
      <c r="F4" s="10" t="s">
        <v>466</v>
      </c>
      <c r="G4" s="37">
        <v>45107</v>
      </c>
      <c r="H4" s="37">
        <v>45261</v>
      </c>
      <c r="I4" s="10" t="s">
        <v>20</v>
      </c>
      <c r="J4" s="10" t="s">
        <v>467</v>
      </c>
      <c r="K4" s="10" t="s">
        <v>468</v>
      </c>
      <c r="L4" s="10" t="s">
        <v>469</v>
      </c>
      <c r="M4" s="10" t="s">
        <v>470</v>
      </c>
      <c r="N4" s="10" t="s">
        <v>471</v>
      </c>
      <c r="O4" s="10" t="s">
        <v>472</v>
      </c>
      <c r="P4" s="10" t="s">
        <v>473</v>
      </c>
      <c r="Q4" s="10" t="s">
        <v>474</v>
      </c>
      <c r="R4" s="10" t="s">
        <v>475</v>
      </c>
      <c r="S4" s="10" t="s">
        <v>476</v>
      </c>
      <c r="T4" s="10" t="s">
        <v>477</v>
      </c>
      <c r="U4" s="10" t="s">
        <v>478</v>
      </c>
      <c r="V4" s="10" t="s">
        <v>479</v>
      </c>
      <c r="W4" s="10" t="s">
        <v>480</v>
      </c>
      <c r="X4" s="10" t="s">
        <v>481</v>
      </c>
      <c r="Y4" s="10" t="s">
        <v>482</v>
      </c>
      <c r="Z4" s="10" t="s">
        <v>483</v>
      </c>
      <c r="AA4" s="10" t="s">
        <v>484</v>
      </c>
      <c r="AB4" s="10" t="s">
        <v>485</v>
      </c>
      <c r="AC4" s="10" t="s">
        <v>486</v>
      </c>
      <c r="AD4" s="37">
        <v>53051</v>
      </c>
      <c r="AE4" s="194" t="s">
        <v>920</v>
      </c>
    </row>
    <row r="5" s="94" customFormat="1" ht="16.5" spans="2:31">
      <c r="B5" s="153"/>
      <c r="C5" s="154"/>
      <c r="D5" s="14">
        <v>1</v>
      </c>
      <c r="E5" s="14">
        <v>2</v>
      </c>
      <c r="F5" s="14">
        <v>3</v>
      </c>
      <c r="G5" s="14">
        <v>4</v>
      </c>
      <c r="H5" s="38">
        <v>5</v>
      </c>
      <c r="I5" s="38">
        <v>6</v>
      </c>
      <c r="J5" s="38">
        <v>7</v>
      </c>
      <c r="K5" s="38">
        <v>8</v>
      </c>
      <c r="L5" s="38">
        <v>9</v>
      </c>
      <c r="M5" s="38">
        <v>10</v>
      </c>
      <c r="N5" s="38">
        <v>11</v>
      </c>
      <c r="O5" s="38">
        <v>12</v>
      </c>
      <c r="P5" s="38">
        <v>13</v>
      </c>
      <c r="Q5" s="38">
        <v>14</v>
      </c>
      <c r="R5" s="38">
        <v>15</v>
      </c>
      <c r="S5" s="38">
        <v>16</v>
      </c>
      <c r="T5" s="38">
        <v>17</v>
      </c>
      <c r="U5" s="38">
        <v>18</v>
      </c>
      <c r="V5" s="38">
        <v>19</v>
      </c>
      <c r="W5" s="38">
        <v>20</v>
      </c>
      <c r="X5" s="38">
        <v>21</v>
      </c>
      <c r="Y5" s="38">
        <v>22</v>
      </c>
      <c r="Z5" s="38">
        <v>23</v>
      </c>
      <c r="AA5" s="38">
        <v>24</v>
      </c>
      <c r="AB5" s="38">
        <v>25</v>
      </c>
      <c r="AC5" s="38">
        <v>26</v>
      </c>
      <c r="AD5" s="38">
        <v>27</v>
      </c>
      <c r="AE5" s="195"/>
    </row>
    <row r="6" s="94" customFormat="1" ht="15.5" spans="2:31">
      <c r="B6" s="155">
        <v>1</v>
      </c>
      <c r="C6" s="156" t="s">
        <v>921</v>
      </c>
      <c r="D6" s="157" t="e">
        <f t="shared" ref="D6:S6" si="0">ROUND(D7*D15+D17*D16*(1-D11),4)</f>
        <v>#DIV/0!</v>
      </c>
      <c r="E6" s="157" t="e">
        <f t="shared" si="0"/>
        <v>#DIV/0!</v>
      </c>
      <c r="F6" s="157" t="e">
        <f t="shared" si="0"/>
        <v>#DIV/0!</v>
      </c>
      <c r="G6" s="157">
        <f t="shared" si="0"/>
        <v>0.0717</v>
      </c>
      <c r="H6" s="157">
        <f ca="1" t="shared" si="0"/>
        <v>0.0723</v>
      </c>
      <c r="I6" s="157">
        <f ca="1" t="shared" si="0"/>
        <v>0.0726</v>
      </c>
      <c r="J6" s="157">
        <f ca="1" t="shared" si="0"/>
        <v>0.0728</v>
      </c>
      <c r="K6" s="157">
        <f ca="1" t="shared" si="0"/>
        <v>0.0688</v>
      </c>
      <c r="L6" s="157">
        <f ca="1" t="shared" si="0"/>
        <v>0.0691</v>
      </c>
      <c r="M6" s="157">
        <f ca="1" t="shared" si="0"/>
        <v>0.0694</v>
      </c>
      <c r="N6" s="157">
        <f ca="1" t="shared" si="0"/>
        <v>0.0698</v>
      </c>
      <c r="O6" s="157">
        <f ca="1" t="shared" si="0"/>
        <v>0.0702</v>
      </c>
      <c r="P6" s="157">
        <f ca="1" t="shared" si="0"/>
        <v>0.0659</v>
      </c>
      <c r="Q6" s="157">
        <f ca="1" t="shared" si="0"/>
        <v>0.0667</v>
      </c>
      <c r="R6" s="157">
        <f ca="1" t="shared" si="0"/>
        <v>0.0677</v>
      </c>
      <c r="S6" s="157">
        <f ca="1" t="shared" si="0"/>
        <v>0.0686</v>
      </c>
      <c r="T6" s="157">
        <f ca="1" t="shared" ref="T6:AD6" si="1">ROUND(T7*T15+T17*T16*(1-T11),4)</f>
        <v>0.0697</v>
      </c>
      <c r="U6" s="157">
        <f ca="1" t="shared" si="1"/>
        <v>0.071</v>
      </c>
      <c r="V6" s="157">
        <f ca="1" t="shared" si="1"/>
        <v>0.0727</v>
      </c>
      <c r="W6" s="157">
        <f ca="1" t="shared" si="1"/>
        <v>0.0749</v>
      </c>
      <c r="X6" s="157">
        <f ca="1" t="shared" si="1"/>
        <v>0.0779</v>
      </c>
      <c r="Y6" s="157">
        <f ca="1" t="shared" si="1"/>
        <v>0.0779</v>
      </c>
      <c r="Z6" s="157">
        <f ca="1" t="shared" si="1"/>
        <v>0.083</v>
      </c>
      <c r="AA6" s="157">
        <f ca="1" t="shared" si="1"/>
        <v>0.083</v>
      </c>
      <c r="AB6" s="157">
        <f ca="1" t="shared" si="1"/>
        <v>0.083</v>
      </c>
      <c r="AC6" s="157">
        <f ca="1" t="shared" si="1"/>
        <v>0.083</v>
      </c>
      <c r="AD6" s="157">
        <f ca="1" t="shared" si="1"/>
        <v>0.083</v>
      </c>
      <c r="AE6" s="196" t="s">
        <v>922</v>
      </c>
    </row>
    <row r="7" s="94" customFormat="1" ht="15.5" spans="2:31">
      <c r="B7" s="155">
        <v>2</v>
      </c>
      <c r="C7" s="156" t="s">
        <v>923</v>
      </c>
      <c r="D7" s="157" t="e">
        <f t="shared" ref="D7:S7" si="2">D8+D10*D12+D13</f>
        <v>#DIV/0!</v>
      </c>
      <c r="E7" s="157" t="e">
        <f t="shared" si="2"/>
        <v>#DIV/0!</v>
      </c>
      <c r="F7" s="157" t="e">
        <f t="shared" si="2"/>
        <v>#DIV/0!</v>
      </c>
      <c r="G7" s="157">
        <f t="shared" si="2"/>
        <v>0.236370696880762</v>
      </c>
      <c r="H7" s="157">
        <f ca="1" t="shared" si="2"/>
        <v>0.199442217709358</v>
      </c>
      <c r="I7" s="157">
        <f ca="1" t="shared" si="2"/>
        <v>0.186613043402104</v>
      </c>
      <c r="J7" s="157">
        <f ca="1" t="shared" si="2"/>
        <v>0.179958439286295</v>
      </c>
      <c r="K7" s="157">
        <f ca="1" t="shared" si="2"/>
        <v>0.166127243243409</v>
      </c>
      <c r="L7" s="157">
        <f ca="1" t="shared" si="2"/>
        <v>0.16034727800642</v>
      </c>
      <c r="M7" s="157">
        <f ca="1" t="shared" si="2"/>
        <v>0.154422706908136</v>
      </c>
      <c r="N7" s="157">
        <f ca="1" t="shared" si="2"/>
        <v>0.148354042219748</v>
      </c>
      <c r="O7" s="157">
        <f ca="1" t="shared" si="2"/>
        <v>0.142142259704731</v>
      </c>
      <c r="P7" s="157">
        <f ca="1" t="shared" si="2"/>
        <v>0.129642819741187</v>
      </c>
      <c r="Q7" s="157">
        <f ca="1" t="shared" si="2"/>
        <v>0.123964687573327</v>
      </c>
      <c r="R7" s="157">
        <f ca="1" t="shared" si="2"/>
        <v>0.118149839186094</v>
      </c>
      <c r="S7" s="157">
        <f ca="1" t="shared" si="2"/>
        <v>0.113689849080439</v>
      </c>
      <c r="T7" s="157">
        <f ca="1" t="shared" ref="T7:AD7" si="3">T8+T10*T12+T13</f>
        <v>0.109083391493138</v>
      </c>
      <c r="U7" s="157">
        <f ca="1" t="shared" si="3"/>
        <v>0.104335373269859</v>
      </c>
      <c r="V7" s="157">
        <f ca="1" t="shared" si="3"/>
        <v>0.0994083023725828</v>
      </c>
      <c r="W7" s="157">
        <f ca="1" t="shared" si="3"/>
        <v>0.09432757451833</v>
      </c>
      <c r="X7" s="157">
        <f ca="1" t="shared" si="3"/>
        <v>0.0891546330242001</v>
      </c>
      <c r="Y7" s="157">
        <f ca="1" t="shared" si="3"/>
        <v>0.089129790136953</v>
      </c>
      <c r="Z7" s="157">
        <f ca="1" t="shared" si="3"/>
        <v>0.083</v>
      </c>
      <c r="AA7" s="157">
        <f ca="1" t="shared" si="3"/>
        <v>0.083</v>
      </c>
      <c r="AB7" s="157">
        <f ca="1" t="shared" si="3"/>
        <v>0.083</v>
      </c>
      <c r="AC7" s="157">
        <f ca="1" t="shared" si="3"/>
        <v>0.083</v>
      </c>
      <c r="AD7" s="157">
        <f ca="1" t="shared" si="3"/>
        <v>0.083</v>
      </c>
      <c r="AE7" s="196" t="s">
        <v>924</v>
      </c>
    </row>
    <row r="8" s="94" customFormat="1" ht="15.5" spans="2:31">
      <c r="B8" s="155">
        <v>3</v>
      </c>
      <c r="C8" s="158" t="s">
        <v>925</v>
      </c>
      <c r="D8" s="159">
        <v>0.028</v>
      </c>
      <c r="E8" s="159">
        <v>0.028</v>
      </c>
      <c r="F8" s="159">
        <v>0.028</v>
      </c>
      <c r="G8" s="159">
        <v>0.028</v>
      </c>
      <c r="H8" s="159">
        <v>0.028</v>
      </c>
      <c r="I8" s="159">
        <v>0.028</v>
      </c>
      <c r="J8" s="159">
        <v>0.028</v>
      </c>
      <c r="K8" s="159">
        <v>0.028</v>
      </c>
      <c r="L8" s="159">
        <v>0.028</v>
      </c>
      <c r="M8" s="159">
        <v>0.028</v>
      </c>
      <c r="N8" s="159">
        <v>0.028</v>
      </c>
      <c r="O8" s="159">
        <v>0.028</v>
      </c>
      <c r="P8" s="159">
        <v>0.028</v>
      </c>
      <c r="Q8" s="159">
        <v>0.028</v>
      </c>
      <c r="R8" s="159">
        <v>0.028</v>
      </c>
      <c r="S8" s="159">
        <v>0.028</v>
      </c>
      <c r="T8" s="159">
        <v>0.028</v>
      </c>
      <c r="U8" s="159">
        <v>0.028</v>
      </c>
      <c r="V8" s="159">
        <v>0.028</v>
      </c>
      <c r="W8" s="159">
        <v>0.028</v>
      </c>
      <c r="X8" s="159">
        <v>0.028</v>
      </c>
      <c r="Y8" s="159">
        <v>0.028</v>
      </c>
      <c r="Z8" s="159">
        <v>0.028</v>
      </c>
      <c r="AA8" s="159">
        <v>0.028</v>
      </c>
      <c r="AB8" s="159">
        <v>0.028</v>
      </c>
      <c r="AC8" s="159">
        <v>0.028</v>
      </c>
      <c r="AD8" s="159">
        <v>0.028</v>
      </c>
      <c r="AE8" s="197" t="s">
        <v>926</v>
      </c>
    </row>
    <row r="9" s="94" customFormat="1" ht="15.5" spans="2:31">
      <c r="B9" s="155">
        <v>4</v>
      </c>
      <c r="C9" s="158" t="s">
        <v>927</v>
      </c>
      <c r="D9" s="160">
        <v>0.5</v>
      </c>
      <c r="E9" s="160">
        <v>0.5</v>
      </c>
      <c r="F9" s="160">
        <v>0.5</v>
      </c>
      <c r="G9" s="160">
        <v>0.5</v>
      </c>
      <c r="H9" s="160">
        <v>0.5</v>
      </c>
      <c r="I9" s="160">
        <v>0.5</v>
      </c>
      <c r="J9" s="160">
        <v>0.5</v>
      </c>
      <c r="K9" s="160">
        <v>0.5</v>
      </c>
      <c r="L9" s="160">
        <v>0.5</v>
      </c>
      <c r="M9" s="160">
        <v>0.5</v>
      </c>
      <c r="N9" s="160">
        <v>0.5</v>
      </c>
      <c r="O9" s="160">
        <v>0.5</v>
      </c>
      <c r="P9" s="160">
        <v>0.5</v>
      </c>
      <c r="Q9" s="160">
        <v>0.5</v>
      </c>
      <c r="R9" s="160">
        <v>0.5</v>
      </c>
      <c r="S9" s="160">
        <v>0.5</v>
      </c>
      <c r="T9" s="160">
        <v>0.5</v>
      </c>
      <c r="U9" s="160">
        <v>0.5</v>
      </c>
      <c r="V9" s="160">
        <v>0.5</v>
      </c>
      <c r="W9" s="160">
        <v>0.5</v>
      </c>
      <c r="X9" s="160">
        <v>0.5</v>
      </c>
      <c r="Y9" s="160">
        <v>0.5</v>
      </c>
      <c r="Z9" s="160">
        <v>0.5</v>
      </c>
      <c r="AA9" s="160">
        <v>0.5</v>
      </c>
      <c r="AB9" s="160">
        <v>0.5</v>
      </c>
      <c r="AC9" s="160">
        <v>0.5</v>
      </c>
      <c r="AD9" s="160">
        <v>0.5</v>
      </c>
      <c r="AE9" s="197" t="s">
        <v>928</v>
      </c>
    </row>
    <row r="10" s="94" customFormat="1" ht="15.5" spans="2:31">
      <c r="B10" s="155">
        <v>5</v>
      </c>
      <c r="C10" s="156" t="s">
        <v>929</v>
      </c>
      <c r="D10" s="161" t="e">
        <f t="shared" ref="D10:S10" si="4">(1+(1-D11)*D14)*D9</f>
        <v>#DIV/0!</v>
      </c>
      <c r="E10" s="161" t="e">
        <f t="shared" si="4"/>
        <v>#DIV/0!</v>
      </c>
      <c r="F10" s="161" t="e">
        <f t="shared" si="4"/>
        <v>#DIV/0!</v>
      </c>
      <c r="G10" s="161">
        <f t="shared" si="4"/>
        <v>2.69100995543945</v>
      </c>
      <c r="H10" s="161">
        <f ca="1" t="shared" si="4"/>
        <v>2.16346025299083</v>
      </c>
      <c r="I10" s="161">
        <f ca="1" t="shared" si="4"/>
        <v>1.98018633431578</v>
      </c>
      <c r="J10" s="161">
        <f ca="1" t="shared" si="4"/>
        <v>1.88512056123279</v>
      </c>
      <c r="K10" s="161">
        <f ca="1" t="shared" si="4"/>
        <v>1.68753204633442</v>
      </c>
      <c r="L10" s="161">
        <f ca="1" t="shared" si="4"/>
        <v>1.60496111437744</v>
      </c>
      <c r="M10" s="161">
        <f ca="1" t="shared" si="4"/>
        <v>1.52032438440194</v>
      </c>
      <c r="N10" s="161">
        <f ca="1" t="shared" si="4"/>
        <v>1.43362917456783</v>
      </c>
      <c r="O10" s="161">
        <f ca="1" t="shared" si="4"/>
        <v>1.3448894243533</v>
      </c>
      <c r="P10" s="161">
        <f ca="1" t="shared" si="4"/>
        <v>1.16632599630267</v>
      </c>
      <c r="Q10" s="161">
        <f ca="1" t="shared" si="4"/>
        <v>1.0852098224761</v>
      </c>
      <c r="R10" s="161">
        <f ca="1" t="shared" si="4"/>
        <v>1.00214055980135</v>
      </c>
      <c r="S10" s="161">
        <f ca="1" t="shared" si="4"/>
        <v>0.938426415434845</v>
      </c>
      <c r="T10" s="161">
        <f ca="1" t="shared" ref="T10:AD10" si="5">(1+(1-T11)*T14)*T9</f>
        <v>0.872619878473397</v>
      </c>
      <c r="U10" s="161">
        <f ca="1" t="shared" si="5"/>
        <v>0.804791046712275</v>
      </c>
      <c r="V10" s="161">
        <f ca="1" t="shared" si="5"/>
        <v>0.734404319608325</v>
      </c>
      <c r="W10" s="161">
        <f ca="1" t="shared" si="5"/>
        <v>0.661822493118999</v>
      </c>
      <c r="X10" s="161">
        <f ca="1" t="shared" si="5"/>
        <v>0.587923328917144</v>
      </c>
      <c r="Y10" s="161">
        <f ca="1" t="shared" si="5"/>
        <v>0.5875684305279</v>
      </c>
      <c r="Z10" s="161">
        <f ca="1" t="shared" si="5"/>
        <v>0.5</v>
      </c>
      <c r="AA10" s="161">
        <f ca="1" t="shared" si="5"/>
        <v>0.5</v>
      </c>
      <c r="AB10" s="161">
        <f ca="1" t="shared" si="5"/>
        <v>0.5</v>
      </c>
      <c r="AC10" s="161">
        <f ca="1" t="shared" si="5"/>
        <v>0.5</v>
      </c>
      <c r="AD10" s="161">
        <f ca="1" t="shared" si="5"/>
        <v>0.5</v>
      </c>
      <c r="AE10" s="196" t="s">
        <v>930</v>
      </c>
    </row>
    <row r="11" s="94" customFormat="1" ht="15.5" spans="2:31">
      <c r="B11" s="155">
        <v>6</v>
      </c>
      <c r="C11" s="156" t="s">
        <v>429</v>
      </c>
      <c r="D11" s="162">
        <v>0</v>
      </c>
      <c r="E11" s="162">
        <v>0</v>
      </c>
      <c r="F11" s="162">
        <v>0</v>
      </c>
      <c r="G11" s="163">
        <v>0.075</v>
      </c>
      <c r="H11" s="163">
        <v>0.075</v>
      </c>
      <c r="I11" s="163">
        <v>0.075</v>
      </c>
      <c r="J11" s="163">
        <v>0.075</v>
      </c>
      <c r="K11" s="162">
        <v>0.15</v>
      </c>
      <c r="L11" s="162">
        <v>0.15</v>
      </c>
      <c r="M11" s="162">
        <v>0.15</v>
      </c>
      <c r="N11" s="162">
        <v>0.15</v>
      </c>
      <c r="O11" s="162">
        <v>0.15</v>
      </c>
      <c r="P11" s="162">
        <v>0.25</v>
      </c>
      <c r="Q11" s="162">
        <v>0.25</v>
      </c>
      <c r="R11" s="162">
        <v>0.25</v>
      </c>
      <c r="S11" s="162">
        <v>0.25</v>
      </c>
      <c r="T11" s="162">
        <v>0.25</v>
      </c>
      <c r="U11" s="162">
        <v>0.25</v>
      </c>
      <c r="V11" s="162">
        <v>0.25</v>
      </c>
      <c r="W11" s="162">
        <v>0.25</v>
      </c>
      <c r="X11" s="162">
        <v>0.25</v>
      </c>
      <c r="Y11" s="162">
        <v>0.25</v>
      </c>
      <c r="Z11" s="162">
        <v>0.25</v>
      </c>
      <c r="AA11" s="162">
        <v>0.25</v>
      </c>
      <c r="AB11" s="162">
        <v>0.25</v>
      </c>
      <c r="AC11" s="162">
        <v>0.25</v>
      </c>
      <c r="AD11" s="162">
        <v>0.25</v>
      </c>
      <c r="AE11" s="196" t="s">
        <v>931</v>
      </c>
    </row>
    <row r="12" s="94" customFormat="1" ht="15.5" spans="2:31">
      <c r="B12" s="155">
        <v>7</v>
      </c>
      <c r="C12" s="158" t="s">
        <v>932</v>
      </c>
      <c r="D12" s="164">
        <v>0.07</v>
      </c>
      <c r="E12" s="164">
        <v>0.07</v>
      </c>
      <c r="F12" s="164">
        <v>0.07</v>
      </c>
      <c r="G12" s="164">
        <v>0.07</v>
      </c>
      <c r="H12" s="164">
        <v>0.07</v>
      </c>
      <c r="I12" s="164">
        <v>0.07</v>
      </c>
      <c r="J12" s="164">
        <v>0.07</v>
      </c>
      <c r="K12" s="164">
        <v>0.07</v>
      </c>
      <c r="L12" s="164">
        <v>0.07</v>
      </c>
      <c r="M12" s="164">
        <v>0.07</v>
      </c>
      <c r="N12" s="164">
        <v>0.07</v>
      </c>
      <c r="O12" s="164">
        <v>0.07</v>
      </c>
      <c r="P12" s="164">
        <v>0.07</v>
      </c>
      <c r="Q12" s="164">
        <v>0.07</v>
      </c>
      <c r="R12" s="164">
        <v>0.07</v>
      </c>
      <c r="S12" s="164">
        <v>0.07</v>
      </c>
      <c r="T12" s="164">
        <v>0.07</v>
      </c>
      <c r="U12" s="164">
        <v>0.07</v>
      </c>
      <c r="V12" s="164">
        <v>0.07</v>
      </c>
      <c r="W12" s="164">
        <v>0.07</v>
      </c>
      <c r="X12" s="164">
        <v>0.07</v>
      </c>
      <c r="Y12" s="164">
        <v>0.07</v>
      </c>
      <c r="Z12" s="164">
        <v>0.07</v>
      </c>
      <c r="AA12" s="164">
        <v>0.07</v>
      </c>
      <c r="AB12" s="164">
        <v>0.07</v>
      </c>
      <c r="AC12" s="164">
        <v>0.07</v>
      </c>
      <c r="AD12" s="164">
        <v>0.07</v>
      </c>
      <c r="AE12" s="197" t="s">
        <v>933</v>
      </c>
    </row>
    <row r="13" s="94" customFormat="1" ht="15.5" spans="2:31">
      <c r="B13" s="155">
        <v>8</v>
      </c>
      <c r="C13" s="158" t="s">
        <v>934</v>
      </c>
      <c r="D13" s="164">
        <v>0.02</v>
      </c>
      <c r="E13" s="164">
        <v>0.02</v>
      </c>
      <c r="F13" s="164">
        <v>0.02</v>
      </c>
      <c r="G13" s="164">
        <v>0.02</v>
      </c>
      <c r="H13" s="164">
        <v>0.02</v>
      </c>
      <c r="I13" s="164">
        <v>0.02</v>
      </c>
      <c r="J13" s="164">
        <v>0.02</v>
      </c>
      <c r="K13" s="164">
        <v>0.02</v>
      </c>
      <c r="L13" s="164">
        <v>0.02</v>
      </c>
      <c r="M13" s="164">
        <v>0.02</v>
      </c>
      <c r="N13" s="164">
        <v>0.02</v>
      </c>
      <c r="O13" s="164">
        <v>0.02</v>
      </c>
      <c r="P13" s="164">
        <v>0.02</v>
      </c>
      <c r="Q13" s="164">
        <v>0.02</v>
      </c>
      <c r="R13" s="164">
        <v>0.02</v>
      </c>
      <c r="S13" s="164">
        <v>0.02</v>
      </c>
      <c r="T13" s="164">
        <v>0.02</v>
      </c>
      <c r="U13" s="164">
        <v>0.02</v>
      </c>
      <c r="V13" s="164">
        <v>0.02</v>
      </c>
      <c r="W13" s="164">
        <v>0.02</v>
      </c>
      <c r="X13" s="164">
        <v>0.02</v>
      </c>
      <c r="Y13" s="164">
        <v>0.02</v>
      </c>
      <c r="Z13" s="164">
        <v>0.02</v>
      </c>
      <c r="AA13" s="164">
        <v>0.02</v>
      </c>
      <c r="AB13" s="164">
        <v>0.02</v>
      </c>
      <c r="AC13" s="164">
        <v>0.02</v>
      </c>
      <c r="AD13" s="164">
        <v>0.02</v>
      </c>
      <c r="AE13" s="197" t="s">
        <v>935</v>
      </c>
    </row>
    <row r="14" s="94" customFormat="1" ht="15.5" spans="2:31">
      <c r="B14" s="165">
        <v>9</v>
      </c>
      <c r="C14" s="166" t="s">
        <v>936</v>
      </c>
      <c r="D14" s="167" t="e">
        <f>('表10-资产负债表(标准格式)'!E59+'表10-资产负债表(标准格式)'!E84+'表10-资产负债表(标准格式)'!E88)/'表10-资产负债表(标准格式)'!E103</f>
        <v>#DIV/0!</v>
      </c>
      <c r="E14" s="167" t="e">
        <f>('表10-资产负债表(标准格式)'!F59+'表10-资产负债表(标准格式)'!F84+'表10-资产负债表(标准格式)'!F88)/'表10-资产负债表(标准格式)'!F103</f>
        <v>#DIV/0!</v>
      </c>
      <c r="F14" s="167" t="e">
        <f>('表10-资产负债表(标准格式)'!G59+'表10-资产负债表(标准格式)'!G84+'表10-资产负债表(标准格式)'!G88)/'表10-资产负债表(标准格式)'!G103</f>
        <v>#DIV/0!</v>
      </c>
      <c r="G14" s="167">
        <f>('表10-资产负债表(标准格式)'!H59+'表10-资产负债表(标准格式)'!H84+'表10-资产负债表(标准格式)'!H88)/'表10-资产负债表(标准格式)'!H103</f>
        <v>4.73731882257179</v>
      </c>
      <c r="H14" s="167">
        <f ca="1">('表10-资产负债表(标准格式)'!I59+'表10-资产负债表(标准格式)'!I84+'表10-资产负债表(标准格式)'!I88)/'表10-资产负债表(标准格式)'!I103</f>
        <v>3.59667081727746</v>
      </c>
      <c r="I14" s="167">
        <f ca="1">('表10-资产负债表(标准格式)'!J59+'表10-资产负债表(标准格式)'!J84+'表10-资产负债表(标准格式)'!J88)/'表10-资产负债表(标准格式)'!J103</f>
        <v>3.20040288500709</v>
      </c>
      <c r="J14" s="167">
        <f ca="1">('表10-资产负债表(标准格式)'!K59+'表10-资产负债表(标准格式)'!K84+'表10-资产负债表(标准格式)'!K88)/'表10-资产负债表(标准格式)'!K103</f>
        <v>2.99485526753035</v>
      </c>
      <c r="K14" s="167">
        <f ca="1">('表10-资产负债表(标准格式)'!L59+'表10-资产负债表(标准格式)'!L84+'表10-资产负债表(标准格式)'!L88)/'表10-资产负债表(标准格式)'!L103</f>
        <v>2.79419305019862</v>
      </c>
      <c r="L14" s="167">
        <f ca="1">('表10-资产负债表(标准格式)'!M59+'表10-资产负债表(标准格式)'!M84+'表10-资产负债表(标准格式)'!M88)/'表10-资产负债表(标准格式)'!M103</f>
        <v>2.5999085044175</v>
      </c>
      <c r="M14" s="167">
        <f ca="1">('表10-资产负债表(标准格式)'!N59+'表10-资产负债表(标准格式)'!N84+'表10-资产负债表(标准格式)'!N88)/'表10-资产负债表(标准格式)'!N103</f>
        <v>2.40076325741632</v>
      </c>
      <c r="N14" s="167">
        <f ca="1">('表10-资产负债表(标准格式)'!O59+'表10-资产负债表(标准格式)'!O84+'表10-资产负债表(标准格式)'!O88)/'表10-资产负债表(标准格式)'!O103</f>
        <v>2.1967745283949</v>
      </c>
      <c r="O14" s="167">
        <f ca="1">('表10-资产负债表(标准格式)'!P59+'表10-资产负债表(标准格式)'!P84+'表10-资产负债表(标准格式)'!P88)/'表10-资产负债表(标准格式)'!P103</f>
        <v>1.98797511612542</v>
      </c>
      <c r="P14" s="167">
        <f ca="1">('表10-资产负债表(标准格式)'!Q59+'表10-资产负债表(标准格式)'!Q84+'表10-资产负债表(标准格式)'!Q88)/'表10-资产负债表(标准格式)'!Q103</f>
        <v>1.7768693234738</v>
      </c>
      <c r="Q14" s="167">
        <f ca="1">('表10-资产负债表(标准格式)'!R59+'表10-资产负债表(标准格式)'!R84+'表10-资产负债表(标准格式)'!R88)/'表10-资产负债表(标准格式)'!R103</f>
        <v>1.56055952660293</v>
      </c>
      <c r="R14" s="167">
        <f ca="1">('表10-资产负债表(标准格式)'!S59+'表10-资产负债表(标准格式)'!S84+'表10-资产负债表(标准格式)'!S88)/'表10-资产负债表(标准格式)'!S103</f>
        <v>1.3390414928036</v>
      </c>
      <c r="S14" s="167">
        <f ca="1">('表10-资产负债表(标准格式)'!T59+'表10-资产负债表(标准格式)'!T84+'表10-资产负债表(标准格式)'!T88)/'表10-资产负债表(标准格式)'!T103</f>
        <v>1.16913710782625</v>
      </c>
      <c r="T14" s="167">
        <f ca="1">('表10-资产负债表(标准格式)'!U59+'表10-资产负债表(标准格式)'!U84+'表10-资产负债表(标准格式)'!U88)/'表10-资产负债表(标准格式)'!U103</f>
        <v>0.993653009262391</v>
      </c>
      <c r="U14" s="167">
        <f ca="1">('表10-资产负债表(标准格式)'!V59+'表10-资产负债表(标准格式)'!V84+'表10-资产负债表(标准格式)'!V88)/'表10-资产负债表(标准格式)'!V103</f>
        <v>0.812776124566067</v>
      </c>
      <c r="V14" s="167">
        <f ca="1">('表10-资产负债表(标准格式)'!W59+'表10-资产负债表(标准格式)'!W84+'表10-资产负债表(标准格式)'!W88)/'表10-资产负债表(标准格式)'!W103</f>
        <v>0.625078185622199</v>
      </c>
      <c r="W14" s="167">
        <f ca="1">('表10-资产负债表(标准格式)'!X59+'表10-资产负债表(标准格式)'!X84+'表10-资产负债表(标准格式)'!X88)/'表10-资产负债表(标准格式)'!X103</f>
        <v>0.431526648317331</v>
      </c>
      <c r="X14" s="167">
        <f ca="1">('表10-资产负债表(标准格式)'!Y59+'表10-资产负债表(标准格式)'!Y84+'表10-资产负债表(标准格式)'!Y88)/'表10-资产负债表(标准格式)'!Y103</f>
        <v>0.234462210445716</v>
      </c>
      <c r="Y14" s="167">
        <f ca="1">('表10-资产负债表(标准格式)'!Z59+'表10-资产负债表(标准格式)'!Z84+'表10-资产负债表(标准格式)'!Z88)/'表10-资产负债表(标准格式)'!Z103</f>
        <v>0.233515814741067</v>
      </c>
      <c r="Z14" s="167">
        <f ca="1">('表10-资产负债表(标准格式)'!AA59+'表10-资产负债表(标准格式)'!AA84+'表10-资产负债表(标准格式)'!AA88)/'表10-资产负债表(标准格式)'!AA103</f>
        <v>-3.30433424792932e-16</v>
      </c>
      <c r="AA14" s="167">
        <f ca="1">('表10-资产负债表(标准格式)'!AB59+'表10-资产负债表(标准格式)'!AB84+'表10-资产负债表(标准格式)'!AB88)/'表10-资产负债表(标准格式)'!AB103</f>
        <v>-3.39970948669178e-16</v>
      </c>
      <c r="AB14" s="167">
        <f ca="1">('表10-资产负债表(标准格式)'!AC59+'表10-资产负债表(标准格式)'!AC84+'表10-资产负债表(标准格式)'!AC88)/'表10-资产负债表(标准格式)'!AC103</f>
        <v>-3.51599897226544e-16</v>
      </c>
      <c r="AC14" s="167">
        <f ca="1">('表10-资产负债表(标准格式)'!AD59+'表10-资产负债表(标准格式)'!AD84+'表10-资产负债表(标准格式)'!AD88)/'表10-资产负债表(标准格式)'!AD103</f>
        <v>-3.67899230210556e-16</v>
      </c>
      <c r="AD14" s="167">
        <f ca="1">('表10-资产负债表(标准格式)'!AE59+'表10-资产负债表(标准格式)'!AE84+'表10-资产负债表(标准格式)'!AE88)/'表10-资产负债表(标准格式)'!AE103</f>
        <v>-3.71832249455957e-16</v>
      </c>
      <c r="AE14" s="198" t="s">
        <v>937</v>
      </c>
    </row>
    <row r="15" s="94" customFormat="1" ht="15.5" spans="2:31">
      <c r="B15" s="155">
        <v>10</v>
      </c>
      <c r="C15" s="156" t="s">
        <v>938</v>
      </c>
      <c r="D15" s="168" t="e">
        <f>1/(1+D14)</f>
        <v>#DIV/0!</v>
      </c>
      <c r="E15" s="168" t="e">
        <f t="shared" ref="E15:S15" si="6">1/(1+E14)</f>
        <v>#DIV/0!</v>
      </c>
      <c r="F15" s="168" t="e">
        <f t="shared" si="6"/>
        <v>#DIV/0!</v>
      </c>
      <c r="G15" s="168">
        <f t="shared" si="6"/>
        <v>0.17429744292156</v>
      </c>
      <c r="H15" s="168">
        <f ca="1" t="shared" si="6"/>
        <v>0.217548752075374</v>
      </c>
      <c r="I15" s="168">
        <f ca="1" t="shared" si="6"/>
        <v>0.238072400999771</v>
      </c>
      <c r="J15" s="168">
        <f ca="1" t="shared" si="6"/>
        <v>0.250321959878713</v>
      </c>
      <c r="K15" s="168">
        <f ca="1" t="shared" si="6"/>
        <v>0.263560653548625</v>
      </c>
      <c r="L15" s="168">
        <f ca="1" t="shared" si="6"/>
        <v>0.27778483780154</v>
      </c>
      <c r="M15" s="168">
        <f ca="1" t="shared" si="6"/>
        <v>0.29405163614939</v>
      </c>
      <c r="N15" s="168">
        <f ca="1" t="shared" si="6"/>
        <v>0.312815305276503</v>
      </c>
      <c r="O15" s="168">
        <f ca="1" t="shared" si="6"/>
        <v>0.334674808569599</v>
      </c>
      <c r="P15" s="168">
        <f ca="1" t="shared" si="6"/>
        <v>0.360117774195087</v>
      </c>
      <c r="Q15" s="168">
        <f ca="1" t="shared" si="6"/>
        <v>0.39053964167226</v>
      </c>
      <c r="R15" s="168">
        <f ca="1" t="shared" si="6"/>
        <v>0.42752554970771</v>
      </c>
      <c r="S15" s="168">
        <f ca="1" t="shared" si="6"/>
        <v>0.461012813063774</v>
      </c>
      <c r="T15" s="168">
        <f ca="1" t="shared" ref="T15:AD15" si="7">1/(1+T14)</f>
        <v>0.501591799251956</v>
      </c>
      <c r="U15" s="168">
        <f ca="1" t="shared" si="7"/>
        <v>0.5516400985474</v>
      </c>
      <c r="V15" s="168">
        <f ca="1" t="shared" si="7"/>
        <v>0.615355008052813</v>
      </c>
      <c r="W15" s="168">
        <f ca="1" t="shared" si="7"/>
        <v>0.698554931670631</v>
      </c>
      <c r="X15" s="168">
        <f ca="1" t="shared" si="7"/>
        <v>0.810069349663558</v>
      </c>
      <c r="Y15" s="168">
        <f ca="1" t="shared" si="7"/>
        <v>0.810690862694707</v>
      </c>
      <c r="Z15" s="168">
        <f ca="1" t="shared" si="7"/>
        <v>1</v>
      </c>
      <c r="AA15" s="168">
        <f ca="1" t="shared" si="7"/>
        <v>1</v>
      </c>
      <c r="AB15" s="168">
        <f ca="1" t="shared" si="7"/>
        <v>1</v>
      </c>
      <c r="AC15" s="168">
        <f ca="1" t="shared" si="7"/>
        <v>1</v>
      </c>
      <c r="AD15" s="168">
        <f ca="1" t="shared" si="7"/>
        <v>1</v>
      </c>
      <c r="AE15" s="196" t="s">
        <v>939</v>
      </c>
    </row>
    <row r="16" s="94" customFormat="1" ht="15.5" spans="2:31">
      <c r="B16" s="155">
        <v>11</v>
      </c>
      <c r="C16" s="156" t="s">
        <v>940</v>
      </c>
      <c r="D16" s="168" t="e">
        <f t="shared" ref="D16:S16" si="8">D14/(1+D14)</f>
        <v>#DIV/0!</v>
      </c>
      <c r="E16" s="168" t="e">
        <f t="shared" si="8"/>
        <v>#DIV/0!</v>
      </c>
      <c r="F16" s="168" t="e">
        <f t="shared" si="8"/>
        <v>#DIV/0!</v>
      </c>
      <c r="G16" s="168">
        <f t="shared" si="8"/>
        <v>0.82570255707844</v>
      </c>
      <c r="H16" s="168">
        <f ca="1" t="shared" si="8"/>
        <v>0.782451247924626</v>
      </c>
      <c r="I16" s="168">
        <f ca="1" t="shared" si="8"/>
        <v>0.761927599000229</v>
      </c>
      <c r="J16" s="168">
        <f ca="1" t="shared" si="8"/>
        <v>0.749678040121287</v>
      </c>
      <c r="K16" s="168">
        <f ca="1" t="shared" si="8"/>
        <v>0.736439346451375</v>
      </c>
      <c r="L16" s="168">
        <f ca="1" t="shared" si="8"/>
        <v>0.72221516219846</v>
      </c>
      <c r="M16" s="168">
        <f ca="1" t="shared" si="8"/>
        <v>0.70594836385061</v>
      </c>
      <c r="N16" s="168">
        <f ca="1" t="shared" si="8"/>
        <v>0.687184694723497</v>
      </c>
      <c r="O16" s="168">
        <f ca="1" t="shared" si="8"/>
        <v>0.665325191430401</v>
      </c>
      <c r="P16" s="168">
        <f ca="1" t="shared" si="8"/>
        <v>0.639882225804913</v>
      </c>
      <c r="Q16" s="168">
        <f ca="1" t="shared" si="8"/>
        <v>0.60946035832774</v>
      </c>
      <c r="R16" s="168">
        <f ca="1" t="shared" si="8"/>
        <v>0.57247445029229</v>
      </c>
      <c r="S16" s="168">
        <f ca="1" t="shared" si="8"/>
        <v>0.538987186936226</v>
      </c>
      <c r="T16" s="168">
        <f ca="1" t="shared" ref="T16:AD16" si="9">T14/(1+T14)</f>
        <v>0.498408200748044</v>
      </c>
      <c r="U16" s="168">
        <f ca="1" t="shared" si="9"/>
        <v>0.448359901452599</v>
      </c>
      <c r="V16" s="168">
        <f ca="1" t="shared" si="9"/>
        <v>0.384644991947187</v>
      </c>
      <c r="W16" s="168">
        <f ca="1" t="shared" si="9"/>
        <v>0.301445068329369</v>
      </c>
      <c r="X16" s="168">
        <f ca="1" t="shared" si="9"/>
        <v>0.189930650336442</v>
      </c>
      <c r="Y16" s="168">
        <f ca="1" t="shared" si="9"/>
        <v>0.189309137305293</v>
      </c>
      <c r="Z16" s="168">
        <f ca="1" t="shared" si="9"/>
        <v>-3.30433424792933e-16</v>
      </c>
      <c r="AA16" s="168">
        <f ca="1" t="shared" si="9"/>
        <v>-3.39970948669178e-16</v>
      </c>
      <c r="AB16" s="168">
        <f ca="1" t="shared" si="9"/>
        <v>-3.51599897226544e-16</v>
      </c>
      <c r="AC16" s="168">
        <f ca="1" t="shared" si="9"/>
        <v>-3.67899230210556e-16</v>
      </c>
      <c r="AD16" s="168">
        <f ca="1" t="shared" si="9"/>
        <v>-3.71832249455957e-16</v>
      </c>
      <c r="AE16" s="196" t="s">
        <v>941</v>
      </c>
    </row>
    <row r="17" s="94" customFormat="1" ht="15.5" spans="2:31">
      <c r="B17" s="155">
        <v>12</v>
      </c>
      <c r="C17" s="156" t="s">
        <v>942</v>
      </c>
      <c r="D17" s="159">
        <v>0.04</v>
      </c>
      <c r="E17" s="159">
        <v>0.04</v>
      </c>
      <c r="F17" s="159">
        <v>0.04</v>
      </c>
      <c r="G17" s="159">
        <v>0.04</v>
      </c>
      <c r="H17" s="159">
        <v>0.04</v>
      </c>
      <c r="I17" s="159">
        <v>0.04</v>
      </c>
      <c r="J17" s="159">
        <v>0.04</v>
      </c>
      <c r="K17" s="159">
        <v>0.04</v>
      </c>
      <c r="L17" s="159">
        <v>0.04</v>
      </c>
      <c r="M17" s="159">
        <v>0.04</v>
      </c>
      <c r="N17" s="159">
        <v>0.04</v>
      </c>
      <c r="O17" s="159">
        <v>0.04</v>
      </c>
      <c r="P17" s="159">
        <v>0.04</v>
      </c>
      <c r="Q17" s="159">
        <v>0.04</v>
      </c>
      <c r="R17" s="159">
        <v>0.04</v>
      </c>
      <c r="S17" s="159">
        <v>0.04</v>
      </c>
      <c r="T17" s="159">
        <v>0.04</v>
      </c>
      <c r="U17" s="159">
        <v>0.04</v>
      </c>
      <c r="V17" s="159">
        <v>0.04</v>
      </c>
      <c r="W17" s="159">
        <v>0.04</v>
      </c>
      <c r="X17" s="159">
        <v>0.04</v>
      </c>
      <c r="Y17" s="159">
        <v>0.04</v>
      </c>
      <c r="Z17" s="159">
        <v>0.04</v>
      </c>
      <c r="AA17" s="159">
        <v>0.04</v>
      </c>
      <c r="AB17" s="159">
        <v>0.04</v>
      </c>
      <c r="AC17" s="159">
        <v>0.04</v>
      </c>
      <c r="AD17" s="159">
        <v>0.04</v>
      </c>
      <c r="AE17" s="196" t="s">
        <v>943</v>
      </c>
    </row>
    <row r="19" ht="21" spans="1:6">
      <c r="A19">
        <v>2</v>
      </c>
      <c r="B19" s="169" t="s">
        <v>944</v>
      </c>
      <c r="C19" s="152"/>
      <c r="D19" s="152"/>
      <c r="E19" s="152"/>
      <c r="F19" s="152"/>
    </row>
    <row r="20" ht="15.5" spans="2:6">
      <c r="B20" s="170"/>
      <c r="C20" s="171"/>
      <c r="D20" s="172"/>
      <c r="E20" s="173"/>
      <c r="F20" s="174"/>
    </row>
    <row r="21" ht="26" spans="2:6">
      <c r="B21" s="175" t="s">
        <v>945</v>
      </c>
      <c r="C21" s="176" t="s">
        <v>946</v>
      </c>
      <c r="D21" s="176" t="s">
        <v>947</v>
      </c>
      <c r="E21" s="176" t="s">
        <v>948</v>
      </c>
      <c r="F21" s="177" t="s">
        <v>920</v>
      </c>
    </row>
    <row r="22" spans="2:6">
      <c r="B22" s="178" t="s">
        <v>949</v>
      </c>
      <c r="C22" s="179" t="s">
        <v>447</v>
      </c>
      <c r="D22" s="180"/>
      <c r="E22" s="181">
        <f>SUM(E23:E39)</f>
        <v>32.587999</v>
      </c>
      <c r="F22" s="181"/>
    </row>
    <row r="23" spans="2:6">
      <c r="B23" s="178">
        <v>1</v>
      </c>
      <c r="C23" s="182" t="s">
        <v>950</v>
      </c>
      <c r="D23" s="183"/>
      <c r="E23" s="184">
        <f>'表10-资产负债表(标准格式)'!H10</f>
        <v>0</v>
      </c>
      <c r="F23" s="185" t="s">
        <v>951</v>
      </c>
    </row>
    <row r="24" spans="2:6">
      <c r="B24" s="178">
        <v>2</v>
      </c>
      <c r="C24" s="182" t="s">
        <v>952</v>
      </c>
      <c r="D24" s="183"/>
      <c r="E24" s="184">
        <f>'表10-资产负债表(标准格式)'!H12</f>
        <v>0</v>
      </c>
      <c r="F24" s="185" t="s">
        <v>951</v>
      </c>
    </row>
    <row r="25" spans="2:6">
      <c r="B25" s="178">
        <v>3</v>
      </c>
      <c r="C25" s="182" t="s">
        <v>953</v>
      </c>
      <c r="D25" s="183"/>
      <c r="E25" s="184">
        <v>0</v>
      </c>
      <c r="F25" s="185" t="s">
        <v>954</v>
      </c>
    </row>
    <row r="26" spans="2:6">
      <c r="B26" s="178">
        <v>4</v>
      </c>
      <c r="C26" s="182" t="s">
        <v>955</v>
      </c>
      <c r="D26" s="183"/>
      <c r="E26" s="184">
        <v>0</v>
      </c>
      <c r="F26" s="185" t="s">
        <v>954</v>
      </c>
    </row>
    <row r="27" spans="2:6">
      <c r="B27" s="178">
        <v>5</v>
      </c>
      <c r="C27" s="182" t="s">
        <v>956</v>
      </c>
      <c r="D27" s="183"/>
      <c r="E27" s="184">
        <v>0</v>
      </c>
      <c r="F27" s="185" t="s">
        <v>954</v>
      </c>
    </row>
    <row r="28" spans="2:6">
      <c r="B28" s="178">
        <v>6</v>
      </c>
      <c r="C28" s="182" t="s">
        <v>957</v>
      </c>
      <c r="D28" s="183"/>
      <c r="E28" s="184">
        <v>0</v>
      </c>
      <c r="F28" s="185" t="s">
        <v>954</v>
      </c>
    </row>
    <row r="29" spans="2:6">
      <c r="B29" s="178">
        <v>7</v>
      </c>
      <c r="C29" s="182" t="s">
        <v>712</v>
      </c>
      <c r="D29" s="183"/>
      <c r="E29" s="184">
        <v>0</v>
      </c>
      <c r="F29" s="185" t="s">
        <v>954</v>
      </c>
    </row>
    <row r="30" spans="2:6">
      <c r="B30" s="178">
        <v>8</v>
      </c>
      <c r="C30" s="182" t="s">
        <v>958</v>
      </c>
      <c r="D30" s="183"/>
      <c r="E30" s="184">
        <f>'表10-资产负债表(标准格式)'!H28</f>
        <v>0</v>
      </c>
      <c r="F30" s="185" t="s">
        <v>951</v>
      </c>
    </row>
    <row r="31" spans="2:6">
      <c r="B31" s="178">
        <v>9</v>
      </c>
      <c r="C31" s="182" t="s">
        <v>959</v>
      </c>
      <c r="D31" s="183"/>
      <c r="E31" s="184">
        <v>0</v>
      </c>
      <c r="F31" s="185" t="s">
        <v>954</v>
      </c>
    </row>
    <row r="32" spans="2:6">
      <c r="B32" s="178">
        <v>10</v>
      </c>
      <c r="C32" s="182" t="s">
        <v>960</v>
      </c>
      <c r="D32" s="183"/>
      <c r="E32" s="184">
        <v>0</v>
      </c>
      <c r="F32" s="185" t="s">
        <v>954</v>
      </c>
    </row>
    <row r="33" spans="2:6">
      <c r="B33" s="178">
        <v>11</v>
      </c>
      <c r="C33" s="182" t="s">
        <v>961</v>
      </c>
      <c r="D33" s="183"/>
      <c r="E33" s="184">
        <v>0</v>
      </c>
      <c r="F33" s="185" t="s">
        <v>954</v>
      </c>
    </row>
    <row r="34" spans="2:6">
      <c r="B34" s="178">
        <v>12</v>
      </c>
      <c r="C34" s="182" t="s">
        <v>962</v>
      </c>
      <c r="D34" s="183"/>
      <c r="E34" s="184">
        <f>'表10-资产负债表(标准格式)'!H37</f>
        <v>0</v>
      </c>
      <c r="F34" s="185" t="s">
        <v>951</v>
      </c>
    </row>
    <row r="35" spans="2:6">
      <c r="B35" s="178">
        <v>13</v>
      </c>
      <c r="C35" s="182" t="s">
        <v>963</v>
      </c>
      <c r="D35" s="183"/>
      <c r="E35" s="184">
        <f>'表10-资产负债表(标准格式)'!H54</f>
        <v>27.772789</v>
      </c>
      <c r="F35" s="185" t="s">
        <v>951</v>
      </c>
    </row>
    <row r="36" spans="2:6">
      <c r="B36" s="178">
        <v>14</v>
      </c>
      <c r="C36" s="182" t="s">
        <v>964</v>
      </c>
      <c r="D36" s="183"/>
      <c r="E36" s="184">
        <f>'表10-资产负债表(标准格式)'!H55</f>
        <v>4.81521</v>
      </c>
      <c r="F36" s="185" t="s">
        <v>951</v>
      </c>
    </row>
    <row r="37" spans="2:6">
      <c r="B37" s="178"/>
      <c r="C37" s="186"/>
      <c r="D37" s="183"/>
      <c r="E37" s="184"/>
      <c r="F37" s="187"/>
    </row>
    <row r="38" spans="2:6">
      <c r="B38" s="178"/>
      <c r="C38" s="186"/>
      <c r="D38" s="183"/>
      <c r="E38" s="184"/>
      <c r="F38" s="187"/>
    </row>
    <row r="39" spans="2:6">
      <c r="B39" s="178"/>
      <c r="C39" s="188"/>
      <c r="D39" s="189"/>
      <c r="E39" s="190"/>
      <c r="F39" s="187"/>
    </row>
    <row r="40" spans="2:6">
      <c r="B40" s="191" t="s">
        <v>629</v>
      </c>
      <c r="C40" s="179" t="s">
        <v>448</v>
      </c>
      <c r="D40" s="192"/>
      <c r="E40" s="193">
        <f>SUM(E41:E60)</f>
        <v>0</v>
      </c>
      <c r="F40" s="181"/>
    </row>
    <row r="41" spans="2:6">
      <c r="B41" s="178">
        <v>1</v>
      </c>
      <c r="C41" s="182" t="s">
        <v>965</v>
      </c>
      <c r="D41" s="183"/>
      <c r="E41" s="184">
        <f>'表10-资产负债表(标准格式)'!H62</f>
        <v>0</v>
      </c>
      <c r="F41" s="185" t="s">
        <v>951</v>
      </c>
    </row>
    <row r="42" spans="2:6">
      <c r="B42" s="178">
        <v>2</v>
      </c>
      <c r="C42" s="182" t="s">
        <v>966</v>
      </c>
      <c r="D42" s="188"/>
      <c r="E42" s="184">
        <f>'表10-资产负债表(标准格式)'!H64</f>
        <v>0</v>
      </c>
      <c r="F42" s="185" t="s">
        <v>951</v>
      </c>
    </row>
    <row r="43" spans="2:6">
      <c r="B43" s="178">
        <v>3</v>
      </c>
      <c r="C43" s="182" t="s">
        <v>967</v>
      </c>
      <c r="D43" s="188"/>
      <c r="E43" s="184">
        <v>0</v>
      </c>
      <c r="F43" s="185" t="s">
        <v>954</v>
      </c>
    </row>
    <row r="44" spans="2:6">
      <c r="B44" s="178">
        <v>4</v>
      </c>
      <c r="C44" s="182" t="s">
        <v>968</v>
      </c>
      <c r="D44" s="188"/>
      <c r="E44" s="184">
        <v>0</v>
      </c>
      <c r="F44" s="185" t="s">
        <v>954</v>
      </c>
    </row>
    <row r="45" spans="2:6">
      <c r="B45" s="178">
        <v>5</v>
      </c>
      <c r="C45" s="182" t="s">
        <v>969</v>
      </c>
      <c r="D45" s="188"/>
      <c r="E45" s="184">
        <v>0</v>
      </c>
      <c r="F45" s="185" t="s">
        <v>954</v>
      </c>
    </row>
    <row r="46" spans="2:6">
      <c r="B46" s="178">
        <v>6</v>
      </c>
      <c r="C46" s="182" t="s">
        <v>718</v>
      </c>
      <c r="D46" s="188"/>
      <c r="E46" s="184">
        <v>0</v>
      </c>
      <c r="F46" s="185" t="s">
        <v>954</v>
      </c>
    </row>
    <row r="47" spans="2:6">
      <c r="B47" s="178">
        <v>7</v>
      </c>
      <c r="C47" s="182" t="s">
        <v>970</v>
      </c>
      <c r="D47" s="188"/>
      <c r="E47" s="184">
        <v>0</v>
      </c>
      <c r="F47" s="185" t="s">
        <v>954</v>
      </c>
    </row>
    <row r="48" spans="2:6">
      <c r="B48" s="178">
        <v>8</v>
      </c>
      <c r="C48" s="182" t="s">
        <v>971</v>
      </c>
      <c r="D48" s="188"/>
      <c r="E48" s="184">
        <v>0</v>
      </c>
      <c r="F48" s="185" t="s">
        <v>954</v>
      </c>
    </row>
    <row r="49" spans="2:6">
      <c r="B49" s="178">
        <v>9</v>
      </c>
      <c r="C49" s="182" t="s">
        <v>972</v>
      </c>
      <c r="D49" s="188"/>
      <c r="E49" s="184">
        <v>0</v>
      </c>
      <c r="F49" s="185" t="s">
        <v>954</v>
      </c>
    </row>
    <row r="50" spans="2:6">
      <c r="B50" s="178">
        <v>10</v>
      </c>
      <c r="C50" s="182" t="s">
        <v>973</v>
      </c>
      <c r="D50" s="188"/>
      <c r="E50" s="184">
        <f>'表10-资产负债表(标准格式)'!H83</f>
        <v>0</v>
      </c>
      <c r="F50" s="185" t="s">
        <v>951</v>
      </c>
    </row>
    <row r="51" spans="2:6">
      <c r="B51" s="178">
        <v>11</v>
      </c>
      <c r="C51" s="182" t="s">
        <v>974</v>
      </c>
      <c r="D51" s="188"/>
      <c r="E51" s="184">
        <v>0</v>
      </c>
      <c r="F51" s="185" t="s">
        <v>954</v>
      </c>
    </row>
    <row r="52" spans="2:6">
      <c r="B52" s="178">
        <v>12</v>
      </c>
      <c r="C52" s="182" t="s">
        <v>975</v>
      </c>
      <c r="D52" s="188"/>
      <c r="E52" s="184">
        <v>0</v>
      </c>
      <c r="F52" s="185" t="s">
        <v>954</v>
      </c>
    </row>
    <row r="53" spans="2:6">
      <c r="B53" s="178">
        <v>13</v>
      </c>
      <c r="C53" s="182" t="s">
        <v>976</v>
      </c>
      <c r="D53" s="188"/>
      <c r="E53" s="184">
        <f>'表10-资产负债表(标准格式)'!H94</f>
        <v>0</v>
      </c>
      <c r="F53" s="185" t="s">
        <v>951</v>
      </c>
    </row>
    <row r="54" spans="2:6">
      <c r="B54" s="178">
        <v>14</v>
      </c>
      <c r="C54" s="182" t="s">
        <v>977</v>
      </c>
      <c r="D54" s="188"/>
      <c r="E54" s="184">
        <f>'表10-资产负债表(标准格式)'!H95</f>
        <v>0</v>
      </c>
      <c r="F54" s="185" t="s">
        <v>951</v>
      </c>
    </row>
    <row r="55" spans="2:6">
      <c r="B55" s="178">
        <v>15</v>
      </c>
      <c r="C55" s="182" t="s">
        <v>978</v>
      </c>
      <c r="D55" s="188"/>
      <c r="E55" s="184">
        <f>'表10-资产负债表(标准格式)'!H96</f>
        <v>0</v>
      </c>
      <c r="F55" s="185" t="s">
        <v>951</v>
      </c>
    </row>
    <row r="56" spans="2:6">
      <c r="B56" s="178">
        <v>16</v>
      </c>
      <c r="C56" s="182" t="s">
        <v>979</v>
      </c>
      <c r="D56" s="188"/>
      <c r="E56" s="184">
        <f>'表10-资产负债表(标准格式)'!H100</f>
        <v>0</v>
      </c>
      <c r="F56" s="185" t="s">
        <v>951</v>
      </c>
    </row>
    <row r="57" spans="2:6">
      <c r="B57" s="178">
        <v>17</v>
      </c>
      <c r="C57" s="182" t="s">
        <v>980</v>
      </c>
      <c r="D57" s="188"/>
      <c r="E57" s="184">
        <f>'表10-资产负债表(标准格式)'!H101</f>
        <v>0</v>
      </c>
      <c r="F57" s="185" t="s">
        <v>951</v>
      </c>
    </row>
    <row r="58" spans="2:6">
      <c r="B58" s="178"/>
      <c r="C58" s="186"/>
      <c r="D58" s="188"/>
      <c r="E58" s="184"/>
      <c r="F58" s="187"/>
    </row>
    <row r="59" ht="16.5" spans="2:6">
      <c r="B59" s="178"/>
      <c r="C59" s="25"/>
      <c r="D59" s="188"/>
      <c r="E59" s="184"/>
      <c r="F59" s="187"/>
    </row>
    <row r="60" spans="2:6">
      <c r="B60" s="178"/>
      <c r="C60" s="188" t="s">
        <v>981</v>
      </c>
      <c r="D60" s="188"/>
      <c r="E60" s="184"/>
      <c r="F60" s="187"/>
    </row>
    <row r="62" ht="21" spans="2:6">
      <c r="B62" s="151"/>
      <c r="C62" s="152"/>
      <c r="D62" s="152"/>
      <c r="E62" s="152"/>
      <c r="F62" s="152"/>
    </row>
    <row r="65" ht="20" spans="1:6">
      <c r="A65">
        <v>3</v>
      </c>
      <c r="B65" s="152" t="s">
        <v>982</v>
      </c>
      <c r="C65" s="152"/>
      <c r="D65" s="152"/>
      <c r="E65" s="152"/>
      <c r="F65" s="152"/>
    </row>
    <row r="66" spans="2:6">
      <c r="B66" s="199" t="s">
        <v>15</v>
      </c>
      <c r="C66" s="200" t="s">
        <v>983</v>
      </c>
      <c r="D66" s="201" t="s">
        <v>984</v>
      </c>
      <c r="E66" s="199" t="s">
        <v>985</v>
      </c>
      <c r="F66" s="201" t="s">
        <v>986</v>
      </c>
    </row>
    <row r="67" spans="2:6">
      <c r="B67" s="202"/>
      <c r="C67" s="202"/>
      <c r="D67" s="202"/>
      <c r="E67" s="202"/>
      <c r="F67" s="202"/>
    </row>
    <row r="68" spans="2:6">
      <c r="B68" s="203">
        <v>1</v>
      </c>
      <c r="C68" s="204" t="s">
        <v>987</v>
      </c>
      <c r="D68" s="205"/>
      <c r="E68" s="206">
        <v>0.8</v>
      </c>
      <c r="F68" s="207">
        <f>D68*E68</f>
        <v>0</v>
      </c>
    </row>
    <row r="69" spans="2:6">
      <c r="B69" s="203">
        <v>2</v>
      </c>
      <c r="C69" s="204"/>
      <c r="D69" s="205"/>
      <c r="E69" s="208"/>
      <c r="F69" s="207">
        <f t="shared" ref="F69:F77" si="10">D69*E69</f>
        <v>0</v>
      </c>
    </row>
    <row r="70" spans="2:6">
      <c r="B70" s="203">
        <v>3</v>
      </c>
      <c r="C70" s="204"/>
      <c r="D70" s="205"/>
      <c r="E70" s="208"/>
      <c r="F70" s="207">
        <f t="shared" si="10"/>
        <v>0</v>
      </c>
    </row>
    <row r="71" spans="2:6">
      <c r="B71" s="203">
        <v>4</v>
      </c>
      <c r="C71" s="204"/>
      <c r="D71" s="209"/>
      <c r="E71" s="208"/>
      <c r="F71" s="207">
        <f t="shared" si="10"/>
        <v>0</v>
      </c>
    </row>
    <row r="72" spans="2:6">
      <c r="B72" s="203">
        <v>5</v>
      </c>
      <c r="C72" s="204"/>
      <c r="D72" s="209"/>
      <c r="E72" s="208"/>
      <c r="F72" s="207">
        <f t="shared" si="10"/>
        <v>0</v>
      </c>
    </row>
    <row r="73" spans="2:6">
      <c r="B73" s="203">
        <v>6</v>
      </c>
      <c r="C73" s="204"/>
      <c r="D73" s="209"/>
      <c r="E73" s="208"/>
      <c r="F73" s="207">
        <f t="shared" si="10"/>
        <v>0</v>
      </c>
    </row>
    <row r="74" spans="2:6">
      <c r="B74" s="203">
        <v>7</v>
      </c>
      <c r="C74" s="204"/>
      <c r="D74" s="209"/>
      <c r="E74" s="208"/>
      <c r="F74" s="207">
        <f t="shared" si="10"/>
        <v>0</v>
      </c>
    </row>
    <row r="75" spans="2:6">
      <c r="B75" s="203">
        <v>8</v>
      </c>
      <c r="C75" s="204"/>
      <c r="D75" s="209"/>
      <c r="E75" s="208"/>
      <c r="F75" s="207">
        <f t="shared" si="10"/>
        <v>0</v>
      </c>
    </row>
    <row r="76" spans="2:6">
      <c r="B76" s="203">
        <v>9</v>
      </c>
      <c r="C76" s="204"/>
      <c r="D76" s="209"/>
      <c r="E76" s="208"/>
      <c r="F76" s="207">
        <f t="shared" si="10"/>
        <v>0</v>
      </c>
    </row>
    <row r="77" spans="2:6">
      <c r="B77" s="203">
        <v>10</v>
      </c>
      <c r="C77" s="204"/>
      <c r="D77" s="209"/>
      <c r="E77" s="208"/>
      <c r="F77" s="207">
        <f t="shared" si="10"/>
        <v>0</v>
      </c>
    </row>
    <row r="78" spans="2:6">
      <c r="B78" s="210" t="s">
        <v>17</v>
      </c>
      <c r="C78" s="211"/>
      <c r="D78" s="212"/>
      <c r="E78" s="212"/>
      <c r="F78" s="213">
        <f>SUM(F68:F77)</f>
        <v>0</v>
      </c>
    </row>
    <row r="79" spans="2:6">
      <c r="B79" s="214" t="s">
        <v>988</v>
      </c>
      <c r="C79" s="215"/>
      <c r="D79" s="212"/>
      <c r="E79" s="212"/>
      <c r="F79" s="216"/>
    </row>
    <row r="80" spans="2:6">
      <c r="B80" s="217" t="s">
        <v>989</v>
      </c>
      <c r="C80" s="211"/>
      <c r="D80" s="212"/>
      <c r="E80" s="212"/>
      <c r="F80" s="218">
        <f>F78-F79</f>
        <v>0</v>
      </c>
    </row>
    <row r="81" spans="2:13">
      <c r="B81" s="219"/>
      <c r="C81" s="220"/>
      <c r="D81" s="219"/>
      <c r="E81" s="219"/>
      <c r="F81" s="219"/>
      <c r="G81" s="219"/>
      <c r="H81" s="219"/>
      <c r="I81" s="219"/>
      <c r="J81" s="219"/>
      <c r="K81" s="219"/>
      <c r="L81" s="219"/>
      <c r="M81" s="219"/>
    </row>
    <row r="82" spans="2:13">
      <c r="B82" s="219"/>
      <c r="C82" s="221" t="s">
        <v>990</v>
      </c>
      <c r="D82" s="219"/>
      <c r="E82" s="219"/>
      <c r="F82" s="219"/>
      <c r="G82" s="219"/>
      <c r="H82" s="219"/>
      <c r="I82" s="219"/>
      <c r="J82" s="219"/>
      <c r="K82" s="219"/>
      <c r="L82" s="219"/>
      <c r="M82" s="219"/>
    </row>
  </sheetData>
  <mergeCells count="12">
    <mergeCell ref="B3:F3"/>
    <mergeCell ref="B19:F19"/>
    <mergeCell ref="B62:F62"/>
    <mergeCell ref="B65:F65"/>
    <mergeCell ref="B78:C78"/>
    <mergeCell ref="B79:C79"/>
    <mergeCell ref="B80:C80"/>
    <mergeCell ref="B66:B67"/>
    <mergeCell ref="C66:C67"/>
    <mergeCell ref="D66:D67"/>
    <mergeCell ref="E66:E67"/>
    <mergeCell ref="F66:F67"/>
  </mergeCells>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tabColor rgb="FFF4C2ED"/>
  </sheetPr>
  <dimension ref="B2:AG151"/>
  <sheetViews>
    <sheetView workbookViewId="0">
      <pane xSplit="5" topLeftCell="F1" activePane="topRight" state="frozenSplit"/>
      <selection/>
      <selection pane="topRight" activeCell="H17" sqref="H17"/>
    </sheetView>
  </sheetViews>
  <sheetFormatPr defaultColWidth="8.78181818181818" defaultRowHeight="14"/>
  <cols>
    <col min="2" max="2" width="7.21818181818182" customWidth="1"/>
    <col min="3" max="3" width="22.2181818181818" customWidth="1"/>
    <col min="4" max="4" width="14.4454545454545" customWidth="1"/>
    <col min="5" max="5" width="11.1090909090909" customWidth="1"/>
    <col min="9" max="9" width="13.2181818181818" customWidth="1"/>
    <col min="10" max="10" width="14.7818181818182" customWidth="1"/>
    <col min="11" max="31" width="12.7818181818182"/>
    <col min="32" max="32" width="13.2181818181818" customWidth="1"/>
  </cols>
  <sheetData>
    <row r="2" ht="21.75" spans="2:8">
      <c r="B2" s="96" t="s">
        <v>991</v>
      </c>
      <c r="C2" s="97"/>
      <c r="D2" s="97"/>
      <c r="E2" s="97"/>
      <c r="F2" s="97"/>
      <c r="G2" s="97"/>
      <c r="H2" s="97"/>
    </row>
    <row r="3" s="94" customFormat="1" ht="16.5" spans="2:33">
      <c r="B3" s="7" t="s">
        <v>15</v>
      </c>
      <c r="C3" s="8" t="s">
        <v>463</v>
      </c>
      <c r="D3" s="9" t="s">
        <v>17</v>
      </c>
      <c r="E3" s="9" t="s">
        <v>18</v>
      </c>
      <c r="F3" s="98" t="s">
        <v>464</v>
      </c>
      <c r="G3" s="98" t="s">
        <v>465</v>
      </c>
      <c r="H3" s="98" t="s">
        <v>466</v>
      </c>
      <c r="I3" s="126">
        <v>45107</v>
      </c>
      <c r="J3" s="126">
        <v>45261</v>
      </c>
      <c r="K3" s="98" t="s">
        <v>20</v>
      </c>
      <c r="L3" s="98" t="s">
        <v>467</v>
      </c>
      <c r="M3" s="98" t="s">
        <v>468</v>
      </c>
      <c r="N3" s="98" t="s">
        <v>469</v>
      </c>
      <c r="O3" s="98" t="s">
        <v>470</v>
      </c>
      <c r="P3" s="98" t="s">
        <v>471</v>
      </c>
      <c r="Q3" s="98" t="s">
        <v>472</v>
      </c>
      <c r="R3" s="98" t="s">
        <v>473</v>
      </c>
      <c r="S3" s="98" t="s">
        <v>474</v>
      </c>
      <c r="T3" s="98" t="s">
        <v>475</v>
      </c>
      <c r="U3" s="98" t="s">
        <v>476</v>
      </c>
      <c r="V3" s="98" t="s">
        <v>477</v>
      </c>
      <c r="W3" s="98" t="s">
        <v>478</v>
      </c>
      <c r="X3" s="98" t="s">
        <v>479</v>
      </c>
      <c r="Y3" s="98" t="s">
        <v>480</v>
      </c>
      <c r="Z3" s="98" t="s">
        <v>481</v>
      </c>
      <c r="AA3" s="98" t="s">
        <v>482</v>
      </c>
      <c r="AB3" s="98" t="s">
        <v>483</v>
      </c>
      <c r="AC3" s="98" t="s">
        <v>484</v>
      </c>
      <c r="AD3" s="98" t="s">
        <v>485</v>
      </c>
      <c r="AE3" s="98" t="s">
        <v>486</v>
      </c>
      <c r="AF3" s="126">
        <v>53051</v>
      </c>
      <c r="AG3" s="133" t="s">
        <v>920</v>
      </c>
    </row>
    <row r="4" s="94" customFormat="1" ht="17.25" spans="2:33">
      <c r="B4" s="11"/>
      <c r="C4" s="12"/>
      <c r="D4" s="13"/>
      <c r="E4" s="13"/>
      <c r="F4" s="99">
        <v>1</v>
      </c>
      <c r="G4" s="99">
        <v>2</v>
      </c>
      <c r="H4" s="99">
        <v>3</v>
      </c>
      <c r="I4" s="99">
        <v>4</v>
      </c>
      <c r="J4" s="127">
        <v>5</v>
      </c>
      <c r="K4" s="127">
        <v>6</v>
      </c>
      <c r="L4" s="127">
        <v>7</v>
      </c>
      <c r="M4" s="127">
        <v>8</v>
      </c>
      <c r="N4" s="127">
        <v>9</v>
      </c>
      <c r="O4" s="127">
        <v>10</v>
      </c>
      <c r="P4" s="127">
        <v>11</v>
      </c>
      <c r="Q4" s="127">
        <v>12</v>
      </c>
      <c r="R4" s="127">
        <v>13</v>
      </c>
      <c r="S4" s="127">
        <v>14</v>
      </c>
      <c r="T4" s="127">
        <v>15</v>
      </c>
      <c r="U4" s="127">
        <v>16</v>
      </c>
      <c r="V4" s="127">
        <v>17</v>
      </c>
      <c r="W4" s="127">
        <v>18</v>
      </c>
      <c r="X4" s="127">
        <v>19</v>
      </c>
      <c r="Y4" s="127">
        <v>20</v>
      </c>
      <c r="Z4" s="127">
        <v>21</v>
      </c>
      <c r="AA4" s="127">
        <v>22</v>
      </c>
      <c r="AB4" s="127">
        <v>23</v>
      </c>
      <c r="AC4" s="127">
        <v>24</v>
      </c>
      <c r="AD4" s="127">
        <v>25</v>
      </c>
      <c r="AE4" s="127">
        <v>26</v>
      </c>
      <c r="AF4" s="127">
        <v>27</v>
      </c>
      <c r="AG4" s="134"/>
    </row>
    <row r="5" s="94" customFormat="1" ht="24" customHeight="1" spans="2:33">
      <c r="B5" s="100" t="s">
        <v>606</v>
      </c>
      <c r="C5" s="101" t="s">
        <v>992</v>
      </c>
      <c r="D5" s="101"/>
      <c r="E5" s="101"/>
      <c r="F5" s="102"/>
      <c r="G5" s="102"/>
      <c r="H5" s="102"/>
      <c r="I5" s="102"/>
      <c r="J5" s="102"/>
      <c r="K5" s="102"/>
      <c r="L5" s="102"/>
      <c r="M5" s="102"/>
      <c r="N5" s="102"/>
      <c r="O5" s="102"/>
      <c r="P5" s="102"/>
      <c r="Q5" s="102"/>
      <c r="R5" s="102"/>
      <c r="S5" s="102"/>
      <c r="T5" s="102"/>
      <c r="U5" s="102"/>
      <c r="V5" s="102"/>
      <c r="W5" s="102"/>
      <c r="X5" s="102"/>
      <c r="Y5" s="102"/>
      <c r="Z5" s="102"/>
      <c r="AA5" s="102"/>
      <c r="AB5" s="102"/>
      <c r="AC5" s="102"/>
      <c r="AD5" s="102"/>
      <c r="AE5" s="102"/>
      <c r="AF5" s="102"/>
      <c r="AG5" s="135"/>
    </row>
    <row r="6" ht="15" spans="2:33">
      <c r="B6" s="103">
        <v>1</v>
      </c>
      <c r="C6" s="104" t="s">
        <v>709</v>
      </c>
      <c r="D6" s="105"/>
      <c r="E6" s="105"/>
      <c r="F6" s="106"/>
      <c r="G6" s="106"/>
      <c r="H6" s="106"/>
      <c r="I6" s="106"/>
      <c r="J6" s="106"/>
      <c r="K6" s="106"/>
      <c r="L6" s="106"/>
      <c r="M6" s="106"/>
      <c r="N6" s="106"/>
      <c r="O6" s="106"/>
      <c r="P6" s="106"/>
      <c r="Q6" s="106"/>
      <c r="R6" s="106"/>
      <c r="S6" s="106"/>
      <c r="T6" s="106"/>
      <c r="U6" s="106"/>
      <c r="V6" s="106"/>
      <c r="W6" s="106"/>
      <c r="X6" s="106"/>
      <c r="Y6" s="106"/>
      <c r="Z6" s="106"/>
      <c r="AA6" s="106"/>
      <c r="AB6" s="106"/>
      <c r="AC6" s="106"/>
      <c r="AD6" s="106"/>
      <c r="AE6" s="106"/>
      <c r="AF6" s="106"/>
      <c r="AG6" s="136"/>
    </row>
    <row r="7" ht="15" spans="2:33">
      <c r="B7" s="107"/>
      <c r="C7" s="108" t="s">
        <v>993</v>
      </c>
      <c r="D7" s="109"/>
      <c r="E7" s="109" t="s">
        <v>24</v>
      </c>
      <c r="F7" s="110"/>
      <c r="G7" s="110"/>
      <c r="H7" s="110"/>
      <c r="I7" s="110"/>
      <c r="J7" s="110">
        <f>I9</f>
        <v>46.642216</v>
      </c>
      <c r="K7" s="110">
        <f>J9</f>
        <v>26.642216</v>
      </c>
      <c r="L7" s="110">
        <f t="shared" ref="L7:AF7" si="0">K9</f>
        <v>0</v>
      </c>
      <c r="M7" s="110">
        <f t="shared" si="0"/>
        <v>0</v>
      </c>
      <c r="N7" s="110">
        <f t="shared" si="0"/>
        <v>0</v>
      </c>
      <c r="O7" s="110">
        <f t="shared" si="0"/>
        <v>0</v>
      </c>
      <c r="P7" s="110">
        <f t="shared" si="0"/>
        <v>0</v>
      </c>
      <c r="Q7" s="110">
        <f t="shared" si="0"/>
        <v>0</v>
      </c>
      <c r="R7" s="110">
        <f t="shared" si="0"/>
        <v>0</v>
      </c>
      <c r="S7" s="110">
        <f t="shared" si="0"/>
        <v>0</v>
      </c>
      <c r="T7" s="110">
        <f t="shared" si="0"/>
        <v>0</v>
      </c>
      <c r="U7" s="110">
        <f t="shared" si="0"/>
        <v>0</v>
      </c>
      <c r="V7" s="110">
        <f t="shared" si="0"/>
        <v>0</v>
      </c>
      <c r="W7" s="110">
        <f t="shared" si="0"/>
        <v>0</v>
      </c>
      <c r="X7" s="110">
        <f t="shared" si="0"/>
        <v>0</v>
      </c>
      <c r="Y7" s="110">
        <f t="shared" si="0"/>
        <v>0</v>
      </c>
      <c r="Z7" s="110">
        <f t="shared" si="0"/>
        <v>0</v>
      </c>
      <c r="AA7" s="110">
        <f t="shared" si="0"/>
        <v>0</v>
      </c>
      <c r="AB7" s="110">
        <f t="shared" si="0"/>
        <v>0</v>
      </c>
      <c r="AC7" s="110">
        <f t="shared" si="0"/>
        <v>0</v>
      </c>
      <c r="AD7" s="110">
        <f t="shared" si="0"/>
        <v>0</v>
      </c>
      <c r="AE7" s="110">
        <f t="shared" si="0"/>
        <v>0</v>
      </c>
      <c r="AF7" s="110">
        <f t="shared" si="0"/>
        <v>0</v>
      </c>
      <c r="AG7" s="137"/>
    </row>
    <row r="8" ht="15" spans="2:33">
      <c r="B8" s="107"/>
      <c r="C8" s="108" t="s">
        <v>994</v>
      </c>
      <c r="D8" s="109">
        <f>SUM(J8:AF8)</f>
        <v>46.642216</v>
      </c>
      <c r="E8" s="109" t="s">
        <v>24</v>
      </c>
      <c r="F8" s="110"/>
      <c r="G8" s="110"/>
      <c r="H8" s="110"/>
      <c r="I8" s="110"/>
      <c r="J8" s="128">
        <v>20</v>
      </c>
      <c r="K8" s="128">
        <v>26.642216</v>
      </c>
      <c r="L8" s="128"/>
      <c r="M8" s="128"/>
      <c r="N8" s="128"/>
      <c r="O8" s="128"/>
      <c r="P8" s="128"/>
      <c r="Q8" s="128"/>
      <c r="R8" s="128"/>
      <c r="S8" s="128"/>
      <c r="T8" s="128"/>
      <c r="U8" s="128"/>
      <c r="V8" s="128"/>
      <c r="W8" s="128"/>
      <c r="X8" s="128"/>
      <c r="Y8" s="128"/>
      <c r="Z8" s="128"/>
      <c r="AA8" s="128"/>
      <c r="AB8" s="128"/>
      <c r="AC8" s="128"/>
      <c r="AD8" s="128"/>
      <c r="AE8" s="128"/>
      <c r="AF8" s="128"/>
      <c r="AG8" s="137"/>
    </row>
    <row r="9" ht="15.75" spans="2:33">
      <c r="B9" s="111"/>
      <c r="C9" s="112" t="s">
        <v>995</v>
      </c>
      <c r="D9" s="113"/>
      <c r="E9" s="109" t="s">
        <v>24</v>
      </c>
      <c r="F9" s="114"/>
      <c r="G9" s="114"/>
      <c r="H9" s="114"/>
      <c r="I9" s="129">
        <f>'表10-资产负债表(标准格式)'!$H$13-折现率、非经营、长投计算表!$E$25</f>
        <v>46.642216</v>
      </c>
      <c r="J9" s="114">
        <f>J7-J8</f>
        <v>26.642216</v>
      </c>
      <c r="K9" s="114">
        <f t="shared" ref="K9:AF9" si="1">K7-K8</f>
        <v>0</v>
      </c>
      <c r="L9" s="114">
        <f t="shared" si="1"/>
        <v>0</v>
      </c>
      <c r="M9" s="114">
        <f t="shared" si="1"/>
        <v>0</v>
      </c>
      <c r="N9" s="114">
        <f t="shared" si="1"/>
        <v>0</v>
      </c>
      <c r="O9" s="114">
        <f t="shared" si="1"/>
        <v>0</v>
      </c>
      <c r="P9" s="114">
        <f t="shared" si="1"/>
        <v>0</v>
      </c>
      <c r="Q9" s="114">
        <f t="shared" si="1"/>
        <v>0</v>
      </c>
      <c r="R9" s="114">
        <f t="shared" si="1"/>
        <v>0</v>
      </c>
      <c r="S9" s="114">
        <f t="shared" si="1"/>
        <v>0</v>
      </c>
      <c r="T9" s="114">
        <f t="shared" si="1"/>
        <v>0</v>
      </c>
      <c r="U9" s="114">
        <f t="shared" si="1"/>
        <v>0</v>
      </c>
      <c r="V9" s="114">
        <f t="shared" si="1"/>
        <v>0</v>
      </c>
      <c r="W9" s="114">
        <f t="shared" si="1"/>
        <v>0</v>
      </c>
      <c r="X9" s="114">
        <f t="shared" si="1"/>
        <v>0</v>
      </c>
      <c r="Y9" s="114">
        <f t="shared" si="1"/>
        <v>0</v>
      </c>
      <c r="Z9" s="114">
        <f t="shared" si="1"/>
        <v>0</v>
      </c>
      <c r="AA9" s="114">
        <f t="shared" si="1"/>
        <v>0</v>
      </c>
      <c r="AB9" s="114">
        <f t="shared" si="1"/>
        <v>0</v>
      </c>
      <c r="AC9" s="114">
        <f t="shared" si="1"/>
        <v>0</v>
      </c>
      <c r="AD9" s="114">
        <f t="shared" si="1"/>
        <v>0</v>
      </c>
      <c r="AE9" s="114">
        <f t="shared" si="1"/>
        <v>0</v>
      </c>
      <c r="AF9" s="114">
        <f t="shared" si="1"/>
        <v>0</v>
      </c>
      <c r="AG9" s="138"/>
    </row>
    <row r="10" ht="15" spans="2:33">
      <c r="B10" s="103">
        <v>2</v>
      </c>
      <c r="C10" s="104" t="s">
        <v>507</v>
      </c>
      <c r="D10" s="105"/>
      <c r="E10" s="105"/>
      <c r="F10" s="106"/>
      <c r="G10" s="106"/>
      <c r="H10" s="106"/>
      <c r="I10" s="106"/>
      <c r="J10" s="106"/>
      <c r="K10" s="106"/>
      <c r="L10" s="106"/>
      <c r="M10" s="106"/>
      <c r="N10" s="106"/>
      <c r="O10" s="106"/>
      <c r="P10" s="106"/>
      <c r="Q10" s="106"/>
      <c r="R10" s="106"/>
      <c r="S10" s="106"/>
      <c r="T10" s="106"/>
      <c r="U10" s="106"/>
      <c r="V10" s="106"/>
      <c r="W10" s="106"/>
      <c r="X10" s="106"/>
      <c r="Y10" s="106"/>
      <c r="Z10" s="106"/>
      <c r="AA10" s="106"/>
      <c r="AB10" s="106"/>
      <c r="AC10" s="106"/>
      <c r="AD10" s="106"/>
      <c r="AE10" s="106"/>
      <c r="AF10" s="106"/>
      <c r="AG10" s="136"/>
    </row>
    <row r="11" ht="15" spans="2:33">
      <c r="B11" s="107"/>
      <c r="C11" s="108" t="s">
        <v>993</v>
      </c>
      <c r="D11" s="109"/>
      <c r="E11" s="109" t="s">
        <v>24</v>
      </c>
      <c r="F11" s="110"/>
      <c r="G11" s="110"/>
      <c r="H11" s="110"/>
      <c r="I11" s="110"/>
      <c r="J11" s="110">
        <f t="shared" ref="J11:AF11" si="2">I13</f>
        <v>9817.627645</v>
      </c>
      <c r="K11" s="110">
        <f t="shared" si="2"/>
        <v>6817.627645</v>
      </c>
      <c r="L11" s="110">
        <f t="shared" si="2"/>
        <v>3817.627645</v>
      </c>
      <c r="M11" s="110">
        <f t="shared" si="2"/>
        <v>817.627645</v>
      </c>
      <c r="N11" s="110">
        <f t="shared" si="2"/>
        <v>0</v>
      </c>
      <c r="O11" s="110">
        <f t="shared" si="2"/>
        <v>0</v>
      </c>
      <c r="P11" s="110">
        <f t="shared" si="2"/>
        <v>0</v>
      </c>
      <c r="Q11" s="110">
        <f t="shared" si="2"/>
        <v>0</v>
      </c>
      <c r="R11" s="110">
        <f t="shared" si="2"/>
        <v>0</v>
      </c>
      <c r="S11" s="110">
        <f t="shared" si="2"/>
        <v>0</v>
      </c>
      <c r="T11" s="110">
        <f t="shared" si="2"/>
        <v>0</v>
      </c>
      <c r="U11" s="110">
        <f t="shared" si="2"/>
        <v>0</v>
      </c>
      <c r="V11" s="110">
        <f t="shared" si="2"/>
        <v>0</v>
      </c>
      <c r="W11" s="110">
        <f t="shared" si="2"/>
        <v>0</v>
      </c>
      <c r="X11" s="110">
        <f t="shared" si="2"/>
        <v>0</v>
      </c>
      <c r="Y11" s="110">
        <f t="shared" si="2"/>
        <v>0</v>
      </c>
      <c r="Z11" s="110">
        <f t="shared" si="2"/>
        <v>0</v>
      </c>
      <c r="AA11" s="110">
        <f t="shared" si="2"/>
        <v>0</v>
      </c>
      <c r="AB11" s="110">
        <f t="shared" si="2"/>
        <v>0</v>
      </c>
      <c r="AC11" s="110">
        <f t="shared" si="2"/>
        <v>0</v>
      </c>
      <c r="AD11" s="110">
        <f t="shared" si="2"/>
        <v>0</v>
      </c>
      <c r="AE11" s="110">
        <f t="shared" si="2"/>
        <v>0</v>
      </c>
      <c r="AF11" s="110">
        <f t="shared" si="2"/>
        <v>0</v>
      </c>
      <c r="AG11" s="137"/>
    </row>
    <row r="12" ht="15" spans="2:33">
      <c r="B12" s="107"/>
      <c r="C12" s="108" t="s">
        <v>994</v>
      </c>
      <c r="D12" s="109">
        <f>SUM(J12:AF12)</f>
        <v>9817.627645</v>
      </c>
      <c r="E12" s="109" t="s">
        <v>24</v>
      </c>
      <c r="F12" s="110"/>
      <c r="G12" s="110"/>
      <c r="H12" s="110"/>
      <c r="I12" s="110"/>
      <c r="J12" s="128">
        <v>3000</v>
      </c>
      <c r="K12" s="128">
        <v>3000</v>
      </c>
      <c r="L12" s="128">
        <v>3000</v>
      </c>
      <c r="M12" s="128">
        <v>817.627645</v>
      </c>
      <c r="N12" s="128"/>
      <c r="O12" s="128"/>
      <c r="P12" s="128"/>
      <c r="Q12" s="128"/>
      <c r="R12" s="128"/>
      <c r="S12" s="128"/>
      <c r="T12" s="128"/>
      <c r="U12" s="128"/>
      <c r="V12" s="128"/>
      <c r="W12" s="128"/>
      <c r="X12" s="128"/>
      <c r="Y12" s="128"/>
      <c r="Z12" s="128"/>
      <c r="AA12" s="128"/>
      <c r="AB12" s="128"/>
      <c r="AC12" s="128"/>
      <c r="AD12" s="128"/>
      <c r="AE12" s="128"/>
      <c r="AF12" s="128"/>
      <c r="AG12" s="137"/>
    </row>
    <row r="13" ht="15.75" spans="2:33">
      <c r="B13" s="111"/>
      <c r="C13" s="112" t="s">
        <v>995</v>
      </c>
      <c r="D13" s="113"/>
      <c r="E13" s="109" t="s">
        <v>24</v>
      </c>
      <c r="F13" s="114"/>
      <c r="G13" s="114"/>
      <c r="H13" s="114"/>
      <c r="I13" s="129">
        <f>'表10-资产负债表(标准格式)'!$H$14-折现率、非经营、长投计算表!$E$26</f>
        <v>9817.627645</v>
      </c>
      <c r="J13" s="114">
        <f t="shared" ref="J13:AF13" si="3">J11-J12</f>
        <v>6817.627645</v>
      </c>
      <c r="K13" s="114">
        <f t="shared" si="3"/>
        <v>3817.627645</v>
      </c>
      <c r="L13" s="114">
        <f t="shared" si="3"/>
        <v>817.627645</v>
      </c>
      <c r="M13" s="114">
        <f t="shared" si="3"/>
        <v>0</v>
      </c>
      <c r="N13" s="114">
        <f t="shared" si="3"/>
        <v>0</v>
      </c>
      <c r="O13" s="114">
        <f t="shared" si="3"/>
        <v>0</v>
      </c>
      <c r="P13" s="114">
        <f t="shared" si="3"/>
        <v>0</v>
      </c>
      <c r="Q13" s="114">
        <f t="shared" si="3"/>
        <v>0</v>
      </c>
      <c r="R13" s="114">
        <f t="shared" si="3"/>
        <v>0</v>
      </c>
      <c r="S13" s="114">
        <f t="shared" si="3"/>
        <v>0</v>
      </c>
      <c r="T13" s="114">
        <f t="shared" si="3"/>
        <v>0</v>
      </c>
      <c r="U13" s="114">
        <f t="shared" si="3"/>
        <v>0</v>
      </c>
      <c r="V13" s="114">
        <f t="shared" si="3"/>
        <v>0</v>
      </c>
      <c r="W13" s="114">
        <f t="shared" si="3"/>
        <v>0</v>
      </c>
      <c r="X13" s="114">
        <f t="shared" si="3"/>
        <v>0</v>
      </c>
      <c r="Y13" s="114">
        <f t="shared" si="3"/>
        <v>0</v>
      </c>
      <c r="Z13" s="114">
        <f t="shared" si="3"/>
        <v>0</v>
      </c>
      <c r="AA13" s="114">
        <f t="shared" si="3"/>
        <v>0</v>
      </c>
      <c r="AB13" s="114">
        <f t="shared" si="3"/>
        <v>0</v>
      </c>
      <c r="AC13" s="114">
        <f t="shared" si="3"/>
        <v>0</v>
      </c>
      <c r="AD13" s="114">
        <f t="shared" si="3"/>
        <v>0</v>
      </c>
      <c r="AE13" s="114">
        <f t="shared" si="3"/>
        <v>0</v>
      </c>
      <c r="AF13" s="114">
        <f t="shared" si="3"/>
        <v>0</v>
      </c>
      <c r="AG13" s="138"/>
    </row>
    <row r="14" ht="15" spans="2:33">
      <c r="B14" s="103">
        <v>3</v>
      </c>
      <c r="C14" s="104" t="s">
        <v>996</v>
      </c>
      <c r="D14" s="105"/>
      <c r="E14" s="105"/>
      <c r="F14" s="106"/>
      <c r="G14" s="106"/>
      <c r="H14" s="106"/>
      <c r="I14" s="106"/>
      <c r="J14" s="106"/>
      <c r="K14" s="106"/>
      <c r="L14" s="106"/>
      <c r="M14" s="106"/>
      <c r="N14" s="106"/>
      <c r="O14" s="106"/>
      <c r="P14" s="106"/>
      <c r="Q14" s="106"/>
      <c r="R14" s="106"/>
      <c r="S14" s="106"/>
      <c r="T14" s="106"/>
      <c r="U14" s="106"/>
      <c r="V14" s="106"/>
      <c r="W14" s="106"/>
      <c r="X14" s="106"/>
      <c r="Y14" s="106"/>
      <c r="Z14" s="106"/>
      <c r="AA14" s="106"/>
      <c r="AB14" s="106"/>
      <c r="AC14" s="106"/>
      <c r="AD14" s="106"/>
      <c r="AE14" s="106"/>
      <c r="AF14" s="106"/>
      <c r="AG14" s="136"/>
    </row>
    <row r="15" ht="15" spans="2:33">
      <c r="B15" s="107"/>
      <c r="C15" s="108" t="s">
        <v>993</v>
      </c>
      <c r="D15" s="109"/>
      <c r="E15" s="109" t="s">
        <v>24</v>
      </c>
      <c r="F15" s="110"/>
      <c r="G15" s="110"/>
      <c r="H15" s="110"/>
      <c r="I15" s="110"/>
      <c r="J15" s="110">
        <f t="shared" ref="J15:AF15" si="4">I17</f>
        <v>300</v>
      </c>
      <c r="K15" s="110">
        <f t="shared" si="4"/>
        <v>200</v>
      </c>
      <c r="L15" s="110">
        <f t="shared" si="4"/>
        <v>100</v>
      </c>
      <c r="M15" s="110">
        <f t="shared" si="4"/>
        <v>0</v>
      </c>
      <c r="N15" s="110">
        <f t="shared" si="4"/>
        <v>0</v>
      </c>
      <c r="O15" s="110">
        <f t="shared" si="4"/>
        <v>0</v>
      </c>
      <c r="P15" s="110">
        <f t="shared" si="4"/>
        <v>0</v>
      </c>
      <c r="Q15" s="110">
        <f t="shared" si="4"/>
        <v>0</v>
      </c>
      <c r="R15" s="110">
        <f t="shared" si="4"/>
        <v>0</v>
      </c>
      <c r="S15" s="110">
        <f t="shared" si="4"/>
        <v>0</v>
      </c>
      <c r="T15" s="110">
        <f t="shared" si="4"/>
        <v>0</v>
      </c>
      <c r="U15" s="110">
        <f t="shared" si="4"/>
        <v>0</v>
      </c>
      <c r="V15" s="110">
        <f t="shared" si="4"/>
        <v>0</v>
      </c>
      <c r="W15" s="110">
        <f t="shared" si="4"/>
        <v>0</v>
      </c>
      <c r="X15" s="110">
        <f t="shared" si="4"/>
        <v>0</v>
      </c>
      <c r="Y15" s="110">
        <f t="shared" si="4"/>
        <v>0</v>
      </c>
      <c r="Z15" s="110">
        <f t="shared" si="4"/>
        <v>0</v>
      </c>
      <c r="AA15" s="110">
        <f t="shared" si="4"/>
        <v>0</v>
      </c>
      <c r="AB15" s="110">
        <f t="shared" si="4"/>
        <v>0</v>
      </c>
      <c r="AC15" s="110">
        <f t="shared" si="4"/>
        <v>0</v>
      </c>
      <c r="AD15" s="110">
        <f t="shared" si="4"/>
        <v>0</v>
      </c>
      <c r="AE15" s="110">
        <f t="shared" si="4"/>
        <v>0</v>
      </c>
      <c r="AF15" s="110">
        <f t="shared" si="4"/>
        <v>0</v>
      </c>
      <c r="AG15" s="137"/>
    </row>
    <row r="16" ht="15" spans="2:33">
      <c r="B16" s="107"/>
      <c r="C16" s="108" t="s">
        <v>994</v>
      </c>
      <c r="D16" s="109">
        <f>SUM(J16:AF16)</f>
        <v>300</v>
      </c>
      <c r="E16" s="109" t="s">
        <v>24</v>
      </c>
      <c r="F16" s="110"/>
      <c r="G16" s="110"/>
      <c r="H16" s="110"/>
      <c r="I16" s="110"/>
      <c r="J16" s="128">
        <v>100</v>
      </c>
      <c r="K16" s="128">
        <v>100</v>
      </c>
      <c r="L16" s="128">
        <v>100</v>
      </c>
      <c r="M16" s="128"/>
      <c r="N16" s="128"/>
      <c r="O16" s="128"/>
      <c r="P16" s="128"/>
      <c r="Q16" s="128"/>
      <c r="R16" s="128"/>
      <c r="S16" s="128"/>
      <c r="T16" s="128"/>
      <c r="U16" s="128"/>
      <c r="V16" s="128"/>
      <c r="W16" s="128"/>
      <c r="X16" s="128"/>
      <c r="Y16" s="128"/>
      <c r="Z16" s="128"/>
      <c r="AA16" s="128"/>
      <c r="AB16" s="128"/>
      <c r="AC16" s="128"/>
      <c r="AD16" s="128"/>
      <c r="AE16" s="128"/>
      <c r="AF16" s="128"/>
      <c r="AG16" s="137"/>
    </row>
    <row r="17" ht="15.75" spans="2:33">
      <c r="B17" s="111"/>
      <c r="C17" s="112" t="s">
        <v>995</v>
      </c>
      <c r="D17" s="113"/>
      <c r="E17" s="109" t="s">
        <v>24</v>
      </c>
      <c r="F17" s="114"/>
      <c r="G17" s="114"/>
      <c r="H17" s="114"/>
      <c r="I17" s="129">
        <f>'表10-资产负债表(标准格式)'!$H$16-折现率、非经营、长投计算表!$E$27</f>
        <v>300</v>
      </c>
      <c r="J17" s="114">
        <f t="shared" ref="J17:AF17" si="5">J15-J16</f>
        <v>200</v>
      </c>
      <c r="K17" s="114">
        <f t="shared" si="5"/>
        <v>100</v>
      </c>
      <c r="L17" s="114">
        <f t="shared" si="5"/>
        <v>0</v>
      </c>
      <c r="M17" s="114">
        <f t="shared" si="5"/>
        <v>0</v>
      </c>
      <c r="N17" s="114">
        <f t="shared" si="5"/>
        <v>0</v>
      </c>
      <c r="O17" s="114">
        <f t="shared" si="5"/>
        <v>0</v>
      </c>
      <c r="P17" s="114">
        <f t="shared" si="5"/>
        <v>0</v>
      </c>
      <c r="Q17" s="114">
        <f t="shared" si="5"/>
        <v>0</v>
      </c>
      <c r="R17" s="114">
        <f t="shared" si="5"/>
        <v>0</v>
      </c>
      <c r="S17" s="114">
        <f t="shared" si="5"/>
        <v>0</v>
      </c>
      <c r="T17" s="114">
        <f t="shared" si="5"/>
        <v>0</v>
      </c>
      <c r="U17" s="114">
        <f t="shared" si="5"/>
        <v>0</v>
      </c>
      <c r="V17" s="114">
        <f t="shared" si="5"/>
        <v>0</v>
      </c>
      <c r="W17" s="114">
        <f t="shared" si="5"/>
        <v>0</v>
      </c>
      <c r="X17" s="114">
        <f t="shared" si="5"/>
        <v>0</v>
      </c>
      <c r="Y17" s="114">
        <f t="shared" si="5"/>
        <v>0</v>
      </c>
      <c r="Z17" s="114">
        <f t="shared" si="5"/>
        <v>0</v>
      </c>
      <c r="AA17" s="114">
        <f t="shared" si="5"/>
        <v>0</v>
      </c>
      <c r="AB17" s="114">
        <f t="shared" si="5"/>
        <v>0</v>
      </c>
      <c r="AC17" s="114">
        <f t="shared" si="5"/>
        <v>0</v>
      </c>
      <c r="AD17" s="114">
        <f t="shared" si="5"/>
        <v>0</v>
      </c>
      <c r="AE17" s="114">
        <f t="shared" si="5"/>
        <v>0</v>
      </c>
      <c r="AF17" s="114">
        <f t="shared" si="5"/>
        <v>0</v>
      </c>
      <c r="AG17" s="138"/>
    </row>
    <row r="18" ht="15" spans="2:33">
      <c r="B18" s="103">
        <v>4</v>
      </c>
      <c r="C18" s="104" t="s">
        <v>710</v>
      </c>
      <c r="D18" s="105"/>
      <c r="E18" s="105"/>
      <c r="F18" s="106"/>
      <c r="G18" s="106"/>
      <c r="H18" s="106"/>
      <c r="I18" s="106"/>
      <c r="J18" s="106"/>
      <c r="K18" s="106"/>
      <c r="L18" s="106"/>
      <c r="M18" s="106"/>
      <c r="N18" s="106"/>
      <c r="O18" s="106"/>
      <c r="P18" s="106"/>
      <c r="Q18" s="106"/>
      <c r="R18" s="106"/>
      <c r="S18" s="106"/>
      <c r="T18" s="106"/>
      <c r="U18" s="106"/>
      <c r="V18" s="106"/>
      <c r="W18" s="106"/>
      <c r="X18" s="106"/>
      <c r="Y18" s="106"/>
      <c r="Z18" s="106"/>
      <c r="AA18" s="106"/>
      <c r="AB18" s="106"/>
      <c r="AC18" s="106"/>
      <c r="AD18" s="106"/>
      <c r="AE18" s="106"/>
      <c r="AF18" s="106"/>
      <c r="AG18" s="136"/>
    </row>
    <row r="19" ht="15" spans="2:33">
      <c r="B19" s="107"/>
      <c r="C19" s="108" t="s">
        <v>993</v>
      </c>
      <c r="D19" s="109"/>
      <c r="E19" s="109" t="s">
        <v>24</v>
      </c>
      <c r="F19" s="110"/>
      <c r="G19" s="110"/>
      <c r="H19" s="110"/>
      <c r="I19" s="110"/>
      <c r="J19" s="110">
        <f t="shared" ref="J19:AF19" si="6">I21</f>
        <v>291.351116</v>
      </c>
      <c r="K19" s="110">
        <f t="shared" si="6"/>
        <v>0</v>
      </c>
      <c r="L19" s="110">
        <f t="shared" si="6"/>
        <v>0</v>
      </c>
      <c r="M19" s="110">
        <f t="shared" si="6"/>
        <v>0</v>
      </c>
      <c r="N19" s="110">
        <f t="shared" si="6"/>
        <v>0</v>
      </c>
      <c r="O19" s="110">
        <f t="shared" si="6"/>
        <v>0</v>
      </c>
      <c r="P19" s="110">
        <f t="shared" si="6"/>
        <v>0</v>
      </c>
      <c r="Q19" s="110">
        <f t="shared" si="6"/>
        <v>0</v>
      </c>
      <c r="R19" s="110">
        <f t="shared" si="6"/>
        <v>0</v>
      </c>
      <c r="S19" s="110">
        <f t="shared" si="6"/>
        <v>0</v>
      </c>
      <c r="T19" s="110">
        <f t="shared" si="6"/>
        <v>0</v>
      </c>
      <c r="U19" s="110">
        <f t="shared" si="6"/>
        <v>0</v>
      </c>
      <c r="V19" s="110">
        <f t="shared" si="6"/>
        <v>0</v>
      </c>
      <c r="W19" s="110">
        <f t="shared" si="6"/>
        <v>0</v>
      </c>
      <c r="X19" s="110">
        <f t="shared" si="6"/>
        <v>0</v>
      </c>
      <c r="Y19" s="110">
        <f t="shared" si="6"/>
        <v>0</v>
      </c>
      <c r="Z19" s="110">
        <f t="shared" si="6"/>
        <v>0</v>
      </c>
      <c r="AA19" s="110">
        <f t="shared" si="6"/>
        <v>0</v>
      </c>
      <c r="AB19" s="110">
        <f t="shared" si="6"/>
        <v>0</v>
      </c>
      <c r="AC19" s="110">
        <f t="shared" si="6"/>
        <v>0</v>
      </c>
      <c r="AD19" s="110">
        <f t="shared" si="6"/>
        <v>0</v>
      </c>
      <c r="AE19" s="110">
        <f t="shared" si="6"/>
        <v>0</v>
      </c>
      <c r="AF19" s="110">
        <f t="shared" si="6"/>
        <v>0</v>
      </c>
      <c r="AG19" s="137"/>
    </row>
    <row r="20" ht="15" spans="2:33">
      <c r="B20" s="107"/>
      <c r="C20" s="108" t="s">
        <v>994</v>
      </c>
      <c r="D20" s="109">
        <f>SUM(J20:AF20)</f>
        <v>291.351116</v>
      </c>
      <c r="E20" s="109" t="s">
        <v>24</v>
      </c>
      <c r="F20" s="110"/>
      <c r="G20" s="110"/>
      <c r="H20" s="110"/>
      <c r="I20" s="110"/>
      <c r="J20" s="128">
        <v>291.351116</v>
      </c>
      <c r="K20" s="128"/>
      <c r="L20" s="128"/>
      <c r="M20" s="128"/>
      <c r="N20" s="128"/>
      <c r="O20" s="128"/>
      <c r="P20" s="128"/>
      <c r="Q20" s="128"/>
      <c r="R20" s="128"/>
      <c r="S20" s="128"/>
      <c r="T20" s="128"/>
      <c r="U20" s="128"/>
      <c r="V20" s="128"/>
      <c r="W20" s="128"/>
      <c r="X20" s="128"/>
      <c r="Y20" s="128"/>
      <c r="Z20" s="128"/>
      <c r="AA20" s="128"/>
      <c r="AB20" s="128"/>
      <c r="AC20" s="128"/>
      <c r="AD20" s="128"/>
      <c r="AE20" s="128"/>
      <c r="AF20" s="128"/>
      <c r="AG20" s="137"/>
    </row>
    <row r="21" ht="15.75" spans="2:33">
      <c r="B21" s="111"/>
      <c r="C21" s="112" t="s">
        <v>995</v>
      </c>
      <c r="D21" s="113"/>
      <c r="E21" s="109" t="s">
        <v>24</v>
      </c>
      <c r="F21" s="114"/>
      <c r="G21" s="114"/>
      <c r="H21" s="114"/>
      <c r="I21" s="129">
        <f>'表10-资产负债表(标准格式)'!$H$21-折现率、非经营、长投计算表!$E$28</f>
        <v>291.351116</v>
      </c>
      <c r="J21" s="114">
        <f t="shared" ref="J21:AF21" si="7">J19-J20</f>
        <v>0</v>
      </c>
      <c r="K21" s="114">
        <f t="shared" si="7"/>
        <v>0</v>
      </c>
      <c r="L21" s="114">
        <f t="shared" si="7"/>
        <v>0</v>
      </c>
      <c r="M21" s="114">
        <f t="shared" si="7"/>
        <v>0</v>
      </c>
      <c r="N21" s="114">
        <f t="shared" si="7"/>
        <v>0</v>
      </c>
      <c r="O21" s="114">
        <f t="shared" si="7"/>
        <v>0</v>
      </c>
      <c r="P21" s="114">
        <f t="shared" si="7"/>
        <v>0</v>
      </c>
      <c r="Q21" s="114">
        <f t="shared" si="7"/>
        <v>0</v>
      </c>
      <c r="R21" s="114">
        <f t="shared" si="7"/>
        <v>0</v>
      </c>
      <c r="S21" s="114">
        <f t="shared" si="7"/>
        <v>0</v>
      </c>
      <c r="T21" s="114">
        <f t="shared" si="7"/>
        <v>0</v>
      </c>
      <c r="U21" s="114">
        <f t="shared" si="7"/>
        <v>0</v>
      </c>
      <c r="V21" s="114">
        <f t="shared" si="7"/>
        <v>0</v>
      </c>
      <c r="W21" s="114">
        <f t="shared" si="7"/>
        <v>0</v>
      </c>
      <c r="X21" s="114">
        <f t="shared" si="7"/>
        <v>0</v>
      </c>
      <c r="Y21" s="114">
        <f t="shared" si="7"/>
        <v>0</v>
      </c>
      <c r="Z21" s="114">
        <f t="shared" si="7"/>
        <v>0</v>
      </c>
      <c r="AA21" s="114">
        <f t="shared" si="7"/>
        <v>0</v>
      </c>
      <c r="AB21" s="114">
        <f t="shared" si="7"/>
        <v>0</v>
      </c>
      <c r="AC21" s="114">
        <f t="shared" si="7"/>
        <v>0</v>
      </c>
      <c r="AD21" s="114">
        <f t="shared" si="7"/>
        <v>0</v>
      </c>
      <c r="AE21" s="114">
        <f t="shared" si="7"/>
        <v>0</v>
      </c>
      <c r="AF21" s="114">
        <f t="shared" si="7"/>
        <v>0</v>
      </c>
      <c r="AG21" s="138"/>
    </row>
    <row r="22" ht="15" spans="2:33">
      <c r="B22" s="103">
        <v>5</v>
      </c>
      <c r="C22" s="104" t="s">
        <v>997</v>
      </c>
      <c r="D22" s="105"/>
      <c r="E22" s="105"/>
      <c r="F22" s="106"/>
      <c r="G22" s="106"/>
      <c r="H22" s="106"/>
      <c r="I22" s="106"/>
      <c r="J22" s="106"/>
      <c r="K22" s="106"/>
      <c r="L22" s="106"/>
      <c r="M22" s="106"/>
      <c r="N22" s="106"/>
      <c r="O22" s="106"/>
      <c r="P22" s="106"/>
      <c r="Q22" s="106"/>
      <c r="R22" s="106"/>
      <c r="S22" s="106"/>
      <c r="T22" s="106"/>
      <c r="U22" s="106"/>
      <c r="V22" s="106"/>
      <c r="W22" s="106"/>
      <c r="X22" s="106"/>
      <c r="Y22" s="106"/>
      <c r="Z22" s="106"/>
      <c r="AA22" s="106"/>
      <c r="AB22" s="106"/>
      <c r="AC22" s="106"/>
      <c r="AD22" s="106"/>
      <c r="AE22" s="106"/>
      <c r="AF22" s="106"/>
      <c r="AG22" s="136"/>
    </row>
    <row r="23" ht="15" spans="2:33">
      <c r="B23" s="107"/>
      <c r="C23" s="108" t="s">
        <v>993</v>
      </c>
      <c r="D23" s="109"/>
      <c r="E23" s="109" t="s">
        <v>24</v>
      </c>
      <c r="F23" s="110"/>
      <c r="G23" s="110"/>
      <c r="H23" s="110"/>
      <c r="I23" s="110"/>
      <c r="J23" s="110">
        <f t="shared" ref="J23:AF23" si="8">I25</f>
        <v>0</v>
      </c>
      <c r="K23" s="110">
        <f t="shared" si="8"/>
        <v>0</v>
      </c>
      <c r="L23" s="110">
        <f t="shared" si="8"/>
        <v>0</v>
      </c>
      <c r="M23" s="110">
        <f t="shared" si="8"/>
        <v>0</v>
      </c>
      <c r="N23" s="110">
        <f t="shared" si="8"/>
        <v>0</v>
      </c>
      <c r="O23" s="110">
        <f t="shared" si="8"/>
        <v>0</v>
      </c>
      <c r="P23" s="110">
        <f t="shared" si="8"/>
        <v>0</v>
      </c>
      <c r="Q23" s="110">
        <f t="shared" si="8"/>
        <v>0</v>
      </c>
      <c r="R23" s="110">
        <f t="shared" si="8"/>
        <v>0</v>
      </c>
      <c r="S23" s="110">
        <f t="shared" si="8"/>
        <v>0</v>
      </c>
      <c r="T23" s="110">
        <f t="shared" si="8"/>
        <v>0</v>
      </c>
      <c r="U23" s="110">
        <f t="shared" si="8"/>
        <v>0</v>
      </c>
      <c r="V23" s="110">
        <f t="shared" si="8"/>
        <v>0</v>
      </c>
      <c r="W23" s="110">
        <f t="shared" si="8"/>
        <v>0</v>
      </c>
      <c r="X23" s="110">
        <f t="shared" si="8"/>
        <v>0</v>
      </c>
      <c r="Y23" s="110">
        <f t="shared" si="8"/>
        <v>0</v>
      </c>
      <c r="Z23" s="110">
        <f t="shared" si="8"/>
        <v>0</v>
      </c>
      <c r="AA23" s="110">
        <f t="shared" si="8"/>
        <v>0</v>
      </c>
      <c r="AB23" s="110">
        <f t="shared" si="8"/>
        <v>0</v>
      </c>
      <c r="AC23" s="110">
        <f t="shared" si="8"/>
        <v>0</v>
      </c>
      <c r="AD23" s="110">
        <f t="shared" si="8"/>
        <v>0</v>
      </c>
      <c r="AE23" s="110">
        <f t="shared" si="8"/>
        <v>0</v>
      </c>
      <c r="AF23" s="110">
        <f t="shared" si="8"/>
        <v>0</v>
      </c>
      <c r="AG23" s="137"/>
    </row>
    <row r="24" ht="15" spans="2:33">
      <c r="B24" s="107"/>
      <c r="C24" s="108" t="s">
        <v>994</v>
      </c>
      <c r="D24" s="109">
        <f>SUM(J24:AF24)</f>
        <v>0</v>
      </c>
      <c r="E24" s="109" t="s">
        <v>24</v>
      </c>
      <c r="F24" s="110"/>
      <c r="G24" s="110"/>
      <c r="H24" s="110"/>
      <c r="I24" s="110"/>
      <c r="J24" s="128"/>
      <c r="K24" s="128"/>
      <c r="L24" s="128"/>
      <c r="M24" s="128"/>
      <c r="N24" s="128"/>
      <c r="O24" s="128"/>
      <c r="P24" s="128"/>
      <c r="Q24" s="128"/>
      <c r="R24" s="128"/>
      <c r="S24" s="128"/>
      <c r="T24" s="128"/>
      <c r="U24" s="128"/>
      <c r="V24" s="128"/>
      <c r="W24" s="128"/>
      <c r="X24" s="128"/>
      <c r="Y24" s="128"/>
      <c r="Z24" s="128"/>
      <c r="AA24" s="128"/>
      <c r="AB24" s="128"/>
      <c r="AC24" s="128"/>
      <c r="AD24" s="128"/>
      <c r="AE24" s="128"/>
      <c r="AF24" s="128"/>
      <c r="AG24" s="137"/>
    </row>
    <row r="25" ht="15.75" spans="2:33">
      <c r="B25" s="111"/>
      <c r="C25" s="112" t="s">
        <v>995</v>
      </c>
      <c r="D25" s="113"/>
      <c r="E25" s="109" t="s">
        <v>24</v>
      </c>
      <c r="F25" s="114"/>
      <c r="G25" s="114"/>
      <c r="H25" s="114"/>
      <c r="I25" s="129">
        <f>'表10-资产负债表(标准格式)'!$H$37-折现率、非经营、长投计算表!$E$34</f>
        <v>0</v>
      </c>
      <c r="J25" s="114">
        <f t="shared" ref="J25:AF25" si="9">J23-J24</f>
        <v>0</v>
      </c>
      <c r="K25" s="114">
        <f t="shared" si="9"/>
        <v>0</v>
      </c>
      <c r="L25" s="114">
        <f t="shared" si="9"/>
        <v>0</v>
      </c>
      <c r="M25" s="114">
        <f t="shared" si="9"/>
        <v>0</v>
      </c>
      <c r="N25" s="114">
        <f t="shared" si="9"/>
        <v>0</v>
      </c>
      <c r="O25" s="114">
        <f t="shared" si="9"/>
        <v>0</v>
      </c>
      <c r="P25" s="114">
        <f t="shared" si="9"/>
        <v>0</v>
      </c>
      <c r="Q25" s="114">
        <f t="shared" si="9"/>
        <v>0</v>
      </c>
      <c r="R25" s="114">
        <f t="shared" si="9"/>
        <v>0</v>
      </c>
      <c r="S25" s="114">
        <f t="shared" si="9"/>
        <v>0</v>
      </c>
      <c r="T25" s="114">
        <f t="shared" si="9"/>
        <v>0</v>
      </c>
      <c r="U25" s="114">
        <f t="shared" si="9"/>
        <v>0</v>
      </c>
      <c r="V25" s="114">
        <f t="shared" si="9"/>
        <v>0</v>
      </c>
      <c r="W25" s="114">
        <f t="shared" si="9"/>
        <v>0</v>
      </c>
      <c r="X25" s="114">
        <f t="shared" si="9"/>
        <v>0</v>
      </c>
      <c r="Y25" s="114">
        <f t="shared" si="9"/>
        <v>0</v>
      </c>
      <c r="Z25" s="114">
        <f t="shared" si="9"/>
        <v>0</v>
      </c>
      <c r="AA25" s="114">
        <f t="shared" si="9"/>
        <v>0</v>
      </c>
      <c r="AB25" s="114">
        <f t="shared" si="9"/>
        <v>0</v>
      </c>
      <c r="AC25" s="114">
        <f t="shared" si="9"/>
        <v>0</v>
      </c>
      <c r="AD25" s="114">
        <f t="shared" si="9"/>
        <v>0</v>
      </c>
      <c r="AE25" s="114">
        <f t="shared" si="9"/>
        <v>0</v>
      </c>
      <c r="AF25" s="114">
        <f t="shared" si="9"/>
        <v>0</v>
      </c>
      <c r="AG25" s="138"/>
    </row>
    <row r="26" ht="15" spans="2:33">
      <c r="B26" s="103">
        <v>6</v>
      </c>
      <c r="C26" s="115" t="s">
        <v>712</v>
      </c>
      <c r="D26" s="105"/>
      <c r="E26" s="105"/>
      <c r="F26" s="106"/>
      <c r="G26" s="106"/>
      <c r="H26" s="106"/>
      <c r="I26" s="106"/>
      <c r="J26" s="106"/>
      <c r="K26" s="106"/>
      <c r="L26" s="106"/>
      <c r="M26" s="106"/>
      <c r="N26" s="106"/>
      <c r="O26" s="106"/>
      <c r="P26" s="106"/>
      <c r="Q26" s="106"/>
      <c r="R26" s="106"/>
      <c r="S26" s="106"/>
      <c r="T26" s="106"/>
      <c r="U26" s="106"/>
      <c r="V26" s="106"/>
      <c r="W26" s="106"/>
      <c r="X26" s="106"/>
      <c r="Y26" s="106"/>
      <c r="Z26" s="106"/>
      <c r="AA26" s="106"/>
      <c r="AB26" s="106"/>
      <c r="AC26" s="106"/>
      <c r="AD26" s="106"/>
      <c r="AE26" s="106"/>
      <c r="AF26" s="106"/>
      <c r="AG26" s="136"/>
    </row>
    <row r="27" ht="15" spans="2:33">
      <c r="B27" s="107"/>
      <c r="C27" s="116" t="s">
        <v>993</v>
      </c>
      <c r="D27" s="109"/>
      <c r="E27" s="109" t="s">
        <v>24</v>
      </c>
      <c r="F27" s="110"/>
      <c r="G27" s="110"/>
      <c r="H27" s="110"/>
      <c r="I27" s="110"/>
      <c r="J27" s="110">
        <f t="shared" ref="J27:AF27" si="10">I29</f>
        <v>0</v>
      </c>
      <c r="K27" s="110">
        <f t="shared" si="10"/>
        <v>0</v>
      </c>
      <c r="L27" s="110">
        <f t="shared" si="10"/>
        <v>0</v>
      </c>
      <c r="M27" s="110">
        <f t="shared" si="10"/>
        <v>0</v>
      </c>
      <c r="N27" s="110">
        <f t="shared" si="10"/>
        <v>0</v>
      </c>
      <c r="O27" s="110">
        <f t="shared" si="10"/>
        <v>0</v>
      </c>
      <c r="P27" s="110">
        <f t="shared" si="10"/>
        <v>0</v>
      </c>
      <c r="Q27" s="110">
        <f t="shared" si="10"/>
        <v>0</v>
      </c>
      <c r="R27" s="110">
        <f t="shared" si="10"/>
        <v>0</v>
      </c>
      <c r="S27" s="110">
        <f t="shared" si="10"/>
        <v>0</v>
      </c>
      <c r="T27" s="110">
        <f t="shared" si="10"/>
        <v>0</v>
      </c>
      <c r="U27" s="110">
        <f t="shared" si="10"/>
        <v>0</v>
      </c>
      <c r="V27" s="110">
        <f t="shared" si="10"/>
        <v>0</v>
      </c>
      <c r="W27" s="110">
        <f t="shared" si="10"/>
        <v>0</v>
      </c>
      <c r="X27" s="110">
        <f t="shared" si="10"/>
        <v>0</v>
      </c>
      <c r="Y27" s="110">
        <f t="shared" si="10"/>
        <v>0</v>
      </c>
      <c r="Z27" s="110">
        <f t="shared" si="10"/>
        <v>0</v>
      </c>
      <c r="AA27" s="110">
        <f t="shared" si="10"/>
        <v>0</v>
      </c>
      <c r="AB27" s="110">
        <f t="shared" si="10"/>
        <v>0</v>
      </c>
      <c r="AC27" s="110">
        <f t="shared" si="10"/>
        <v>0</v>
      </c>
      <c r="AD27" s="110">
        <f t="shared" si="10"/>
        <v>0</v>
      </c>
      <c r="AE27" s="110">
        <f t="shared" si="10"/>
        <v>0</v>
      </c>
      <c r="AF27" s="110">
        <f t="shared" si="10"/>
        <v>0</v>
      </c>
      <c r="AG27" s="137"/>
    </row>
    <row r="28" ht="15" spans="2:33">
      <c r="B28" s="107"/>
      <c r="C28" s="116" t="s">
        <v>994</v>
      </c>
      <c r="D28" s="109">
        <f>SUM(J28:AF28)</f>
        <v>0</v>
      </c>
      <c r="E28" s="109" t="s">
        <v>24</v>
      </c>
      <c r="F28" s="110"/>
      <c r="G28" s="110"/>
      <c r="H28" s="110"/>
      <c r="I28" s="110"/>
      <c r="J28" s="128"/>
      <c r="K28" s="128"/>
      <c r="L28" s="128"/>
      <c r="M28" s="128"/>
      <c r="N28" s="128"/>
      <c r="O28" s="128"/>
      <c r="P28" s="128"/>
      <c r="Q28" s="128"/>
      <c r="R28" s="128"/>
      <c r="S28" s="128"/>
      <c r="T28" s="128"/>
      <c r="U28" s="128"/>
      <c r="V28" s="128"/>
      <c r="W28" s="128"/>
      <c r="X28" s="128"/>
      <c r="Y28" s="128"/>
      <c r="Z28" s="128"/>
      <c r="AA28" s="128"/>
      <c r="AB28" s="128"/>
      <c r="AC28" s="128"/>
      <c r="AD28" s="128"/>
      <c r="AE28" s="128"/>
      <c r="AF28" s="128"/>
      <c r="AG28" s="137"/>
    </row>
    <row r="29" ht="15.75" spans="2:33">
      <c r="B29" s="111"/>
      <c r="C29" s="117" t="s">
        <v>995</v>
      </c>
      <c r="D29" s="113"/>
      <c r="E29" s="109" t="s">
        <v>24</v>
      </c>
      <c r="F29" s="114"/>
      <c r="G29" s="114"/>
      <c r="H29" s="114"/>
      <c r="I29" s="129">
        <f>'表10-资产负债表(标准格式)'!$H$27-折现率、非经营、长投计算表!$E$29</f>
        <v>0</v>
      </c>
      <c r="J29" s="114">
        <f t="shared" ref="J29:AF29" si="11">J27-J28</f>
        <v>0</v>
      </c>
      <c r="K29" s="114">
        <f t="shared" si="11"/>
        <v>0</v>
      </c>
      <c r="L29" s="114">
        <f t="shared" si="11"/>
        <v>0</v>
      </c>
      <c r="M29" s="114">
        <f t="shared" si="11"/>
        <v>0</v>
      </c>
      <c r="N29" s="114">
        <f t="shared" si="11"/>
        <v>0</v>
      </c>
      <c r="O29" s="114">
        <f t="shared" si="11"/>
        <v>0</v>
      </c>
      <c r="P29" s="114">
        <f t="shared" si="11"/>
        <v>0</v>
      </c>
      <c r="Q29" s="114">
        <f t="shared" si="11"/>
        <v>0</v>
      </c>
      <c r="R29" s="114">
        <f t="shared" si="11"/>
        <v>0</v>
      </c>
      <c r="S29" s="114">
        <f t="shared" si="11"/>
        <v>0</v>
      </c>
      <c r="T29" s="114">
        <f t="shared" si="11"/>
        <v>0</v>
      </c>
      <c r="U29" s="114">
        <f t="shared" si="11"/>
        <v>0</v>
      </c>
      <c r="V29" s="114">
        <f t="shared" si="11"/>
        <v>0</v>
      </c>
      <c r="W29" s="114">
        <f t="shared" si="11"/>
        <v>0</v>
      </c>
      <c r="X29" s="114">
        <f t="shared" si="11"/>
        <v>0</v>
      </c>
      <c r="Y29" s="114">
        <f t="shared" si="11"/>
        <v>0</v>
      </c>
      <c r="Z29" s="114">
        <f t="shared" si="11"/>
        <v>0</v>
      </c>
      <c r="AA29" s="114">
        <f t="shared" si="11"/>
        <v>0</v>
      </c>
      <c r="AB29" s="114">
        <f t="shared" si="11"/>
        <v>0</v>
      </c>
      <c r="AC29" s="114">
        <f t="shared" si="11"/>
        <v>0</v>
      </c>
      <c r="AD29" s="114">
        <f t="shared" si="11"/>
        <v>0</v>
      </c>
      <c r="AE29" s="114">
        <f t="shared" si="11"/>
        <v>0</v>
      </c>
      <c r="AF29" s="114">
        <f t="shared" si="11"/>
        <v>0</v>
      </c>
      <c r="AG29" s="138"/>
    </row>
    <row r="30" ht="31.05" customHeight="1" spans="2:33">
      <c r="B30" s="118" t="s">
        <v>998</v>
      </c>
      <c r="C30" s="119"/>
      <c r="D30" s="120"/>
      <c r="E30" s="120"/>
      <c r="F30" s="106"/>
      <c r="G30" s="106"/>
      <c r="H30" s="106"/>
      <c r="I30" s="106"/>
      <c r="J30" s="106"/>
      <c r="K30" s="106"/>
      <c r="L30" s="106"/>
      <c r="M30" s="106"/>
      <c r="N30" s="106"/>
      <c r="O30" s="106"/>
      <c r="P30" s="106"/>
      <c r="Q30" s="106"/>
      <c r="R30" s="106"/>
      <c r="S30" s="106"/>
      <c r="T30" s="106"/>
      <c r="U30" s="106"/>
      <c r="V30" s="106"/>
      <c r="W30" s="106"/>
      <c r="X30" s="106"/>
      <c r="Y30" s="106"/>
      <c r="Z30" s="106"/>
      <c r="AA30" s="106"/>
      <c r="AB30" s="106"/>
      <c r="AC30" s="106"/>
      <c r="AD30" s="106"/>
      <c r="AE30" s="106"/>
      <c r="AF30" s="106"/>
      <c r="AG30" s="136"/>
    </row>
    <row r="31" ht="15" spans="2:33">
      <c r="B31" s="107"/>
      <c r="C31" s="108" t="s">
        <v>993</v>
      </c>
      <c r="D31" s="109"/>
      <c r="E31" s="109" t="s">
        <v>24</v>
      </c>
      <c r="F31" s="110"/>
      <c r="G31" s="110"/>
      <c r="H31" s="110"/>
      <c r="I31" s="130"/>
      <c r="J31" s="110">
        <f>I33</f>
        <v>10455.620977</v>
      </c>
      <c r="K31" s="110">
        <f t="shared" ref="K31:AF31" si="12">J33</f>
        <v>7044.269861</v>
      </c>
      <c r="L31" s="110">
        <f t="shared" si="12"/>
        <v>3917.627645</v>
      </c>
      <c r="M31" s="110">
        <f t="shared" si="12"/>
        <v>817.627645</v>
      </c>
      <c r="N31" s="110">
        <f t="shared" si="12"/>
        <v>0</v>
      </c>
      <c r="O31" s="110">
        <f t="shared" si="12"/>
        <v>0</v>
      </c>
      <c r="P31" s="110">
        <f t="shared" si="12"/>
        <v>0</v>
      </c>
      <c r="Q31" s="110">
        <f t="shared" si="12"/>
        <v>0</v>
      </c>
      <c r="R31" s="110">
        <f t="shared" si="12"/>
        <v>0</v>
      </c>
      <c r="S31" s="110">
        <f t="shared" si="12"/>
        <v>0</v>
      </c>
      <c r="T31" s="110">
        <f t="shared" si="12"/>
        <v>0</v>
      </c>
      <c r="U31" s="110">
        <f t="shared" si="12"/>
        <v>0</v>
      </c>
      <c r="V31" s="110">
        <f t="shared" si="12"/>
        <v>0</v>
      </c>
      <c r="W31" s="110">
        <f t="shared" si="12"/>
        <v>0</v>
      </c>
      <c r="X31" s="110">
        <f t="shared" si="12"/>
        <v>0</v>
      </c>
      <c r="Y31" s="110">
        <f t="shared" si="12"/>
        <v>0</v>
      </c>
      <c r="Z31" s="110">
        <f t="shared" si="12"/>
        <v>0</v>
      </c>
      <c r="AA31" s="110">
        <f t="shared" si="12"/>
        <v>0</v>
      </c>
      <c r="AB31" s="110">
        <f t="shared" si="12"/>
        <v>0</v>
      </c>
      <c r="AC31" s="110">
        <f t="shared" si="12"/>
        <v>0</v>
      </c>
      <c r="AD31" s="110">
        <f t="shared" si="12"/>
        <v>0</v>
      </c>
      <c r="AE31" s="110">
        <f t="shared" si="12"/>
        <v>0</v>
      </c>
      <c r="AF31" s="110">
        <f t="shared" si="12"/>
        <v>0</v>
      </c>
      <c r="AG31" s="137"/>
    </row>
    <row r="32" ht="15" spans="2:33">
      <c r="B32" s="107"/>
      <c r="C32" s="108" t="s">
        <v>994</v>
      </c>
      <c r="D32" s="109">
        <f>SUM(J32:AF32)</f>
        <v>10455.620977</v>
      </c>
      <c r="E32" s="109" t="s">
        <v>24</v>
      </c>
      <c r="F32" s="110"/>
      <c r="G32" s="110"/>
      <c r="H32" s="110"/>
      <c r="I32" s="130"/>
      <c r="J32" s="131">
        <f>J8+J12+J16+J20+J24+J28</f>
        <v>3411.351116</v>
      </c>
      <c r="K32" s="131">
        <f t="shared" ref="K32:AF32" si="13">K8+K12+K16+K20+K24+K28</f>
        <v>3126.642216</v>
      </c>
      <c r="L32" s="131">
        <f t="shared" si="13"/>
        <v>3100</v>
      </c>
      <c r="M32" s="131">
        <f t="shared" si="13"/>
        <v>817.627645</v>
      </c>
      <c r="N32" s="131">
        <f t="shared" si="13"/>
        <v>0</v>
      </c>
      <c r="O32" s="131">
        <f t="shared" si="13"/>
        <v>0</v>
      </c>
      <c r="P32" s="131">
        <f t="shared" si="13"/>
        <v>0</v>
      </c>
      <c r="Q32" s="131">
        <f t="shared" si="13"/>
        <v>0</v>
      </c>
      <c r="R32" s="131">
        <f t="shared" si="13"/>
        <v>0</v>
      </c>
      <c r="S32" s="131">
        <f t="shared" si="13"/>
        <v>0</v>
      </c>
      <c r="T32" s="131">
        <f t="shared" si="13"/>
        <v>0</v>
      </c>
      <c r="U32" s="131">
        <f t="shared" si="13"/>
        <v>0</v>
      </c>
      <c r="V32" s="131">
        <f t="shared" si="13"/>
        <v>0</v>
      </c>
      <c r="W32" s="131">
        <f t="shared" si="13"/>
        <v>0</v>
      </c>
      <c r="X32" s="131">
        <f t="shared" si="13"/>
        <v>0</v>
      </c>
      <c r="Y32" s="131">
        <f t="shared" si="13"/>
        <v>0</v>
      </c>
      <c r="Z32" s="131">
        <f t="shared" si="13"/>
        <v>0</v>
      </c>
      <c r="AA32" s="131">
        <f t="shared" si="13"/>
        <v>0</v>
      </c>
      <c r="AB32" s="131">
        <f t="shared" si="13"/>
        <v>0</v>
      </c>
      <c r="AC32" s="131">
        <f t="shared" si="13"/>
        <v>0</v>
      </c>
      <c r="AD32" s="131">
        <f t="shared" si="13"/>
        <v>0</v>
      </c>
      <c r="AE32" s="131">
        <f t="shared" si="13"/>
        <v>0</v>
      </c>
      <c r="AF32" s="131">
        <f t="shared" si="13"/>
        <v>0</v>
      </c>
      <c r="AG32" s="137"/>
    </row>
    <row r="33" s="95" customFormat="1" ht="15.75" spans="2:33">
      <c r="B33" s="121"/>
      <c r="C33" s="112" t="s">
        <v>995</v>
      </c>
      <c r="D33" s="122"/>
      <c r="E33" s="109" t="s">
        <v>24</v>
      </c>
      <c r="F33" s="123"/>
      <c r="G33" s="123"/>
      <c r="H33" s="123"/>
      <c r="I33" s="132">
        <f>I9+I13+I17+I21+I25+I29</f>
        <v>10455.620977</v>
      </c>
      <c r="J33" s="123">
        <f>J31-J32</f>
        <v>7044.269861</v>
      </c>
      <c r="K33" s="123">
        <f t="shared" ref="K33:AF33" si="14">K31-K32</f>
        <v>3917.627645</v>
      </c>
      <c r="L33" s="123">
        <f t="shared" si="14"/>
        <v>817.627645</v>
      </c>
      <c r="M33" s="123">
        <f t="shared" si="14"/>
        <v>0</v>
      </c>
      <c r="N33" s="123">
        <f t="shared" si="14"/>
        <v>0</v>
      </c>
      <c r="O33" s="123">
        <f t="shared" si="14"/>
        <v>0</v>
      </c>
      <c r="P33" s="123">
        <f t="shared" si="14"/>
        <v>0</v>
      </c>
      <c r="Q33" s="123">
        <f t="shared" si="14"/>
        <v>0</v>
      </c>
      <c r="R33" s="123">
        <f t="shared" si="14"/>
        <v>0</v>
      </c>
      <c r="S33" s="123">
        <f t="shared" si="14"/>
        <v>0</v>
      </c>
      <c r="T33" s="123">
        <f t="shared" si="14"/>
        <v>0</v>
      </c>
      <c r="U33" s="123">
        <f t="shared" si="14"/>
        <v>0</v>
      </c>
      <c r="V33" s="123">
        <f t="shared" si="14"/>
        <v>0</v>
      </c>
      <c r="W33" s="123">
        <f t="shared" si="14"/>
        <v>0</v>
      </c>
      <c r="X33" s="123">
        <f t="shared" si="14"/>
        <v>0</v>
      </c>
      <c r="Y33" s="123">
        <f t="shared" si="14"/>
        <v>0</v>
      </c>
      <c r="Z33" s="123">
        <f t="shared" si="14"/>
        <v>0</v>
      </c>
      <c r="AA33" s="123">
        <f t="shared" si="14"/>
        <v>0</v>
      </c>
      <c r="AB33" s="123">
        <f t="shared" si="14"/>
        <v>0</v>
      </c>
      <c r="AC33" s="123">
        <f t="shared" si="14"/>
        <v>0</v>
      </c>
      <c r="AD33" s="123">
        <f t="shared" si="14"/>
        <v>0</v>
      </c>
      <c r="AE33" s="123">
        <f t="shared" si="14"/>
        <v>0</v>
      </c>
      <c r="AF33" s="123">
        <f t="shared" si="14"/>
        <v>0</v>
      </c>
      <c r="AG33" s="139"/>
    </row>
    <row r="34" ht="22.05" customHeight="1" spans="2:33">
      <c r="B34" s="100" t="s">
        <v>629</v>
      </c>
      <c r="C34" s="101" t="s">
        <v>999</v>
      </c>
      <c r="D34" s="124"/>
      <c r="E34" s="124"/>
      <c r="F34" s="125"/>
      <c r="G34" s="125"/>
      <c r="H34" s="125"/>
      <c r="I34" s="125"/>
      <c r="J34" s="125"/>
      <c r="K34" s="125"/>
      <c r="L34" s="125"/>
      <c r="M34" s="125"/>
      <c r="N34" s="125"/>
      <c r="O34" s="125"/>
      <c r="P34" s="125"/>
      <c r="Q34" s="125"/>
      <c r="R34" s="125"/>
      <c r="S34" s="125"/>
      <c r="T34" s="125"/>
      <c r="U34" s="125"/>
      <c r="V34" s="125"/>
      <c r="W34" s="125"/>
      <c r="X34" s="125"/>
      <c r="Y34" s="125"/>
      <c r="Z34" s="125"/>
      <c r="AA34" s="125"/>
      <c r="AB34" s="125"/>
      <c r="AC34" s="125"/>
      <c r="AD34" s="125"/>
      <c r="AE34" s="125"/>
      <c r="AF34" s="125"/>
      <c r="AG34" s="135"/>
    </row>
    <row r="35" ht="15" spans="2:33">
      <c r="B35" s="103">
        <v>1</v>
      </c>
      <c r="C35" s="104" t="s">
        <v>715</v>
      </c>
      <c r="D35" s="105"/>
      <c r="E35" s="105"/>
      <c r="F35" s="106"/>
      <c r="G35" s="106"/>
      <c r="H35" s="106"/>
      <c r="I35" s="106"/>
      <c r="J35" s="106"/>
      <c r="K35" s="106"/>
      <c r="L35" s="106"/>
      <c r="M35" s="106"/>
      <c r="N35" s="106"/>
      <c r="O35" s="106"/>
      <c r="P35" s="106"/>
      <c r="Q35" s="106"/>
      <c r="R35" s="106"/>
      <c r="S35" s="106"/>
      <c r="T35" s="106"/>
      <c r="U35" s="106"/>
      <c r="V35" s="106"/>
      <c r="W35" s="106"/>
      <c r="X35" s="106"/>
      <c r="Y35" s="106"/>
      <c r="Z35" s="106"/>
      <c r="AA35" s="106"/>
      <c r="AB35" s="106"/>
      <c r="AC35" s="106"/>
      <c r="AD35" s="106"/>
      <c r="AE35" s="106"/>
      <c r="AF35" s="106"/>
      <c r="AG35" s="136"/>
    </row>
    <row r="36" ht="15" spans="2:33">
      <c r="B36" s="107"/>
      <c r="C36" s="108" t="s">
        <v>993</v>
      </c>
      <c r="D36" s="109"/>
      <c r="E36" s="109" t="s">
        <v>24</v>
      </c>
      <c r="F36" s="110"/>
      <c r="G36" s="110"/>
      <c r="H36" s="110"/>
      <c r="I36" s="110"/>
      <c r="J36" s="110">
        <f t="shared" ref="J36:AF36" si="15">I38</f>
        <v>0</v>
      </c>
      <c r="K36" s="110">
        <f t="shared" si="15"/>
        <v>0</v>
      </c>
      <c r="L36" s="110">
        <f t="shared" si="15"/>
        <v>0</v>
      </c>
      <c r="M36" s="110">
        <f t="shared" si="15"/>
        <v>0</v>
      </c>
      <c r="N36" s="110">
        <f t="shared" si="15"/>
        <v>0</v>
      </c>
      <c r="O36" s="110">
        <f t="shared" si="15"/>
        <v>0</v>
      </c>
      <c r="P36" s="110">
        <f t="shared" si="15"/>
        <v>0</v>
      </c>
      <c r="Q36" s="110">
        <f t="shared" si="15"/>
        <v>0</v>
      </c>
      <c r="R36" s="110">
        <f t="shared" si="15"/>
        <v>0</v>
      </c>
      <c r="S36" s="110">
        <f t="shared" si="15"/>
        <v>0</v>
      </c>
      <c r="T36" s="110">
        <f t="shared" si="15"/>
        <v>0</v>
      </c>
      <c r="U36" s="110">
        <f t="shared" si="15"/>
        <v>0</v>
      </c>
      <c r="V36" s="110">
        <f t="shared" si="15"/>
        <v>0</v>
      </c>
      <c r="W36" s="110">
        <f t="shared" si="15"/>
        <v>0</v>
      </c>
      <c r="X36" s="110">
        <f t="shared" si="15"/>
        <v>0</v>
      </c>
      <c r="Y36" s="110">
        <f t="shared" si="15"/>
        <v>0</v>
      </c>
      <c r="Z36" s="110">
        <f t="shared" si="15"/>
        <v>0</v>
      </c>
      <c r="AA36" s="110">
        <f t="shared" si="15"/>
        <v>0</v>
      </c>
      <c r="AB36" s="110">
        <f t="shared" si="15"/>
        <v>0</v>
      </c>
      <c r="AC36" s="110">
        <f t="shared" si="15"/>
        <v>0</v>
      </c>
      <c r="AD36" s="110">
        <f t="shared" si="15"/>
        <v>0</v>
      </c>
      <c r="AE36" s="110">
        <f t="shared" si="15"/>
        <v>0</v>
      </c>
      <c r="AF36" s="110">
        <f t="shared" si="15"/>
        <v>0</v>
      </c>
      <c r="AG36" s="137"/>
    </row>
    <row r="37" ht="15" spans="2:33">
      <c r="B37" s="107"/>
      <c r="C37" s="108" t="s">
        <v>994</v>
      </c>
      <c r="D37" s="109">
        <f>SUM(J37:AF37)</f>
        <v>0</v>
      </c>
      <c r="E37" s="109" t="s">
        <v>24</v>
      </c>
      <c r="F37" s="110"/>
      <c r="G37" s="110"/>
      <c r="H37" s="110"/>
      <c r="I37" s="110"/>
      <c r="J37" s="128"/>
      <c r="K37" s="128"/>
      <c r="L37" s="128"/>
      <c r="M37" s="128"/>
      <c r="N37" s="128"/>
      <c r="O37" s="128"/>
      <c r="P37" s="128"/>
      <c r="Q37" s="128"/>
      <c r="R37" s="128"/>
      <c r="S37" s="128"/>
      <c r="T37" s="128"/>
      <c r="U37" s="128"/>
      <c r="V37" s="128"/>
      <c r="W37" s="128"/>
      <c r="X37" s="128"/>
      <c r="Y37" s="128"/>
      <c r="Z37" s="128"/>
      <c r="AA37" s="128"/>
      <c r="AB37" s="128"/>
      <c r="AC37" s="128"/>
      <c r="AD37" s="128"/>
      <c r="AE37" s="128"/>
      <c r="AF37" s="128"/>
      <c r="AG37" s="137"/>
    </row>
    <row r="38" ht="15.75" spans="2:33">
      <c r="B38" s="111"/>
      <c r="C38" s="112" t="s">
        <v>995</v>
      </c>
      <c r="D38" s="113"/>
      <c r="E38" s="109" t="s">
        <v>24</v>
      </c>
      <c r="F38" s="114"/>
      <c r="G38" s="114"/>
      <c r="H38" s="114"/>
      <c r="I38" s="129">
        <f>'表10-资产负债表(标准格式)'!$H$65-折现率、非经营、长投计算表!$E$43</f>
        <v>0</v>
      </c>
      <c r="J38" s="114">
        <f t="shared" ref="J38:AF38" si="16">J36-J37</f>
        <v>0</v>
      </c>
      <c r="K38" s="114">
        <f t="shared" si="16"/>
        <v>0</v>
      </c>
      <c r="L38" s="114">
        <f t="shared" si="16"/>
        <v>0</v>
      </c>
      <c r="M38" s="114">
        <f t="shared" si="16"/>
        <v>0</v>
      </c>
      <c r="N38" s="114">
        <f t="shared" si="16"/>
        <v>0</v>
      </c>
      <c r="O38" s="114">
        <f t="shared" si="16"/>
        <v>0</v>
      </c>
      <c r="P38" s="114">
        <f t="shared" si="16"/>
        <v>0</v>
      </c>
      <c r="Q38" s="114">
        <f t="shared" si="16"/>
        <v>0</v>
      </c>
      <c r="R38" s="114">
        <f t="shared" si="16"/>
        <v>0</v>
      </c>
      <c r="S38" s="114">
        <f t="shared" si="16"/>
        <v>0</v>
      </c>
      <c r="T38" s="114">
        <f t="shared" si="16"/>
        <v>0</v>
      </c>
      <c r="U38" s="114">
        <f t="shared" si="16"/>
        <v>0</v>
      </c>
      <c r="V38" s="114">
        <f t="shared" si="16"/>
        <v>0</v>
      </c>
      <c r="W38" s="114">
        <f t="shared" si="16"/>
        <v>0</v>
      </c>
      <c r="X38" s="114">
        <f t="shared" si="16"/>
        <v>0</v>
      </c>
      <c r="Y38" s="114">
        <f t="shared" si="16"/>
        <v>0</v>
      </c>
      <c r="Z38" s="114">
        <f t="shared" si="16"/>
        <v>0</v>
      </c>
      <c r="AA38" s="114">
        <f t="shared" si="16"/>
        <v>0</v>
      </c>
      <c r="AB38" s="114">
        <f t="shared" si="16"/>
        <v>0</v>
      </c>
      <c r="AC38" s="114">
        <f t="shared" si="16"/>
        <v>0</v>
      </c>
      <c r="AD38" s="114">
        <f t="shared" si="16"/>
        <v>0</v>
      </c>
      <c r="AE38" s="114">
        <f t="shared" si="16"/>
        <v>0</v>
      </c>
      <c r="AF38" s="114">
        <f t="shared" si="16"/>
        <v>0</v>
      </c>
      <c r="AG38" s="138"/>
    </row>
    <row r="39" ht="15" spans="2:33">
      <c r="B39" s="103">
        <v>2</v>
      </c>
      <c r="C39" s="104" t="s">
        <v>714</v>
      </c>
      <c r="D39" s="105"/>
      <c r="E39" s="105"/>
      <c r="F39" s="106"/>
      <c r="G39" s="106"/>
      <c r="H39" s="106"/>
      <c r="I39" s="106"/>
      <c r="J39" s="106"/>
      <c r="K39" s="106"/>
      <c r="L39" s="106"/>
      <c r="M39" s="106"/>
      <c r="N39" s="106"/>
      <c r="O39" s="106"/>
      <c r="P39" s="106"/>
      <c r="Q39" s="106"/>
      <c r="R39" s="106"/>
      <c r="S39" s="106"/>
      <c r="T39" s="106"/>
      <c r="U39" s="106"/>
      <c r="V39" s="106"/>
      <c r="W39" s="106"/>
      <c r="X39" s="106"/>
      <c r="Y39" s="106"/>
      <c r="Z39" s="106"/>
      <c r="AA39" s="106"/>
      <c r="AB39" s="106"/>
      <c r="AC39" s="106"/>
      <c r="AD39" s="106"/>
      <c r="AE39" s="106"/>
      <c r="AF39" s="106"/>
      <c r="AG39" s="136"/>
    </row>
    <row r="40" ht="15" spans="2:33">
      <c r="B40" s="107"/>
      <c r="C40" s="108" t="s">
        <v>993</v>
      </c>
      <c r="D40" s="109"/>
      <c r="E40" s="109" t="s">
        <v>24</v>
      </c>
      <c r="F40" s="110"/>
      <c r="G40" s="110"/>
      <c r="H40" s="110"/>
      <c r="I40" s="110"/>
      <c r="J40" s="110">
        <f t="shared" ref="J40:AF40" si="17">I42</f>
        <v>232.318224</v>
      </c>
      <c r="K40" s="110">
        <f t="shared" si="17"/>
        <v>132.318224</v>
      </c>
      <c r="L40" s="110">
        <f t="shared" si="17"/>
        <v>0</v>
      </c>
      <c r="M40" s="110">
        <f t="shared" si="17"/>
        <v>0</v>
      </c>
      <c r="N40" s="110">
        <f t="shared" si="17"/>
        <v>0</v>
      </c>
      <c r="O40" s="110">
        <f t="shared" si="17"/>
        <v>0</v>
      </c>
      <c r="P40" s="110">
        <f t="shared" si="17"/>
        <v>0</v>
      </c>
      <c r="Q40" s="110">
        <f t="shared" si="17"/>
        <v>0</v>
      </c>
      <c r="R40" s="110">
        <f t="shared" si="17"/>
        <v>0</v>
      </c>
      <c r="S40" s="110">
        <f t="shared" si="17"/>
        <v>0</v>
      </c>
      <c r="T40" s="110">
        <f t="shared" si="17"/>
        <v>0</v>
      </c>
      <c r="U40" s="110">
        <f t="shared" si="17"/>
        <v>0</v>
      </c>
      <c r="V40" s="110">
        <f t="shared" si="17"/>
        <v>0</v>
      </c>
      <c r="W40" s="110">
        <f t="shared" si="17"/>
        <v>0</v>
      </c>
      <c r="X40" s="110">
        <f t="shared" si="17"/>
        <v>0</v>
      </c>
      <c r="Y40" s="110">
        <f t="shared" si="17"/>
        <v>0</v>
      </c>
      <c r="Z40" s="110">
        <f t="shared" si="17"/>
        <v>0</v>
      </c>
      <c r="AA40" s="110">
        <f t="shared" si="17"/>
        <v>0</v>
      </c>
      <c r="AB40" s="110">
        <f t="shared" si="17"/>
        <v>0</v>
      </c>
      <c r="AC40" s="110">
        <f t="shared" si="17"/>
        <v>0</v>
      </c>
      <c r="AD40" s="110">
        <f t="shared" si="17"/>
        <v>0</v>
      </c>
      <c r="AE40" s="110">
        <f t="shared" si="17"/>
        <v>0</v>
      </c>
      <c r="AF40" s="110">
        <f t="shared" si="17"/>
        <v>0</v>
      </c>
      <c r="AG40" s="137"/>
    </row>
    <row r="41" ht="15" spans="2:33">
      <c r="B41" s="107"/>
      <c r="C41" s="108" t="s">
        <v>994</v>
      </c>
      <c r="D41" s="109">
        <f>SUM(J41:AF41)</f>
        <v>232.318224</v>
      </c>
      <c r="E41" s="109" t="s">
        <v>24</v>
      </c>
      <c r="F41" s="110"/>
      <c r="G41" s="110"/>
      <c r="H41" s="110"/>
      <c r="I41" s="110"/>
      <c r="J41" s="128">
        <v>100</v>
      </c>
      <c r="K41" s="128">
        <v>132.318224</v>
      </c>
      <c r="L41" s="128"/>
      <c r="M41" s="128"/>
      <c r="N41" s="128"/>
      <c r="O41" s="128"/>
      <c r="P41" s="128"/>
      <c r="Q41" s="128"/>
      <c r="R41" s="128"/>
      <c r="S41" s="128"/>
      <c r="T41" s="128"/>
      <c r="U41" s="128"/>
      <c r="V41" s="128"/>
      <c r="W41" s="128"/>
      <c r="X41" s="128"/>
      <c r="Y41" s="128"/>
      <c r="Z41" s="128"/>
      <c r="AA41" s="128"/>
      <c r="AB41" s="128"/>
      <c r="AC41" s="128"/>
      <c r="AD41" s="128"/>
      <c r="AE41" s="128"/>
      <c r="AF41" s="128"/>
      <c r="AG41" s="137"/>
    </row>
    <row r="42" ht="15.75" spans="2:33">
      <c r="B42" s="111"/>
      <c r="C42" s="112" t="s">
        <v>995</v>
      </c>
      <c r="D42" s="113"/>
      <c r="E42" s="109" t="s">
        <v>24</v>
      </c>
      <c r="F42" s="114"/>
      <c r="G42" s="114"/>
      <c r="H42" s="114"/>
      <c r="I42" s="129">
        <f>'表10-资产负债表(标准格式)'!$H$66-折现率、非经营、长投计算表!$E$44</f>
        <v>232.318224</v>
      </c>
      <c r="J42" s="114">
        <f t="shared" ref="J42:AF42" si="18">J40-J41</f>
        <v>132.318224</v>
      </c>
      <c r="K42" s="114">
        <f t="shared" si="18"/>
        <v>0</v>
      </c>
      <c r="L42" s="114">
        <f t="shared" si="18"/>
        <v>0</v>
      </c>
      <c r="M42" s="114">
        <f t="shared" si="18"/>
        <v>0</v>
      </c>
      <c r="N42" s="114">
        <f t="shared" si="18"/>
        <v>0</v>
      </c>
      <c r="O42" s="114">
        <f t="shared" si="18"/>
        <v>0</v>
      </c>
      <c r="P42" s="114">
        <f t="shared" si="18"/>
        <v>0</v>
      </c>
      <c r="Q42" s="114">
        <f t="shared" si="18"/>
        <v>0</v>
      </c>
      <c r="R42" s="114">
        <f t="shared" si="18"/>
        <v>0</v>
      </c>
      <c r="S42" s="114">
        <f t="shared" si="18"/>
        <v>0</v>
      </c>
      <c r="T42" s="114">
        <f t="shared" si="18"/>
        <v>0</v>
      </c>
      <c r="U42" s="114">
        <f t="shared" si="18"/>
        <v>0</v>
      </c>
      <c r="V42" s="114">
        <f t="shared" si="18"/>
        <v>0</v>
      </c>
      <c r="W42" s="114">
        <f t="shared" si="18"/>
        <v>0</v>
      </c>
      <c r="X42" s="114">
        <f t="shared" si="18"/>
        <v>0</v>
      </c>
      <c r="Y42" s="114">
        <f t="shared" si="18"/>
        <v>0</v>
      </c>
      <c r="Z42" s="114">
        <f t="shared" si="18"/>
        <v>0</v>
      </c>
      <c r="AA42" s="114">
        <f t="shared" si="18"/>
        <v>0</v>
      </c>
      <c r="AB42" s="114">
        <f t="shared" si="18"/>
        <v>0</v>
      </c>
      <c r="AC42" s="114">
        <f t="shared" si="18"/>
        <v>0</v>
      </c>
      <c r="AD42" s="114">
        <f t="shared" si="18"/>
        <v>0</v>
      </c>
      <c r="AE42" s="114">
        <f t="shared" si="18"/>
        <v>0</v>
      </c>
      <c r="AF42" s="114">
        <f t="shared" si="18"/>
        <v>0</v>
      </c>
      <c r="AG42" s="138"/>
    </row>
    <row r="43" ht="15" spans="2:33">
      <c r="B43" s="103">
        <v>3</v>
      </c>
      <c r="C43" s="104" t="s">
        <v>511</v>
      </c>
      <c r="D43" s="105"/>
      <c r="E43" s="105"/>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c r="AD43" s="106"/>
      <c r="AE43" s="106"/>
      <c r="AF43" s="106"/>
      <c r="AG43" s="136"/>
    </row>
    <row r="44" ht="15" spans="2:33">
      <c r="B44" s="107"/>
      <c r="C44" s="108" t="s">
        <v>993</v>
      </c>
      <c r="D44" s="109"/>
      <c r="E44" s="109" t="s">
        <v>24</v>
      </c>
      <c r="F44" s="110"/>
      <c r="G44" s="110"/>
      <c r="H44" s="110"/>
      <c r="I44" s="110"/>
      <c r="J44" s="110">
        <f t="shared" ref="J44:AF44" si="19">I46</f>
        <v>0</v>
      </c>
      <c r="K44" s="110">
        <f t="shared" si="19"/>
        <v>0</v>
      </c>
      <c r="L44" s="110">
        <f t="shared" si="19"/>
        <v>0</v>
      </c>
      <c r="M44" s="110">
        <f t="shared" si="19"/>
        <v>0</v>
      </c>
      <c r="N44" s="110">
        <f t="shared" si="19"/>
        <v>0</v>
      </c>
      <c r="O44" s="110">
        <f t="shared" si="19"/>
        <v>0</v>
      </c>
      <c r="P44" s="110">
        <f t="shared" si="19"/>
        <v>0</v>
      </c>
      <c r="Q44" s="110">
        <f t="shared" si="19"/>
        <v>0</v>
      </c>
      <c r="R44" s="110">
        <f t="shared" si="19"/>
        <v>0</v>
      </c>
      <c r="S44" s="110">
        <f t="shared" si="19"/>
        <v>0</v>
      </c>
      <c r="T44" s="110">
        <f t="shared" si="19"/>
        <v>0</v>
      </c>
      <c r="U44" s="110">
        <f t="shared" si="19"/>
        <v>0</v>
      </c>
      <c r="V44" s="110">
        <f t="shared" si="19"/>
        <v>0</v>
      </c>
      <c r="W44" s="110">
        <f t="shared" si="19"/>
        <v>0</v>
      </c>
      <c r="X44" s="110">
        <f t="shared" si="19"/>
        <v>0</v>
      </c>
      <c r="Y44" s="110">
        <f t="shared" si="19"/>
        <v>0</v>
      </c>
      <c r="Z44" s="110">
        <f t="shared" si="19"/>
        <v>0</v>
      </c>
      <c r="AA44" s="110">
        <f t="shared" si="19"/>
        <v>0</v>
      </c>
      <c r="AB44" s="110">
        <f t="shared" si="19"/>
        <v>0</v>
      </c>
      <c r="AC44" s="110">
        <f t="shared" si="19"/>
        <v>0</v>
      </c>
      <c r="AD44" s="110">
        <f t="shared" si="19"/>
        <v>0</v>
      </c>
      <c r="AE44" s="110">
        <f t="shared" si="19"/>
        <v>0</v>
      </c>
      <c r="AF44" s="110">
        <f t="shared" si="19"/>
        <v>0</v>
      </c>
      <c r="AG44" s="137"/>
    </row>
    <row r="45" ht="15" spans="2:33">
      <c r="B45" s="107"/>
      <c r="C45" s="108" t="s">
        <v>994</v>
      </c>
      <c r="D45" s="109">
        <f>SUM(J45:AF45)</f>
        <v>0</v>
      </c>
      <c r="E45" s="109" t="s">
        <v>24</v>
      </c>
      <c r="F45" s="110"/>
      <c r="G45" s="110"/>
      <c r="H45" s="110"/>
      <c r="I45" s="110"/>
      <c r="J45" s="128"/>
      <c r="K45" s="128"/>
      <c r="L45" s="128"/>
      <c r="M45" s="128"/>
      <c r="N45" s="128"/>
      <c r="O45" s="128"/>
      <c r="P45" s="128"/>
      <c r="Q45" s="128"/>
      <c r="R45" s="128"/>
      <c r="S45" s="128"/>
      <c r="T45" s="128"/>
      <c r="U45" s="128"/>
      <c r="V45" s="128"/>
      <c r="W45" s="128"/>
      <c r="X45" s="128"/>
      <c r="Y45" s="128"/>
      <c r="Z45" s="128"/>
      <c r="AA45" s="128"/>
      <c r="AB45" s="128"/>
      <c r="AC45" s="128"/>
      <c r="AD45" s="128"/>
      <c r="AE45" s="128"/>
      <c r="AF45" s="128"/>
      <c r="AG45" s="137"/>
    </row>
    <row r="46" ht="15.75" spans="2:33">
      <c r="B46" s="111"/>
      <c r="C46" s="112" t="s">
        <v>995</v>
      </c>
      <c r="D46" s="113"/>
      <c r="E46" s="109" t="s">
        <v>24</v>
      </c>
      <c r="F46" s="114"/>
      <c r="G46" s="114"/>
      <c r="H46" s="114"/>
      <c r="I46" s="129">
        <f>'表10-资产负债表(标准格式)'!$H$67-折现率、非经营、长投计算表!$E$45</f>
        <v>0</v>
      </c>
      <c r="J46" s="114">
        <f t="shared" ref="J46:AF46" si="20">J44-J45</f>
        <v>0</v>
      </c>
      <c r="K46" s="114">
        <f t="shared" si="20"/>
        <v>0</v>
      </c>
      <c r="L46" s="114">
        <f t="shared" si="20"/>
        <v>0</v>
      </c>
      <c r="M46" s="114">
        <f t="shared" si="20"/>
        <v>0</v>
      </c>
      <c r="N46" s="114">
        <f t="shared" si="20"/>
        <v>0</v>
      </c>
      <c r="O46" s="114">
        <f t="shared" si="20"/>
        <v>0</v>
      </c>
      <c r="P46" s="114">
        <f t="shared" si="20"/>
        <v>0</v>
      </c>
      <c r="Q46" s="114">
        <f t="shared" si="20"/>
        <v>0</v>
      </c>
      <c r="R46" s="114">
        <f t="shared" si="20"/>
        <v>0</v>
      </c>
      <c r="S46" s="114">
        <f t="shared" si="20"/>
        <v>0</v>
      </c>
      <c r="T46" s="114">
        <f t="shared" si="20"/>
        <v>0</v>
      </c>
      <c r="U46" s="114">
        <f t="shared" si="20"/>
        <v>0</v>
      </c>
      <c r="V46" s="114">
        <f t="shared" si="20"/>
        <v>0</v>
      </c>
      <c r="W46" s="114">
        <f t="shared" si="20"/>
        <v>0</v>
      </c>
      <c r="X46" s="114">
        <f t="shared" si="20"/>
        <v>0</v>
      </c>
      <c r="Y46" s="114">
        <f t="shared" si="20"/>
        <v>0</v>
      </c>
      <c r="Z46" s="114">
        <f t="shared" si="20"/>
        <v>0</v>
      </c>
      <c r="AA46" s="114">
        <f t="shared" si="20"/>
        <v>0</v>
      </c>
      <c r="AB46" s="114">
        <f t="shared" si="20"/>
        <v>0</v>
      </c>
      <c r="AC46" s="114">
        <f t="shared" si="20"/>
        <v>0</v>
      </c>
      <c r="AD46" s="114">
        <f t="shared" si="20"/>
        <v>0</v>
      </c>
      <c r="AE46" s="114">
        <f t="shared" si="20"/>
        <v>0</v>
      </c>
      <c r="AF46" s="114">
        <f t="shared" si="20"/>
        <v>0</v>
      </c>
      <c r="AG46" s="138"/>
    </row>
    <row r="47" ht="15" spans="2:33">
      <c r="B47" s="103">
        <v>4</v>
      </c>
      <c r="C47" s="104" t="s">
        <v>512</v>
      </c>
      <c r="D47" s="105"/>
      <c r="E47" s="105"/>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c r="AD47" s="106"/>
      <c r="AE47" s="106"/>
      <c r="AF47" s="106"/>
      <c r="AG47" s="136"/>
    </row>
    <row r="48" ht="15" spans="2:33">
      <c r="B48" s="107"/>
      <c r="C48" s="108" t="s">
        <v>993</v>
      </c>
      <c r="D48" s="109"/>
      <c r="E48" s="109" t="s">
        <v>24</v>
      </c>
      <c r="F48" s="110"/>
      <c r="G48" s="110"/>
      <c r="H48" s="110"/>
      <c r="I48" s="110"/>
      <c r="J48" s="110">
        <f t="shared" ref="J48:AF48" si="21">I50</f>
        <v>0.616196</v>
      </c>
      <c r="K48" s="110">
        <f t="shared" si="21"/>
        <v>0</v>
      </c>
      <c r="L48" s="110">
        <f t="shared" si="21"/>
        <v>0</v>
      </c>
      <c r="M48" s="110">
        <f t="shared" si="21"/>
        <v>0</v>
      </c>
      <c r="N48" s="110">
        <f t="shared" si="21"/>
        <v>0</v>
      </c>
      <c r="O48" s="110">
        <f t="shared" si="21"/>
        <v>0</v>
      </c>
      <c r="P48" s="110">
        <f t="shared" si="21"/>
        <v>0</v>
      </c>
      <c r="Q48" s="110">
        <f t="shared" si="21"/>
        <v>0</v>
      </c>
      <c r="R48" s="110">
        <f t="shared" si="21"/>
        <v>0</v>
      </c>
      <c r="S48" s="110">
        <f t="shared" si="21"/>
        <v>0</v>
      </c>
      <c r="T48" s="110">
        <f t="shared" si="21"/>
        <v>0</v>
      </c>
      <c r="U48" s="110">
        <f t="shared" si="21"/>
        <v>0</v>
      </c>
      <c r="V48" s="110">
        <f t="shared" si="21"/>
        <v>0</v>
      </c>
      <c r="W48" s="110">
        <f t="shared" si="21"/>
        <v>0</v>
      </c>
      <c r="X48" s="110">
        <f t="shared" si="21"/>
        <v>0</v>
      </c>
      <c r="Y48" s="110">
        <f t="shared" si="21"/>
        <v>0</v>
      </c>
      <c r="Z48" s="110">
        <f t="shared" si="21"/>
        <v>0</v>
      </c>
      <c r="AA48" s="110">
        <f t="shared" si="21"/>
        <v>0</v>
      </c>
      <c r="AB48" s="110">
        <f t="shared" si="21"/>
        <v>0</v>
      </c>
      <c r="AC48" s="110">
        <f t="shared" si="21"/>
        <v>0</v>
      </c>
      <c r="AD48" s="110">
        <f t="shared" si="21"/>
        <v>0</v>
      </c>
      <c r="AE48" s="110">
        <f t="shared" si="21"/>
        <v>0</v>
      </c>
      <c r="AF48" s="110">
        <f t="shared" si="21"/>
        <v>0</v>
      </c>
      <c r="AG48" s="137"/>
    </row>
    <row r="49" ht="15" spans="2:33">
      <c r="B49" s="107"/>
      <c r="C49" s="108" t="s">
        <v>994</v>
      </c>
      <c r="D49" s="109">
        <f>SUM(J49:AF49)</f>
        <v>0.616196</v>
      </c>
      <c r="E49" s="109" t="s">
        <v>24</v>
      </c>
      <c r="F49" s="110"/>
      <c r="G49" s="110"/>
      <c r="H49" s="110"/>
      <c r="I49" s="110"/>
      <c r="J49" s="128">
        <v>0.616196</v>
      </c>
      <c r="K49" s="128"/>
      <c r="L49" s="128"/>
      <c r="M49" s="128"/>
      <c r="N49" s="128"/>
      <c r="O49" s="128"/>
      <c r="P49" s="128"/>
      <c r="Q49" s="128"/>
      <c r="R49" s="128"/>
      <c r="S49" s="128"/>
      <c r="T49" s="128"/>
      <c r="U49" s="128"/>
      <c r="V49" s="128"/>
      <c r="W49" s="128"/>
      <c r="X49" s="128"/>
      <c r="Y49" s="128"/>
      <c r="Z49" s="128"/>
      <c r="AA49" s="128"/>
      <c r="AB49" s="128"/>
      <c r="AC49" s="128"/>
      <c r="AD49" s="128"/>
      <c r="AE49" s="128"/>
      <c r="AF49" s="128"/>
      <c r="AG49" s="137"/>
    </row>
    <row r="50" ht="15.75" spans="2:33">
      <c r="B50" s="111"/>
      <c r="C50" s="112" t="s">
        <v>995</v>
      </c>
      <c r="D50" s="113"/>
      <c r="E50" s="109" t="s">
        <v>24</v>
      </c>
      <c r="F50" s="114"/>
      <c r="G50" s="114"/>
      <c r="H50" s="114"/>
      <c r="I50" s="129">
        <f>'表10-资产负债表(标准格式)'!$H$73-折现率、非经营、长投计算表!$E$47</f>
        <v>0.616196</v>
      </c>
      <c r="J50" s="114">
        <f t="shared" ref="J50:AF50" si="22">J48-J49</f>
        <v>0</v>
      </c>
      <c r="K50" s="114">
        <f t="shared" si="22"/>
        <v>0</v>
      </c>
      <c r="L50" s="114">
        <f t="shared" si="22"/>
        <v>0</v>
      </c>
      <c r="M50" s="114">
        <f t="shared" si="22"/>
        <v>0</v>
      </c>
      <c r="N50" s="114">
        <f t="shared" si="22"/>
        <v>0</v>
      </c>
      <c r="O50" s="114">
        <f t="shared" si="22"/>
        <v>0</v>
      </c>
      <c r="P50" s="114">
        <f t="shared" si="22"/>
        <v>0</v>
      </c>
      <c r="Q50" s="114">
        <f t="shared" si="22"/>
        <v>0</v>
      </c>
      <c r="R50" s="114">
        <f t="shared" si="22"/>
        <v>0</v>
      </c>
      <c r="S50" s="114">
        <f t="shared" si="22"/>
        <v>0</v>
      </c>
      <c r="T50" s="114">
        <f t="shared" si="22"/>
        <v>0</v>
      </c>
      <c r="U50" s="114">
        <f t="shared" si="22"/>
        <v>0</v>
      </c>
      <c r="V50" s="114">
        <f t="shared" si="22"/>
        <v>0</v>
      </c>
      <c r="W50" s="114">
        <f t="shared" si="22"/>
        <v>0</v>
      </c>
      <c r="X50" s="114">
        <f t="shared" si="22"/>
        <v>0</v>
      </c>
      <c r="Y50" s="114">
        <f t="shared" si="22"/>
        <v>0</v>
      </c>
      <c r="Z50" s="114">
        <f t="shared" si="22"/>
        <v>0</v>
      </c>
      <c r="AA50" s="114">
        <f t="shared" si="22"/>
        <v>0</v>
      </c>
      <c r="AB50" s="114">
        <f t="shared" si="22"/>
        <v>0</v>
      </c>
      <c r="AC50" s="114">
        <f t="shared" si="22"/>
        <v>0</v>
      </c>
      <c r="AD50" s="114">
        <f t="shared" si="22"/>
        <v>0</v>
      </c>
      <c r="AE50" s="114">
        <f t="shared" si="22"/>
        <v>0</v>
      </c>
      <c r="AF50" s="114">
        <f t="shared" si="22"/>
        <v>0</v>
      </c>
      <c r="AG50" s="138"/>
    </row>
    <row r="51" ht="15" spans="2:33">
      <c r="B51" s="103">
        <v>5</v>
      </c>
      <c r="C51" s="104" t="s">
        <v>513</v>
      </c>
      <c r="D51" s="105"/>
      <c r="E51" s="105"/>
      <c r="F51" s="106"/>
      <c r="G51" s="106"/>
      <c r="H51" s="106"/>
      <c r="I51" s="106"/>
      <c r="J51" s="106"/>
      <c r="K51" s="106"/>
      <c r="L51" s="106"/>
      <c r="M51" s="106"/>
      <c r="N51" s="106"/>
      <c r="O51" s="106"/>
      <c r="P51" s="106"/>
      <c r="Q51" s="106"/>
      <c r="R51" s="106"/>
      <c r="S51" s="106"/>
      <c r="T51" s="106"/>
      <c r="U51" s="106"/>
      <c r="V51" s="106"/>
      <c r="W51" s="106"/>
      <c r="X51" s="106"/>
      <c r="Y51" s="106"/>
      <c r="Z51" s="106"/>
      <c r="AA51" s="106"/>
      <c r="AB51" s="106"/>
      <c r="AC51" s="106"/>
      <c r="AD51" s="106"/>
      <c r="AE51" s="106"/>
      <c r="AF51" s="106"/>
      <c r="AG51" s="136"/>
    </row>
    <row r="52" ht="15" spans="2:33">
      <c r="B52" s="107"/>
      <c r="C52" s="108" t="s">
        <v>993</v>
      </c>
      <c r="D52" s="109"/>
      <c r="E52" s="109" t="s">
        <v>24</v>
      </c>
      <c r="F52" s="110"/>
      <c r="G52" s="110"/>
      <c r="H52" s="110"/>
      <c r="I52" s="110"/>
      <c r="J52" s="110">
        <f t="shared" ref="J52:AF52" si="23">I54</f>
        <v>0.950986</v>
      </c>
      <c r="K52" s="110">
        <f t="shared" si="23"/>
        <v>0</v>
      </c>
      <c r="L52" s="110">
        <f t="shared" si="23"/>
        <v>0</v>
      </c>
      <c r="M52" s="110">
        <f t="shared" si="23"/>
        <v>0</v>
      </c>
      <c r="N52" s="110">
        <f t="shared" si="23"/>
        <v>0</v>
      </c>
      <c r="O52" s="110">
        <f t="shared" si="23"/>
        <v>0</v>
      </c>
      <c r="P52" s="110">
        <f t="shared" si="23"/>
        <v>0</v>
      </c>
      <c r="Q52" s="110">
        <f t="shared" si="23"/>
        <v>0</v>
      </c>
      <c r="R52" s="110">
        <f t="shared" si="23"/>
        <v>0</v>
      </c>
      <c r="S52" s="110">
        <f t="shared" si="23"/>
        <v>0</v>
      </c>
      <c r="T52" s="110">
        <f t="shared" si="23"/>
        <v>0</v>
      </c>
      <c r="U52" s="110">
        <f t="shared" si="23"/>
        <v>0</v>
      </c>
      <c r="V52" s="110">
        <f t="shared" si="23"/>
        <v>0</v>
      </c>
      <c r="W52" s="110">
        <f t="shared" si="23"/>
        <v>0</v>
      </c>
      <c r="X52" s="110">
        <f t="shared" si="23"/>
        <v>0</v>
      </c>
      <c r="Y52" s="110">
        <f t="shared" si="23"/>
        <v>0</v>
      </c>
      <c r="Z52" s="110">
        <f t="shared" si="23"/>
        <v>0</v>
      </c>
      <c r="AA52" s="110">
        <f t="shared" si="23"/>
        <v>0</v>
      </c>
      <c r="AB52" s="110">
        <f t="shared" si="23"/>
        <v>0</v>
      </c>
      <c r="AC52" s="110">
        <f t="shared" si="23"/>
        <v>0</v>
      </c>
      <c r="AD52" s="110">
        <f t="shared" si="23"/>
        <v>0</v>
      </c>
      <c r="AE52" s="110">
        <f t="shared" si="23"/>
        <v>0</v>
      </c>
      <c r="AF52" s="110">
        <f t="shared" si="23"/>
        <v>0</v>
      </c>
      <c r="AG52" s="137"/>
    </row>
    <row r="53" ht="15" spans="2:33">
      <c r="B53" s="107"/>
      <c r="C53" s="108" t="s">
        <v>994</v>
      </c>
      <c r="D53" s="109">
        <f>SUM(J53:AF53)</f>
        <v>0.950986</v>
      </c>
      <c r="E53" s="109" t="s">
        <v>24</v>
      </c>
      <c r="F53" s="110"/>
      <c r="G53" s="110"/>
      <c r="H53" s="110"/>
      <c r="I53" s="110"/>
      <c r="J53" s="128">
        <v>0.950986</v>
      </c>
      <c r="K53" s="128"/>
      <c r="L53" s="128"/>
      <c r="M53" s="128"/>
      <c r="N53" s="128"/>
      <c r="O53" s="128"/>
      <c r="P53" s="128"/>
      <c r="Q53" s="128"/>
      <c r="R53" s="128"/>
      <c r="S53" s="128"/>
      <c r="T53" s="128"/>
      <c r="U53" s="128"/>
      <c r="V53" s="128"/>
      <c r="W53" s="128"/>
      <c r="X53" s="128"/>
      <c r="Y53" s="128"/>
      <c r="Z53" s="128"/>
      <c r="AA53" s="128"/>
      <c r="AB53" s="128"/>
      <c r="AC53" s="128"/>
      <c r="AD53" s="128"/>
      <c r="AE53" s="128"/>
      <c r="AF53" s="128"/>
      <c r="AG53" s="137"/>
    </row>
    <row r="54" ht="15.75" spans="2:33">
      <c r="B54" s="111"/>
      <c r="C54" s="112" t="s">
        <v>995</v>
      </c>
      <c r="D54" s="113"/>
      <c r="E54" s="109" t="s">
        <v>24</v>
      </c>
      <c r="F54" s="114"/>
      <c r="G54" s="114"/>
      <c r="H54" s="114"/>
      <c r="I54" s="129">
        <f>'表10-资产负债表(标准格式)'!$H$77-折现率、非经营、长投计算表!$E$48</f>
        <v>0.950986</v>
      </c>
      <c r="J54" s="114">
        <f t="shared" ref="J54:AF54" si="24">J52-J53</f>
        <v>0</v>
      </c>
      <c r="K54" s="114">
        <f t="shared" si="24"/>
        <v>0</v>
      </c>
      <c r="L54" s="114">
        <f t="shared" si="24"/>
        <v>0</v>
      </c>
      <c r="M54" s="114">
        <f t="shared" si="24"/>
        <v>0</v>
      </c>
      <c r="N54" s="114">
        <f t="shared" si="24"/>
        <v>0</v>
      </c>
      <c r="O54" s="114">
        <f t="shared" si="24"/>
        <v>0</v>
      </c>
      <c r="P54" s="114">
        <f t="shared" si="24"/>
        <v>0</v>
      </c>
      <c r="Q54" s="114">
        <f t="shared" si="24"/>
        <v>0</v>
      </c>
      <c r="R54" s="114">
        <f t="shared" si="24"/>
        <v>0</v>
      </c>
      <c r="S54" s="114">
        <f t="shared" si="24"/>
        <v>0</v>
      </c>
      <c r="T54" s="114">
        <f t="shared" si="24"/>
        <v>0</v>
      </c>
      <c r="U54" s="114">
        <f t="shared" si="24"/>
        <v>0</v>
      </c>
      <c r="V54" s="114">
        <f t="shared" si="24"/>
        <v>0</v>
      </c>
      <c r="W54" s="114">
        <f t="shared" si="24"/>
        <v>0</v>
      </c>
      <c r="X54" s="114">
        <f t="shared" si="24"/>
        <v>0</v>
      </c>
      <c r="Y54" s="114">
        <f t="shared" si="24"/>
        <v>0</v>
      </c>
      <c r="Z54" s="114">
        <f t="shared" si="24"/>
        <v>0</v>
      </c>
      <c r="AA54" s="114">
        <f t="shared" si="24"/>
        <v>0</v>
      </c>
      <c r="AB54" s="114">
        <f t="shared" si="24"/>
        <v>0</v>
      </c>
      <c r="AC54" s="114">
        <f t="shared" si="24"/>
        <v>0</v>
      </c>
      <c r="AD54" s="114">
        <f t="shared" si="24"/>
        <v>0</v>
      </c>
      <c r="AE54" s="114">
        <f t="shared" si="24"/>
        <v>0</v>
      </c>
      <c r="AF54" s="114">
        <f t="shared" si="24"/>
        <v>0</v>
      </c>
      <c r="AG54" s="138"/>
    </row>
    <row r="55" ht="15" spans="2:33">
      <c r="B55" s="103">
        <v>6</v>
      </c>
      <c r="C55" s="104" t="s">
        <v>717</v>
      </c>
      <c r="D55" s="105"/>
      <c r="E55" s="105"/>
      <c r="F55" s="106"/>
      <c r="G55" s="106"/>
      <c r="H55" s="106"/>
      <c r="I55" s="106"/>
      <c r="J55" s="106"/>
      <c r="K55" s="106"/>
      <c r="L55" s="106"/>
      <c r="M55" s="106"/>
      <c r="N55" s="106"/>
      <c r="O55" s="106"/>
      <c r="P55" s="106"/>
      <c r="Q55" s="106"/>
      <c r="R55" s="106"/>
      <c r="S55" s="106"/>
      <c r="T55" s="106"/>
      <c r="U55" s="106"/>
      <c r="V55" s="106"/>
      <c r="W55" s="106"/>
      <c r="X55" s="106"/>
      <c r="Y55" s="106"/>
      <c r="Z55" s="106"/>
      <c r="AA55" s="106"/>
      <c r="AB55" s="106"/>
      <c r="AC55" s="106"/>
      <c r="AD55" s="106"/>
      <c r="AE55" s="106"/>
      <c r="AF55" s="106"/>
      <c r="AG55" s="136"/>
    </row>
    <row r="56" ht="15" spans="2:33">
      <c r="B56" s="107"/>
      <c r="C56" s="108" t="s">
        <v>993</v>
      </c>
      <c r="D56" s="109"/>
      <c r="E56" s="109" t="s">
        <v>24</v>
      </c>
      <c r="F56" s="110"/>
      <c r="G56" s="110"/>
      <c r="H56" s="110"/>
      <c r="I56" s="110"/>
      <c r="J56" s="110">
        <f t="shared" ref="J56:AF56" si="25">I58</f>
        <v>84.426828</v>
      </c>
      <c r="K56" s="110">
        <f t="shared" si="25"/>
        <v>64.426828</v>
      </c>
      <c r="L56" s="110">
        <f t="shared" si="25"/>
        <v>44.426828</v>
      </c>
      <c r="M56" s="110">
        <f t="shared" si="25"/>
        <v>24.426828</v>
      </c>
      <c r="N56" s="110">
        <f t="shared" si="25"/>
        <v>0</v>
      </c>
      <c r="O56" s="110">
        <f t="shared" si="25"/>
        <v>0</v>
      </c>
      <c r="P56" s="110">
        <f t="shared" si="25"/>
        <v>0</v>
      </c>
      <c r="Q56" s="110">
        <f t="shared" si="25"/>
        <v>0</v>
      </c>
      <c r="R56" s="110">
        <f t="shared" si="25"/>
        <v>0</v>
      </c>
      <c r="S56" s="110">
        <f t="shared" si="25"/>
        <v>0</v>
      </c>
      <c r="T56" s="110">
        <f t="shared" si="25"/>
        <v>0</v>
      </c>
      <c r="U56" s="110">
        <f t="shared" si="25"/>
        <v>0</v>
      </c>
      <c r="V56" s="110">
        <f t="shared" si="25"/>
        <v>0</v>
      </c>
      <c r="W56" s="110">
        <f t="shared" si="25"/>
        <v>0</v>
      </c>
      <c r="X56" s="110">
        <f t="shared" si="25"/>
        <v>0</v>
      </c>
      <c r="Y56" s="110">
        <f t="shared" si="25"/>
        <v>0</v>
      </c>
      <c r="Z56" s="110">
        <f t="shared" si="25"/>
        <v>0</v>
      </c>
      <c r="AA56" s="110">
        <f t="shared" si="25"/>
        <v>0</v>
      </c>
      <c r="AB56" s="110">
        <f t="shared" si="25"/>
        <v>0</v>
      </c>
      <c r="AC56" s="110">
        <f t="shared" si="25"/>
        <v>0</v>
      </c>
      <c r="AD56" s="110">
        <f t="shared" si="25"/>
        <v>0</v>
      </c>
      <c r="AE56" s="110">
        <f t="shared" si="25"/>
        <v>0</v>
      </c>
      <c r="AF56" s="110">
        <f t="shared" si="25"/>
        <v>0</v>
      </c>
      <c r="AG56" s="137"/>
    </row>
    <row r="57" ht="15" spans="2:33">
      <c r="B57" s="107"/>
      <c r="C57" s="108" t="s">
        <v>994</v>
      </c>
      <c r="D57" s="109">
        <f>SUM(J57:AF57)</f>
        <v>84.426828</v>
      </c>
      <c r="E57" s="109" t="s">
        <v>24</v>
      </c>
      <c r="F57" s="110"/>
      <c r="G57" s="110"/>
      <c r="H57" s="110"/>
      <c r="I57" s="110"/>
      <c r="J57" s="128">
        <v>20</v>
      </c>
      <c r="K57" s="128">
        <v>20</v>
      </c>
      <c r="L57" s="128">
        <v>20</v>
      </c>
      <c r="M57" s="128">
        <v>24.426828</v>
      </c>
      <c r="N57" s="128"/>
      <c r="O57" s="128"/>
      <c r="P57" s="128"/>
      <c r="Q57" s="128"/>
      <c r="R57" s="128"/>
      <c r="S57" s="128"/>
      <c r="T57" s="128"/>
      <c r="U57" s="128"/>
      <c r="V57" s="128"/>
      <c r="W57" s="128"/>
      <c r="X57" s="128"/>
      <c r="Y57" s="128"/>
      <c r="Z57" s="128"/>
      <c r="AA57" s="128"/>
      <c r="AB57" s="128"/>
      <c r="AC57" s="128"/>
      <c r="AD57" s="128"/>
      <c r="AE57" s="128"/>
      <c r="AF57" s="128"/>
      <c r="AG57" s="137"/>
    </row>
    <row r="58" ht="15.75" spans="2:33">
      <c r="B58" s="111"/>
      <c r="C58" s="112" t="s">
        <v>995</v>
      </c>
      <c r="D58" s="113"/>
      <c r="E58" s="109" t="s">
        <v>24</v>
      </c>
      <c r="F58" s="114"/>
      <c r="G58" s="114"/>
      <c r="H58" s="114"/>
      <c r="I58" s="129">
        <f>'表10-资产负债表(标准格式)'!$H$79-折现率、非经营、长投计算表!$E$49</f>
        <v>84.426828</v>
      </c>
      <c r="J58" s="114">
        <f t="shared" ref="J58:AF58" si="26">J56-J57</f>
        <v>64.426828</v>
      </c>
      <c r="K58" s="114">
        <f t="shared" si="26"/>
        <v>44.426828</v>
      </c>
      <c r="L58" s="114">
        <f t="shared" si="26"/>
        <v>24.426828</v>
      </c>
      <c r="M58" s="114">
        <f t="shared" si="26"/>
        <v>0</v>
      </c>
      <c r="N58" s="114">
        <f t="shared" si="26"/>
        <v>0</v>
      </c>
      <c r="O58" s="114">
        <f t="shared" si="26"/>
        <v>0</v>
      </c>
      <c r="P58" s="114">
        <f t="shared" si="26"/>
        <v>0</v>
      </c>
      <c r="Q58" s="114">
        <f t="shared" si="26"/>
        <v>0</v>
      </c>
      <c r="R58" s="114">
        <f t="shared" si="26"/>
        <v>0</v>
      </c>
      <c r="S58" s="114">
        <f t="shared" si="26"/>
        <v>0</v>
      </c>
      <c r="T58" s="114">
        <f t="shared" si="26"/>
        <v>0</v>
      </c>
      <c r="U58" s="114">
        <f t="shared" si="26"/>
        <v>0</v>
      </c>
      <c r="V58" s="114">
        <f t="shared" si="26"/>
        <v>0</v>
      </c>
      <c r="W58" s="114">
        <f t="shared" si="26"/>
        <v>0</v>
      </c>
      <c r="X58" s="114">
        <f t="shared" si="26"/>
        <v>0</v>
      </c>
      <c r="Y58" s="114">
        <f t="shared" si="26"/>
        <v>0</v>
      </c>
      <c r="Z58" s="114">
        <f t="shared" si="26"/>
        <v>0</v>
      </c>
      <c r="AA58" s="114">
        <f t="shared" si="26"/>
        <v>0</v>
      </c>
      <c r="AB58" s="114">
        <f t="shared" si="26"/>
        <v>0</v>
      </c>
      <c r="AC58" s="114">
        <f t="shared" si="26"/>
        <v>0</v>
      </c>
      <c r="AD58" s="114">
        <f t="shared" si="26"/>
        <v>0</v>
      </c>
      <c r="AE58" s="114">
        <f t="shared" si="26"/>
        <v>0</v>
      </c>
      <c r="AF58" s="114">
        <f t="shared" si="26"/>
        <v>0</v>
      </c>
      <c r="AG58" s="138"/>
    </row>
    <row r="59" ht="15" spans="2:33">
      <c r="B59" s="103">
        <v>7</v>
      </c>
      <c r="C59" s="104" t="s">
        <v>1000</v>
      </c>
      <c r="D59" s="105"/>
      <c r="E59" s="105"/>
      <c r="F59" s="106"/>
      <c r="G59" s="106"/>
      <c r="H59" s="106"/>
      <c r="I59" s="106"/>
      <c r="J59" s="106"/>
      <c r="K59" s="106"/>
      <c r="L59" s="106"/>
      <c r="M59" s="106"/>
      <c r="N59" s="106"/>
      <c r="O59" s="106"/>
      <c r="P59" s="106"/>
      <c r="Q59" s="106"/>
      <c r="R59" s="106"/>
      <c r="S59" s="106"/>
      <c r="T59" s="106"/>
      <c r="U59" s="106"/>
      <c r="V59" s="106"/>
      <c r="W59" s="106"/>
      <c r="X59" s="106"/>
      <c r="Y59" s="106"/>
      <c r="Z59" s="106"/>
      <c r="AA59" s="106"/>
      <c r="AB59" s="106"/>
      <c r="AC59" s="106"/>
      <c r="AD59" s="106"/>
      <c r="AE59" s="106"/>
      <c r="AF59" s="106"/>
      <c r="AG59" s="136"/>
    </row>
    <row r="60" ht="15" spans="2:33">
      <c r="B60" s="107"/>
      <c r="C60" s="108" t="s">
        <v>993</v>
      </c>
      <c r="D60" s="109"/>
      <c r="E60" s="109" t="s">
        <v>24</v>
      </c>
      <c r="F60" s="110"/>
      <c r="G60" s="110"/>
      <c r="H60" s="110"/>
      <c r="I60" s="110"/>
      <c r="J60" s="110">
        <f t="shared" ref="J60:AF60" si="27">I62</f>
        <v>0</v>
      </c>
      <c r="K60" s="110">
        <f t="shared" si="27"/>
        <v>0</v>
      </c>
      <c r="L60" s="110">
        <f t="shared" si="27"/>
        <v>0</v>
      </c>
      <c r="M60" s="110">
        <f t="shared" si="27"/>
        <v>0</v>
      </c>
      <c r="N60" s="110">
        <f t="shared" si="27"/>
        <v>0</v>
      </c>
      <c r="O60" s="110">
        <f t="shared" si="27"/>
        <v>0</v>
      </c>
      <c r="P60" s="110">
        <f t="shared" si="27"/>
        <v>0</v>
      </c>
      <c r="Q60" s="110">
        <f t="shared" si="27"/>
        <v>0</v>
      </c>
      <c r="R60" s="110">
        <f t="shared" si="27"/>
        <v>0</v>
      </c>
      <c r="S60" s="110">
        <f t="shared" si="27"/>
        <v>0</v>
      </c>
      <c r="T60" s="110">
        <f t="shared" si="27"/>
        <v>0</v>
      </c>
      <c r="U60" s="110">
        <f t="shared" si="27"/>
        <v>0</v>
      </c>
      <c r="V60" s="110">
        <f t="shared" si="27"/>
        <v>0</v>
      </c>
      <c r="W60" s="110">
        <f t="shared" si="27"/>
        <v>0</v>
      </c>
      <c r="X60" s="110">
        <f t="shared" si="27"/>
        <v>0</v>
      </c>
      <c r="Y60" s="110">
        <f t="shared" si="27"/>
        <v>0</v>
      </c>
      <c r="Z60" s="110">
        <f t="shared" si="27"/>
        <v>0</v>
      </c>
      <c r="AA60" s="110">
        <f t="shared" si="27"/>
        <v>0</v>
      </c>
      <c r="AB60" s="110">
        <f t="shared" si="27"/>
        <v>0</v>
      </c>
      <c r="AC60" s="110">
        <f t="shared" si="27"/>
        <v>0</v>
      </c>
      <c r="AD60" s="110">
        <f t="shared" si="27"/>
        <v>0</v>
      </c>
      <c r="AE60" s="110">
        <f t="shared" si="27"/>
        <v>0</v>
      </c>
      <c r="AF60" s="110">
        <f t="shared" si="27"/>
        <v>0</v>
      </c>
      <c r="AG60" s="137"/>
    </row>
    <row r="61" ht="15" spans="2:33">
      <c r="B61" s="107"/>
      <c r="C61" s="108" t="s">
        <v>994</v>
      </c>
      <c r="D61" s="109">
        <f>SUM(J61:AF61)</f>
        <v>0</v>
      </c>
      <c r="E61" s="109" t="s">
        <v>24</v>
      </c>
      <c r="F61" s="110"/>
      <c r="G61" s="110"/>
      <c r="H61" s="110"/>
      <c r="I61" s="110"/>
      <c r="J61" s="128"/>
      <c r="K61" s="128"/>
      <c r="L61" s="128"/>
      <c r="M61" s="128"/>
      <c r="N61" s="128"/>
      <c r="O61" s="128"/>
      <c r="P61" s="128"/>
      <c r="Q61" s="128"/>
      <c r="R61" s="128"/>
      <c r="S61" s="128"/>
      <c r="T61" s="128"/>
      <c r="U61" s="128"/>
      <c r="V61" s="128"/>
      <c r="W61" s="128"/>
      <c r="X61" s="128"/>
      <c r="Y61" s="128"/>
      <c r="Z61" s="128"/>
      <c r="AA61" s="128"/>
      <c r="AB61" s="128"/>
      <c r="AC61" s="128"/>
      <c r="AD61" s="128"/>
      <c r="AE61" s="128"/>
      <c r="AF61" s="128"/>
      <c r="AG61" s="137"/>
    </row>
    <row r="62" ht="15.75" spans="2:33">
      <c r="B62" s="111"/>
      <c r="C62" s="112" t="s">
        <v>995</v>
      </c>
      <c r="D62" s="113"/>
      <c r="E62" s="109" t="s">
        <v>24</v>
      </c>
      <c r="F62" s="114"/>
      <c r="G62" s="114"/>
      <c r="H62" s="114"/>
      <c r="I62" s="129">
        <f>'表10-资产负债表(标准格式)'!$H$93-折现率、非经营、长投计算表!$E$53</f>
        <v>0</v>
      </c>
      <c r="J62" s="114">
        <f t="shared" ref="J62:AF62" si="28">J60-J61</f>
        <v>0</v>
      </c>
      <c r="K62" s="114">
        <f t="shared" si="28"/>
        <v>0</v>
      </c>
      <c r="L62" s="114">
        <f t="shared" si="28"/>
        <v>0</v>
      </c>
      <c r="M62" s="114">
        <f t="shared" si="28"/>
        <v>0</v>
      </c>
      <c r="N62" s="114">
        <f t="shared" si="28"/>
        <v>0</v>
      </c>
      <c r="O62" s="114">
        <f t="shared" si="28"/>
        <v>0</v>
      </c>
      <c r="P62" s="114">
        <f t="shared" si="28"/>
        <v>0</v>
      </c>
      <c r="Q62" s="114">
        <f t="shared" si="28"/>
        <v>0</v>
      </c>
      <c r="R62" s="114">
        <f t="shared" si="28"/>
        <v>0</v>
      </c>
      <c r="S62" s="114">
        <f t="shared" si="28"/>
        <v>0</v>
      </c>
      <c r="T62" s="114">
        <f t="shared" si="28"/>
        <v>0</v>
      </c>
      <c r="U62" s="114">
        <f t="shared" si="28"/>
        <v>0</v>
      </c>
      <c r="V62" s="114">
        <f t="shared" si="28"/>
        <v>0</v>
      </c>
      <c r="W62" s="114">
        <f t="shared" si="28"/>
        <v>0</v>
      </c>
      <c r="X62" s="114">
        <f t="shared" si="28"/>
        <v>0</v>
      </c>
      <c r="Y62" s="114">
        <f t="shared" si="28"/>
        <v>0</v>
      </c>
      <c r="Z62" s="114">
        <f t="shared" si="28"/>
        <v>0</v>
      </c>
      <c r="AA62" s="114">
        <f t="shared" si="28"/>
        <v>0</v>
      </c>
      <c r="AB62" s="114">
        <f t="shared" si="28"/>
        <v>0</v>
      </c>
      <c r="AC62" s="114">
        <f t="shared" si="28"/>
        <v>0</v>
      </c>
      <c r="AD62" s="114">
        <f t="shared" si="28"/>
        <v>0</v>
      </c>
      <c r="AE62" s="114">
        <f t="shared" si="28"/>
        <v>0</v>
      </c>
      <c r="AF62" s="114">
        <f t="shared" si="28"/>
        <v>0</v>
      </c>
      <c r="AG62" s="138"/>
    </row>
    <row r="63" ht="15" spans="2:33">
      <c r="B63" s="103">
        <v>8</v>
      </c>
      <c r="C63" s="115" t="s">
        <v>718</v>
      </c>
      <c r="D63" s="105"/>
      <c r="E63" s="105"/>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c r="AD63" s="106"/>
      <c r="AE63" s="106"/>
      <c r="AF63" s="106"/>
      <c r="AG63" s="136"/>
    </row>
    <row r="64" ht="15" spans="2:33">
      <c r="B64" s="107"/>
      <c r="C64" s="116" t="s">
        <v>993</v>
      </c>
      <c r="D64" s="109"/>
      <c r="E64" s="109" t="s">
        <v>24</v>
      </c>
      <c r="F64" s="110"/>
      <c r="G64" s="110"/>
      <c r="H64" s="110"/>
      <c r="I64" s="110"/>
      <c r="J64" s="110">
        <f t="shared" ref="J64:AF64" si="29">I66</f>
        <v>0</v>
      </c>
      <c r="K64" s="110">
        <f t="shared" si="29"/>
        <v>0</v>
      </c>
      <c r="L64" s="110">
        <f t="shared" si="29"/>
        <v>0</v>
      </c>
      <c r="M64" s="110">
        <f t="shared" si="29"/>
        <v>0</v>
      </c>
      <c r="N64" s="110">
        <f t="shared" si="29"/>
        <v>0</v>
      </c>
      <c r="O64" s="110">
        <f t="shared" si="29"/>
        <v>0</v>
      </c>
      <c r="P64" s="110">
        <f t="shared" si="29"/>
        <v>0</v>
      </c>
      <c r="Q64" s="110">
        <f t="shared" si="29"/>
        <v>0</v>
      </c>
      <c r="R64" s="110">
        <f t="shared" si="29"/>
        <v>0</v>
      </c>
      <c r="S64" s="110">
        <f t="shared" si="29"/>
        <v>0</v>
      </c>
      <c r="T64" s="110">
        <f t="shared" si="29"/>
        <v>0</v>
      </c>
      <c r="U64" s="110">
        <f t="shared" si="29"/>
        <v>0</v>
      </c>
      <c r="V64" s="110">
        <f t="shared" si="29"/>
        <v>0</v>
      </c>
      <c r="W64" s="110">
        <f t="shared" si="29"/>
        <v>0</v>
      </c>
      <c r="X64" s="110">
        <f t="shared" si="29"/>
        <v>0</v>
      </c>
      <c r="Y64" s="110">
        <f t="shared" si="29"/>
        <v>0</v>
      </c>
      <c r="Z64" s="110">
        <f t="shared" si="29"/>
        <v>0</v>
      </c>
      <c r="AA64" s="110">
        <f t="shared" si="29"/>
        <v>0</v>
      </c>
      <c r="AB64" s="110">
        <f t="shared" si="29"/>
        <v>0</v>
      </c>
      <c r="AC64" s="110">
        <f t="shared" si="29"/>
        <v>0</v>
      </c>
      <c r="AD64" s="110">
        <f t="shared" si="29"/>
        <v>0</v>
      </c>
      <c r="AE64" s="110">
        <f t="shared" si="29"/>
        <v>0</v>
      </c>
      <c r="AF64" s="110">
        <f t="shared" si="29"/>
        <v>0</v>
      </c>
      <c r="AG64" s="137"/>
    </row>
    <row r="65" ht="15" spans="2:33">
      <c r="B65" s="107"/>
      <c r="C65" s="116" t="s">
        <v>994</v>
      </c>
      <c r="D65" s="109">
        <f>SUM(J65:AF65)</f>
        <v>0</v>
      </c>
      <c r="E65" s="109" t="s">
        <v>24</v>
      </c>
      <c r="F65" s="110"/>
      <c r="G65" s="110"/>
      <c r="H65" s="110"/>
      <c r="I65" s="110"/>
      <c r="J65" s="128"/>
      <c r="K65" s="128"/>
      <c r="L65" s="128"/>
      <c r="M65" s="128"/>
      <c r="N65" s="128"/>
      <c r="O65" s="128"/>
      <c r="P65" s="128"/>
      <c r="Q65" s="128"/>
      <c r="R65" s="128"/>
      <c r="S65" s="128"/>
      <c r="T65" s="128"/>
      <c r="U65" s="128"/>
      <c r="V65" s="128"/>
      <c r="W65" s="128"/>
      <c r="X65" s="128"/>
      <c r="Y65" s="128"/>
      <c r="Z65" s="128"/>
      <c r="AA65" s="128"/>
      <c r="AB65" s="128"/>
      <c r="AC65" s="128"/>
      <c r="AD65" s="128"/>
      <c r="AE65" s="128"/>
      <c r="AF65" s="128"/>
      <c r="AG65" s="137"/>
    </row>
    <row r="66" ht="15.75" spans="2:33">
      <c r="B66" s="111"/>
      <c r="C66" s="117" t="s">
        <v>995</v>
      </c>
      <c r="D66" s="113"/>
      <c r="E66" s="109" t="s">
        <v>24</v>
      </c>
      <c r="F66" s="114"/>
      <c r="G66" s="114"/>
      <c r="H66" s="114"/>
      <c r="I66" s="129">
        <f>'表10-资产负债表(标准格式)'!$H$68-折现率、非经营、长投计算表!$E$46</f>
        <v>0</v>
      </c>
      <c r="J66" s="114">
        <f t="shared" ref="J66:AF66" si="30">J64-J65</f>
        <v>0</v>
      </c>
      <c r="K66" s="114">
        <f t="shared" si="30"/>
        <v>0</v>
      </c>
      <c r="L66" s="114">
        <f t="shared" si="30"/>
        <v>0</v>
      </c>
      <c r="M66" s="114">
        <f t="shared" si="30"/>
        <v>0</v>
      </c>
      <c r="N66" s="114">
        <f t="shared" si="30"/>
        <v>0</v>
      </c>
      <c r="O66" s="114">
        <f t="shared" si="30"/>
        <v>0</v>
      </c>
      <c r="P66" s="114">
        <f t="shared" si="30"/>
        <v>0</v>
      </c>
      <c r="Q66" s="114">
        <f t="shared" si="30"/>
        <v>0</v>
      </c>
      <c r="R66" s="114">
        <f t="shared" si="30"/>
        <v>0</v>
      </c>
      <c r="S66" s="114">
        <f t="shared" si="30"/>
        <v>0</v>
      </c>
      <c r="T66" s="114">
        <f t="shared" si="30"/>
        <v>0</v>
      </c>
      <c r="U66" s="114">
        <f t="shared" si="30"/>
        <v>0</v>
      </c>
      <c r="V66" s="114">
        <f t="shared" si="30"/>
        <v>0</v>
      </c>
      <c r="W66" s="114">
        <f t="shared" si="30"/>
        <v>0</v>
      </c>
      <c r="X66" s="114">
        <f t="shared" si="30"/>
        <v>0</v>
      </c>
      <c r="Y66" s="114">
        <f t="shared" si="30"/>
        <v>0</v>
      </c>
      <c r="Z66" s="114">
        <f t="shared" si="30"/>
        <v>0</v>
      </c>
      <c r="AA66" s="114">
        <f t="shared" si="30"/>
        <v>0</v>
      </c>
      <c r="AB66" s="114">
        <f t="shared" si="30"/>
        <v>0</v>
      </c>
      <c r="AC66" s="114">
        <f t="shared" si="30"/>
        <v>0</v>
      </c>
      <c r="AD66" s="114">
        <f t="shared" si="30"/>
        <v>0</v>
      </c>
      <c r="AE66" s="114">
        <f t="shared" si="30"/>
        <v>0</v>
      </c>
      <c r="AF66" s="114">
        <f t="shared" si="30"/>
        <v>0</v>
      </c>
      <c r="AG66" s="138"/>
    </row>
    <row r="67" ht="28.95" customHeight="1" spans="2:33">
      <c r="B67" s="118" t="s">
        <v>1001</v>
      </c>
      <c r="C67" s="119"/>
      <c r="D67" s="140"/>
      <c r="E67" s="120"/>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106"/>
      <c r="AF67" s="106"/>
      <c r="AG67" s="136"/>
    </row>
    <row r="68" ht="15" spans="2:33">
      <c r="B68" s="107"/>
      <c r="C68" s="108" t="s">
        <v>993</v>
      </c>
      <c r="D68" s="109"/>
      <c r="E68" s="109" t="s">
        <v>24</v>
      </c>
      <c r="F68" s="110"/>
      <c r="G68" s="110"/>
      <c r="H68" s="110"/>
      <c r="I68" s="130"/>
      <c r="J68" s="110">
        <f t="shared" ref="J68:AF68" si="31">I70</f>
        <v>318.312234</v>
      </c>
      <c r="K68" s="110">
        <f t="shared" si="31"/>
        <v>196.745052</v>
      </c>
      <c r="L68" s="110">
        <f t="shared" si="31"/>
        <v>44.426828</v>
      </c>
      <c r="M68" s="110">
        <f t="shared" si="31"/>
        <v>24.426828</v>
      </c>
      <c r="N68" s="110">
        <f t="shared" si="31"/>
        <v>0</v>
      </c>
      <c r="O68" s="110">
        <f t="shared" si="31"/>
        <v>0</v>
      </c>
      <c r="P68" s="110">
        <f t="shared" si="31"/>
        <v>0</v>
      </c>
      <c r="Q68" s="110">
        <f t="shared" si="31"/>
        <v>0</v>
      </c>
      <c r="R68" s="110">
        <f t="shared" si="31"/>
        <v>0</v>
      </c>
      <c r="S68" s="110">
        <f t="shared" si="31"/>
        <v>0</v>
      </c>
      <c r="T68" s="110">
        <f t="shared" si="31"/>
        <v>0</v>
      </c>
      <c r="U68" s="110">
        <f t="shared" si="31"/>
        <v>0</v>
      </c>
      <c r="V68" s="110">
        <f t="shared" si="31"/>
        <v>0</v>
      </c>
      <c r="W68" s="110">
        <f t="shared" si="31"/>
        <v>0</v>
      </c>
      <c r="X68" s="110">
        <f t="shared" si="31"/>
        <v>0</v>
      </c>
      <c r="Y68" s="110">
        <f t="shared" si="31"/>
        <v>0</v>
      </c>
      <c r="Z68" s="110">
        <f t="shared" si="31"/>
        <v>0</v>
      </c>
      <c r="AA68" s="110">
        <f t="shared" si="31"/>
        <v>0</v>
      </c>
      <c r="AB68" s="110">
        <f t="shared" si="31"/>
        <v>0</v>
      </c>
      <c r="AC68" s="110">
        <f t="shared" si="31"/>
        <v>0</v>
      </c>
      <c r="AD68" s="110">
        <f t="shared" si="31"/>
        <v>0</v>
      </c>
      <c r="AE68" s="110">
        <f t="shared" si="31"/>
        <v>0</v>
      </c>
      <c r="AF68" s="110">
        <f t="shared" si="31"/>
        <v>0</v>
      </c>
      <c r="AG68" s="137"/>
    </row>
    <row r="69" ht="15" spans="2:33">
      <c r="B69" s="107"/>
      <c r="C69" s="108" t="s">
        <v>994</v>
      </c>
      <c r="D69" s="109">
        <f>SUM(J69:AF69)</f>
        <v>318.312234</v>
      </c>
      <c r="E69" s="109" t="s">
        <v>24</v>
      </c>
      <c r="F69" s="110"/>
      <c r="G69" s="110"/>
      <c r="H69" s="110"/>
      <c r="I69" s="130"/>
      <c r="J69" s="131">
        <f>J37+J41+J45+J49+J53+J57+J61+J65</f>
        <v>121.567182</v>
      </c>
      <c r="K69" s="131">
        <f t="shared" ref="K69:AF69" si="32">K37+K41+K45+K49+K53+K57+K61+K65</f>
        <v>152.318224</v>
      </c>
      <c r="L69" s="131">
        <f t="shared" si="32"/>
        <v>20</v>
      </c>
      <c r="M69" s="131">
        <f t="shared" si="32"/>
        <v>24.426828</v>
      </c>
      <c r="N69" s="131">
        <f t="shared" si="32"/>
        <v>0</v>
      </c>
      <c r="O69" s="131">
        <f t="shared" si="32"/>
        <v>0</v>
      </c>
      <c r="P69" s="131">
        <f t="shared" si="32"/>
        <v>0</v>
      </c>
      <c r="Q69" s="131">
        <f t="shared" si="32"/>
        <v>0</v>
      </c>
      <c r="R69" s="131">
        <f t="shared" si="32"/>
        <v>0</v>
      </c>
      <c r="S69" s="131">
        <f t="shared" si="32"/>
        <v>0</v>
      </c>
      <c r="T69" s="131">
        <f t="shared" si="32"/>
        <v>0</v>
      </c>
      <c r="U69" s="131">
        <f t="shared" si="32"/>
        <v>0</v>
      </c>
      <c r="V69" s="131">
        <f t="shared" si="32"/>
        <v>0</v>
      </c>
      <c r="W69" s="131">
        <f t="shared" si="32"/>
        <v>0</v>
      </c>
      <c r="X69" s="131">
        <f t="shared" si="32"/>
        <v>0</v>
      </c>
      <c r="Y69" s="131">
        <f t="shared" si="32"/>
        <v>0</v>
      </c>
      <c r="Z69" s="131">
        <f t="shared" si="32"/>
        <v>0</v>
      </c>
      <c r="AA69" s="131">
        <f t="shared" si="32"/>
        <v>0</v>
      </c>
      <c r="AB69" s="131">
        <f t="shared" si="32"/>
        <v>0</v>
      </c>
      <c r="AC69" s="131">
        <f t="shared" si="32"/>
        <v>0</v>
      </c>
      <c r="AD69" s="131">
        <f t="shared" si="32"/>
        <v>0</v>
      </c>
      <c r="AE69" s="131">
        <f t="shared" si="32"/>
        <v>0</v>
      </c>
      <c r="AF69" s="131">
        <f t="shared" si="32"/>
        <v>0</v>
      </c>
      <c r="AG69" s="137"/>
    </row>
    <row r="70" ht="15.75" spans="2:33">
      <c r="B70" s="107"/>
      <c r="C70" s="108" t="s">
        <v>995</v>
      </c>
      <c r="D70" s="109"/>
      <c r="E70" s="109" t="s">
        <v>24</v>
      </c>
      <c r="F70" s="110"/>
      <c r="G70" s="110"/>
      <c r="H70" s="110"/>
      <c r="I70" s="146">
        <f>I38+I42+I46+I50+I54+I58+I62+I66</f>
        <v>318.312234</v>
      </c>
      <c r="J70" s="147">
        <f>J68-J69</f>
        <v>196.745052</v>
      </c>
      <c r="K70" s="147">
        <f t="shared" ref="K70:AF70" si="33">K68-K69</f>
        <v>44.426828</v>
      </c>
      <c r="L70" s="147">
        <f t="shared" si="33"/>
        <v>24.426828</v>
      </c>
      <c r="M70" s="147">
        <f t="shared" si="33"/>
        <v>0</v>
      </c>
      <c r="N70" s="147">
        <f t="shared" si="33"/>
        <v>0</v>
      </c>
      <c r="O70" s="147">
        <f t="shared" si="33"/>
        <v>0</v>
      </c>
      <c r="P70" s="147">
        <f t="shared" si="33"/>
        <v>0</v>
      </c>
      <c r="Q70" s="147">
        <f t="shared" si="33"/>
        <v>0</v>
      </c>
      <c r="R70" s="147">
        <f t="shared" si="33"/>
        <v>0</v>
      </c>
      <c r="S70" s="147">
        <f t="shared" si="33"/>
        <v>0</v>
      </c>
      <c r="T70" s="147">
        <f t="shared" si="33"/>
        <v>0</v>
      </c>
      <c r="U70" s="147">
        <f t="shared" si="33"/>
        <v>0</v>
      </c>
      <c r="V70" s="147">
        <f t="shared" si="33"/>
        <v>0</v>
      </c>
      <c r="W70" s="147">
        <f t="shared" si="33"/>
        <v>0</v>
      </c>
      <c r="X70" s="147">
        <f t="shared" si="33"/>
        <v>0</v>
      </c>
      <c r="Y70" s="147">
        <f t="shared" si="33"/>
        <v>0</v>
      </c>
      <c r="Z70" s="147">
        <f t="shared" si="33"/>
        <v>0</v>
      </c>
      <c r="AA70" s="147">
        <f t="shared" si="33"/>
        <v>0</v>
      </c>
      <c r="AB70" s="147">
        <f t="shared" si="33"/>
        <v>0</v>
      </c>
      <c r="AC70" s="147">
        <f t="shared" si="33"/>
        <v>0</v>
      </c>
      <c r="AD70" s="147">
        <f t="shared" si="33"/>
        <v>0</v>
      </c>
      <c r="AE70" s="147">
        <f t="shared" si="33"/>
        <v>0</v>
      </c>
      <c r="AF70" s="147">
        <f t="shared" si="33"/>
        <v>0</v>
      </c>
      <c r="AG70" s="137"/>
    </row>
    <row r="71" ht="31.95" customHeight="1" spans="2:33">
      <c r="B71" s="118" t="s">
        <v>1002</v>
      </c>
      <c r="C71" s="119" t="s">
        <v>1003</v>
      </c>
      <c r="D71" s="120">
        <f t="shared" ref="D71:D73" si="34">SUM(J71:AF71)</f>
        <v>10137.308743</v>
      </c>
      <c r="E71" s="141" t="s">
        <v>24</v>
      </c>
      <c r="F71" s="106"/>
      <c r="G71" s="106"/>
      <c r="H71" s="106"/>
      <c r="I71" s="105"/>
      <c r="J71" s="105">
        <f>J32-J69</f>
        <v>3289.783934</v>
      </c>
      <c r="K71" s="105">
        <f t="shared" ref="K71:AF71" si="35">K32-K69</f>
        <v>2974.323992</v>
      </c>
      <c r="L71" s="105">
        <f t="shared" si="35"/>
        <v>3080</v>
      </c>
      <c r="M71" s="105">
        <f t="shared" si="35"/>
        <v>793.200817</v>
      </c>
      <c r="N71" s="105">
        <f t="shared" si="35"/>
        <v>0</v>
      </c>
      <c r="O71" s="105">
        <f t="shared" si="35"/>
        <v>0</v>
      </c>
      <c r="P71" s="105">
        <f t="shared" si="35"/>
        <v>0</v>
      </c>
      <c r="Q71" s="105">
        <f t="shared" si="35"/>
        <v>0</v>
      </c>
      <c r="R71" s="105">
        <f t="shared" si="35"/>
        <v>0</v>
      </c>
      <c r="S71" s="105">
        <f t="shared" si="35"/>
        <v>0</v>
      </c>
      <c r="T71" s="105">
        <f t="shared" si="35"/>
        <v>0</v>
      </c>
      <c r="U71" s="105">
        <f t="shared" si="35"/>
        <v>0</v>
      </c>
      <c r="V71" s="105">
        <f t="shared" si="35"/>
        <v>0</v>
      </c>
      <c r="W71" s="105">
        <f t="shared" si="35"/>
        <v>0</v>
      </c>
      <c r="X71" s="105">
        <f t="shared" si="35"/>
        <v>0</v>
      </c>
      <c r="Y71" s="105">
        <f t="shared" si="35"/>
        <v>0</v>
      </c>
      <c r="Z71" s="105">
        <f t="shared" si="35"/>
        <v>0</v>
      </c>
      <c r="AA71" s="105">
        <f t="shared" si="35"/>
        <v>0</v>
      </c>
      <c r="AB71" s="105">
        <f t="shared" si="35"/>
        <v>0</v>
      </c>
      <c r="AC71" s="105">
        <f t="shared" si="35"/>
        <v>0</v>
      </c>
      <c r="AD71" s="105">
        <f t="shared" si="35"/>
        <v>0</v>
      </c>
      <c r="AE71" s="105">
        <f t="shared" si="35"/>
        <v>0</v>
      </c>
      <c r="AF71" s="105">
        <f t="shared" si="35"/>
        <v>0</v>
      </c>
      <c r="AG71" s="136"/>
    </row>
    <row r="72" ht="15" spans="2:33">
      <c r="B72" s="142" t="s">
        <v>1004</v>
      </c>
      <c r="C72" t="s">
        <v>1005</v>
      </c>
      <c r="D72" s="109">
        <f t="shared" si="34"/>
        <v>9930.384455</v>
      </c>
      <c r="E72" s="109" t="s">
        <v>24</v>
      </c>
      <c r="J72" s="131">
        <f>J8+J12+J16-J37-J41-J45-J49-J53+J28-J65</f>
        <v>3018.432818</v>
      </c>
      <c r="K72" s="131">
        <f t="shared" ref="K72:AF72" si="36">K8+K12+K16-K37-K41-K45-K49-K53+K28-K65</f>
        <v>2994.323992</v>
      </c>
      <c r="L72" s="131">
        <f t="shared" si="36"/>
        <v>3100</v>
      </c>
      <c r="M72" s="131">
        <f t="shared" si="36"/>
        <v>817.627645</v>
      </c>
      <c r="N72" s="131">
        <f t="shared" si="36"/>
        <v>0</v>
      </c>
      <c r="O72" s="131">
        <f t="shared" si="36"/>
        <v>0</v>
      </c>
      <c r="P72" s="131">
        <f t="shared" si="36"/>
        <v>0</v>
      </c>
      <c r="Q72" s="131">
        <f t="shared" si="36"/>
        <v>0</v>
      </c>
      <c r="R72" s="131">
        <f t="shared" si="36"/>
        <v>0</v>
      </c>
      <c r="S72" s="131">
        <f t="shared" si="36"/>
        <v>0</v>
      </c>
      <c r="T72" s="131">
        <f t="shared" si="36"/>
        <v>0</v>
      </c>
      <c r="U72" s="131">
        <f t="shared" si="36"/>
        <v>0</v>
      </c>
      <c r="V72" s="131">
        <f t="shared" si="36"/>
        <v>0</v>
      </c>
      <c r="W72" s="131">
        <f t="shared" si="36"/>
        <v>0</v>
      </c>
      <c r="X72" s="131">
        <f t="shared" si="36"/>
        <v>0</v>
      </c>
      <c r="Y72" s="131">
        <f t="shared" si="36"/>
        <v>0</v>
      </c>
      <c r="Z72" s="131">
        <f t="shared" si="36"/>
        <v>0</v>
      </c>
      <c r="AA72" s="131">
        <f t="shared" si="36"/>
        <v>0</v>
      </c>
      <c r="AB72" s="131">
        <f t="shared" si="36"/>
        <v>0</v>
      </c>
      <c r="AC72" s="131">
        <f t="shared" si="36"/>
        <v>0</v>
      </c>
      <c r="AD72" s="131">
        <f t="shared" si="36"/>
        <v>0</v>
      </c>
      <c r="AE72" s="131">
        <f t="shared" si="36"/>
        <v>0</v>
      </c>
      <c r="AF72" s="131">
        <f t="shared" si="36"/>
        <v>0</v>
      </c>
      <c r="AG72" s="149"/>
    </row>
    <row r="73" ht="15.75" spans="2:33">
      <c r="B73" s="143"/>
      <c r="C73" s="144" t="s">
        <v>459</v>
      </c>
      <c r="D73" s="109">
        <f t="shared" si="34"/>
        <v>206.924288</v>
      </c>
      <c r="E73" s="109" t="s">
        <v>24</v>
      </c>
      <c r="F73" s="144"/>
      <c r="G73" s="144"/>
      <c r="H73" s="144"/>
      <c r="I73" s="144"/>
      <c r="J73" s="114">
        <f>J20+J24-J57-J61</f>
        <v>271.351116</v>
      </c>
      <c r="K73" s="114">
        <f t="shared" ref="K73:AF73" si="37">K20+K24-K57-K61</f>
        <v>-20</v>
      </c>
      <c r="L73" s="114">
        <f t="shared" si="37"/>
        <v>-20</v>
      </c>
      <c r="M73" s="114">
        <f t="shared" si="37"/>
        <v>-24.426828</v>
      </c>
      <c r="N73" s="114">
        <f t="shared" si="37"/>
        <v>0</v>
      </c>
      <c r="O73" s="114">
        <f t="shared" si="37"/>
        <v>0</v>
      </c>
      <c r="P73" s="114">
        <f t="shared" si="37"/>
        <v>0</v>
      </c>
      <c r="Q73" s="114">
        <f t="shared" si="37"/>
        <v>0</v>
      </c>
      <c r="R73" s="114">
        <f t="shared" si="37"/>
        <v>0</v>
      </c>
      <c r="S73" s="114">
        <f t="shared" si="37"/>
        <v>0</v>
      </c>
      <c r="T73" s="114">
        <f t="shared" si="37"/>
        <v>0</v>
      </c>
      <c r="U73" s="114">
        <f t="shared" si="37"/>
        <v>0</v>
      </c>
      <c r="V73" s="114">
        <f t="shared" si="37"/>
        <v>0</v>
      </c>
      <c r="W73" s="114">
        <f t="shared" si="37"/>
        <v>0</v>
      </c>
      <c r="X73" s="114">
        <f t="shared" si="37"/>
        <v>0</v>
      </c>
      <c r="Y73" s="114">
        <f t="shared" si="37"/>
        <v>0</v>
      </c>
      <c r="Z73" s="114">
        <f t="shared" si="37"/>
        <v>0</v>
      </c>
      <c r="AA73" s="114">
        <f t="shared" si="37"/>
        <v>0</v>
      </c>
      <c r="AB73" s="114">
        <f t="shared" si="37"/>
        <v>0</v>
      </c>
      <c r="AC73" s="114">
        <f t="shared" si="37"/>
        <v>0</v>
      </c>
      <c r="AD73" s="114">
        <f t="shared" si="37"/>
        <v>0</v>
      </c>
      <c r="AE73" s="114">
        <f t="shared" si="37"/>
        <v>0</v>
      </c>
      <c r="AF73" s="114">
        <f t="shared" si="37"/>
        <v>0</v>
      </c>
      <c r="AG73" s="150"/>
    </row>
    <row r="74" ht="21.5" spans="2:5">
      <c r="B74" s="145"/>
      <c r="C74" s="59" t="s">
        <v>1006</v>
      </c>
      <c r="D74" s="59"/>
      <c r="E74" s="59"/>
    </row>
    <row r="80" ht="21.75" spans="2:8">
      <c r="B80" s="96" t="s">
        <v>1007</v>
      </c>
      <c r="C80" s="97"/>
      <c r="D80" s="97"/>
      <c r="E80" s="97"/>
      <c r="F80" s="97"/>
      <c r="G80" s="97"/>
      <c r="H80" s="97"/>
    </row>
    <row r="81" s="94" customFormat="1" ht="16.5" spans="2:33">
      <c r="B81" s="7" t="s">
        <v>15</v>
      </c>
      <c r="C81" s="8" t="s">
        <v>463</v>
      </c>
      <c r="D81" s="9" t="s">
        <v>17</v>
      </c>
      <c r="E81" s="9" t="s">
        <v>18</v>
      </c>
      <c r="F81" s="98" t="s">
        <v>464</v>
      </c>
      <c r="G81" s="98" t="s">
        <v>465</v>
      </c>
      <c r="H81" s="98" t="s">
        <v>466</v>
      </c>
      <c r="I81" s="126">
        <v>45107</v>
      </c>
      <c r="J81" s="126">
        <v>45261</v>
      </c>
      <c r="K81" s="98" t="s">
        <v>20</v>
      </c>
      <c r="L81" s="98" t="s">
        <v>467</v>
      </c>
      <c r="M81" s="98" t="s">
        <v>468</v>
      </c>
      <c r="N81" s="98" t="s">
        <v>469</v>
      </c>
      <c r="O81" s="98" t="s">
        <v>470</v>
      </c>
      <c r="P81" s="98" t="s">
        <v>471</v>
      </c>
      <c r="Q81" s="98" t="s">
        <v>472</v>
      </c>
      <c r="R81" s="98" t="s">
        <v>473</v>
      </c>
      <c r="S81" s="98" t="s">
        <v>474</v>
      </c>
      <c r="T81" s="98" t="s">
        <v>475</v>
      </c>
      <c r="U81" s="98" t="s">
        <v>476</v>
      </c>
      <c r="V81" s="98" t="s">
        <v>477</v>
      </c>
      <c r="W81" s="98" t="s">
        <v>478</v>
      </c>
      <c r="X81" s="98" t="s">
        <v>479</v>
      </c>
      <c r="Y81" s="98" t="s">
        <v>480</v>
      </c>
      <c r="Z81" s="98" t="s">
        <v>481</v>
      </c>
      <c r="AA81" s="98" t="s">
        <v>482</v>
      </c>
      <c r="AB81" s="98" t="s">
        <v>483</v>
      </c>
      <c r="AC81" s="98" t="s">
        <v>484</v>
      </c>
      <c r="AD81" s="98" t="s">
        <v>485</v>
      </c>
      <c r="AE81" s="98" t="s">
        <v>486</v>
      </c>
      <c r="AF81" s="126">
        <v>53051</v>
      </c>
      <c r="AG81" s="133" t="s">
        <v>920</v>
      </c>
    </row>
    <row r="82" s="94" customFormat="1" ht="17.25" spans="2:33">
      <c r="B82" s="11"/>
      <c r="C82" s="12"/>
      <c r="D82" s="13"/>
      <c r="E82" s="13"/>
      <c r="F82" s="99">
        <v>1</v>
      </c>
      <c r="G82" s="99">
        <v>2</v>
      </c>
      <c r="H82" s="99">
        <v>3</v>
      </c>
      <c r="I82" s="99">
        <v>4</v>
      </c>
      <c r="J82" s="127">
        <v>5</v>
      </c>
      <c r="K82" s="127">
        <v>6</v>
      </c>
      <c r="L82" s="127">
        <v>7</v>
      </c>
      <c r="M82" s="127">
        <v>8</v>
      </c>
      <c r="N82" s="127">
        <v>9</v>
      </c>
      <c r="O82" s="127">
        <v>10</v>
      </c>
      <c r="P82" s="127">
        <v>11</v>
      </c>
      <c r="Q82" s="127">
        <v>12</v>
      </c>
      <c r="R82" s="127">
        <v>13</v>
      </c>
      <c r="S82" s="127">
        <v>14</v>
      </c>
      <c r="T82" s="127">
        <v>15</v>
      </c>
      <c r="U82" s="127">
        <v>16</v>
      </c>
      <c r="V82" s="127">
        <v>17</v>
      </c>
      <c r="W82" s="127">
        <v>18</v>
      </c>
      <c r="X82" s="127">
        <v>19</v>
      </c>
      <c r="Y82" s="127">
        <v>20</v>
      </c>
      <c r="Z82" s="127">
        <v>21</v>
      </c>
      <c r="AA82" s="127">
        <v>22</v>
      </c>
      <c r="AB82" s="127">
        <v>23</v>
      </c>
      <c r="AC82" s="127">
        <v>24</v>
      </c>
      <c r="AD82" s="127">
        <v>25</v>
      </c>
      <c r="AE82" s="127">
        <v>26</v>
      </c>
      <c r="AF82" s="127">
        <v>27</v>
      </c>
      <c r="AG82" s="134"/>
    </row>
    <row r="83" s="94" customFormat="1" ht="17.25" spans="2:33">
      <c r="B83" s="100" t="s">
        <v>606</v>
      </c>
      <c r="C83" s="101" t="s">
        <v>992</v>
      </c>
      <c r="D83" s="101"/>
      <c r="E83" s="101"/>
      <c r="F83" s="102"/>
      <c r="G83" s="102"/>
      <c r="H83" s="102"/>
      <c r="I83" s="102"/>
      <c r="J83" s="102"/>
      <c r="K83" s="102"/>
      <c r="L83" s="102"/>
      <c r="M83" s="102"/>
      <c r="N83" s="102"/>
      <c r="O83" s="102"/>
      <c r="P83" s="102"/>
      <c r="Q83" s="102"/>
      <c r="R83" s="102"/>
      <c r="S83" s="102"/>
      <c r="T83" s="102"/>
      <c r="U83" s="102"/>
      <c r="V83" s="102"/>
      <c r="W83" s="102"/>
      <c r="X83" s="102"/>
      <c r="Y83" s="102"/>
      <c r="Z83" s="102"/>
      <c r="AA83" s="102"/>
      <c r="AB83" s="102"/>
      <c r="AC83" s="102"/>
      <c r="AD83" s="102"/>
      <c r="AE83" s="102"/>
      <c r="AF83" s="102"/>
      <c r="AG83" s="135"/>
    </row>
    <row r="84" ht="15" spans="2:33">
      <c r="B84" s="103">
        <v>1</v>
      </c>
      <c r="C84" s="104" t="s">
        <v>709</v>
      </c>
      <c r="D84" s="105"/>
      <c r="E84" s="105"/>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c r="AD84" s="106"/>
      <c r="AE84" s="106"/>
      <c r="AF84" s="106"/>
      <c r="AG84" s="136"/>
    </row>
    <row r="85" ht="15" spans="2:33">
      <c r="B85" s="107"/>
      <c r="C85" s="108" t="s">
        <v>993</v>
      </c>
      <c r="D85" s="109"/>
      <c r="E85" s="109" t="s">
        <v>24</v>
      </c>
      <c r="F85" s="110"/>
      <c r="G85" s="110"/>
      <c r="H85" s="110"/>
      <c r="I85" s="110"/>
      <c r="J85" s="110">
        <f>I87</f>
        <v>46.642216</v>
      </c>
      <c r="K85" s="110">
        <f t="shared" ref="K85:AF85" si="38">J87</f>
        <v>46.642216</v>
      </c>
      <c r="L85" s="110">
        <f t="shared" si="38"/>
        <v>46.642216</v>
      </c>
      <c r="M85" s="110">
        <f t="shared" si="38"/>
        <v>46.642216</v>
      </c>
      <c r="N85" s="110">
        <f t="shared" si="38"/>
        <v>46.642216</v>
      </c>
      <c r="O85" s="110">
        <f t="shared" si="38"/>
        <v>46.642216</v>
      </c>
      <c r="P85" s="110">
        <f t="shared" si="38"/>
        <v>46.642216</v>
      </c>
      <c r="Q85" s="110">
        <f t="shared" si="38"/>
        <v>46.642216</v>
      </c>
      <c r="R85" s="110">
        <f t="shared" si="38"/>
        <v>46.642216</v>
      </c>
      <c r="S85" s="110">
        <f t="shared" si="38"/>
        <v>46.642216</v>
      </c>
      <c r="T85" s="110">
        <f t="shared" si="38"/>
        <v>46.642216</v>
      </c>
      <c r="U85" s="110">
        <f t="shared" si="38"/>
        <v>46.642216</v>
      </c>
      <c r="V85" s="110">
        <f t="shared" si="38"/>
        <v>46.642216</v>
      </c>
      <c r="W85" s="110">
        <f t="shared" si="38"/>
        <v>46.642216</v>
      </c>
      <c r="X85" s="110">
        <f t="shared" si="38"/>
        <v>46.642216</v>
      </c>
      <c r="Y85" s="110">
        <f t="shared" si="38"/>
        <v>46.642216</v>
      </c>
      <c r="Z85" s="110">
        <f t="shared" si="38"/>
        <v>46.642216</v>
      </c>
      <c r="AA85" s="110">
        <f t="shared" si="38"/>
        <v>46.642216</v>
      </c>
      <c r="AB85" s="110">
        <f t="shared" si="38"/>
        <v>46.642216</v>
      </c>
      <c r="AC85" s="110">
        <f t="shared" si="38"/>
        <v>46.642216</v>
      </c>
      <c r="AD85" s="110">
        <f t="shared" si="38"/>
        <v>46.642216</v>
      </c>
      <c r="AE85" s="110">
        <f t="shared" si="38"/>
        <v>46.642216</v>
      </c>
      <c r="AF85" s="110">
        <f t="shared" si="38"/>
        <v>46.642216</v>
      </c>
      <c r="AG85" s="137"/>
    </row>
    <row r="86" ht="15" spans="2:33">
      <c r="B86" s="107"/>
      <c r="C86" s="108" t="s">
        <v>994</v>
      </c>
      <c r="D86" s="109">
        <f>SUM(J86:AF86)</f>
        <v>46.642216</v>
      </c>
      <c r="E86" s="109" t="s">
        <v>24</v>
      </c>
      <c r="F86" s="110"/>
      <c r="G86" s="110"/>
      <c r="H86" s="110"/>
      <c r="I86" s="110"/>
      <c r="J86" s="110">
        <f>J85-J87</f>
        <v>0</v>
      </c>
      <c r="K86" s="110">
        <f>K85-K87</f>
        <v>0</v>
      </c>
      <c r="L86" s="110">
        <f t="shared" ref="L86:AF86" si="39">L85-L87</f>
        <v>0</v>
      </c>
      <c r="M86" s="110">
        <f t="shared" si="39"/>
        <v>0</v>
      </c>
      <c r="N86" s="110">
        <f t="shared" si="39"/>
        <v>0</v>
      </c>
      <c r="O86" s="110">
        <f t="shared" si="39"/>
        <v>0</v>
      </c>
      <c r="P86" s="110">
        <f t="shared" si="39"/>
        <v>0</v>
      </c>
      <c r="Q86" s="110">
        <f t="shared" si="39"/>
        <v>0</v>
      </c>
      <c r="R86" s="110">
        <f t="shared" si="39"/>
        <v>0</v>
      </c>
      <c r="S86" s="110">
        <f t="shared" si="39"/>
        <v>0</v>
      </c>
      <c r="T86" s="110">
        <f t="shared" si="39"/>
        <v>0</v>
      </c>
      <c r="U86" s="110">
        <f t="shared" si="39"/>
        <v>0</v>
      </c>
      <c r="V86" s="110">
        <f t="shared" si="39"/>
        <v>0</v>
      </c>
      <c r="W86" s="110">
        <f t="shared" si="39"/>
        <v>0</v>
      </c>
      <c r="X86" s="110">
        <f t="shared" si="39"/>
        <v>0</v>
      </c>
      <c r="Y86" s="110">
        <f t="shared" si="39"/>
        <v>0</v>
      </c>
      <c r="Z86" s="110">
        <f t="shared" si="39"/>
        <v>0</v>
      </c>
      <c r="AA86" s="110">
        <f t="shared" si="39"/>
        <v>0</v>
      </c>
      <c r="AB86" s="110">
        <f t="shared" si="39"/>
        <v>0</v>
      </c>
      <c r="AC86" s="110">
        <f t="shared" si="39"/>
        <v>0</v>
      </c>
      <c r="AD86" s="110">
        <f t="shared" si="39"/>
        <v>0</v>
      </c>
      <c r="AE86" s="110">
        <f t="shared" si="39"/>
        <v>0</v>
      </c>
      <c r="AF86" s="110">
        <f t="shared" si="39"/>
        <v>46.642216</v>
      </c>
      <c r="AG86" s="137"/>
    </row>
    <row r="87" ht="15.75" spans="2:33">
      <c r="B87" s="111"/>
      <c r="C87" s="112" t="s">
        <v>995</v>
      </c>
      <c r="D87" s="113"/>
      <c r="E87" s="109" t="s">
        <v>24</v>
      </c>
      <c r="F87" s="114"/>
      <c r="G87" s="114"/>
      <c r="H87" s="114"/>
      <c r="I87" s="129">
        <f>'表10-资产负债表(标准格式)'!$H$13-折现率、非经营、长投计算表!$E$25</f>
        <v>46.642216</v>
      </c>
      <c r="J87" s="114">
        <f>I87</f>
        <v>46.642216</v>
      </c>
      <c r="K87" s="114">
        <f t="shared" ref="K87:AE87" si="40">J87</f>
        <v>46.642216</v>
      </c>
      <c r="L87" s="114">
        <f t="shared" si="40"/>
        <v>46.642216</v>
      </c>
      <c r="M87" s="114">
        <f t="shared" si="40"/>
        <v>46.642216</v>
      </c>
      <c r="N87" s="114">
        <f t="shared" si="40"/>
        <v>46.642216</v>
      </c>
      <c r="O87" s="114">
        <f t="shared" si="40"/>
        <v>46.642216</v>
      </c>
      <c r="P87" s="114">
        <f t="shared" si="40"/>
        <v>46.642216</v>
      </c>
      <c r="Q87" s="114">
        <f t="shared" si="40"/>
        <v>46.642216</v>
      </c>
      <c r="R87" s="114">
        <f t="shared" si="40"/>
        <v>46.642216</v>
      </c>
      <c r="S87" s="114">
        <f t="shared" si="40"/>
        <v>46.642216</v>
      </c>
      <c r="T87" s="114">
        <f t="shared" si="40"/>
        <v>46.642216</v>
      </c>
      <c r="U87" s="114">
        <f t="shared" si="40"/>
        <v>46.642216</v>
      </c>
      <c r="V87" s="114">
        <f t="shared" si="40"/>
        <v>46.642216</v>
      </c>
      <c r="W87" s="114">
        <f t="shared" si="40"/>
        <v>46.642216</v>
      </c>
      <c r="X87" s="114">
        <f t="shared" si="40"/>
        <v>46.642216</v>
      </c>
      <c r="Y87" s="114">
        <f t="shared" si="40"/>
        <v>46.642216</v>
      </c>
      <c r="Z87" s="114">
        <f t="shared" si="40"/>
        <v>46.642216</v>
      </c>
      <c r="AA87" s="114">
        <f t="shared" si="40"/>
        <v>46.642216</v>
      </c>
      <c r="AB87" s="114">
        <f t="shared" si="40"/>
        <v>46.642216</v>
      </c>
      <c r="AC87" s="114">
        <f t="shared" si="40"/>
        <v>46.642216</v>
      </c>
      <c r="AD87" s="114">
        <f t="shared" si="40"/>
        <v>46.642216</v>
      </c>
      <c r="AE87" s="114">
        <f t="shared" si="40"/>
        <v>46.642216</v>
      </c>
      <c r="AF87" s="148">
        <v>0</v>
      </c>
      <c r="AG87" s="138"/>
    </row>
    <row r="88" ht="15" spans="2:33">
      <c r="B88" s="103">
        <v>2</v>
      </c>
      <c r="C88" s="104" t="s">
        <v>507</v>
      </c>
      <c r="D88" s="105"/>
      <c r="E88" s="105"/>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c r="AD88" s="106"/>
      <c r="AE88" s="106"/>
      <c r="AF88" s="106"/>
      <c r="AG88" s="136"/>
    </row>
    <row r="89" ht="15" spans="2:33">
      <c r="B89" s="107"/>
      <c r="C89" s="108" t="s">
        <v>993</v>
      </c>
      <c r="D89" s="109"/>
      <c r="E89" s="109" t="s">
        <v>24</v>
      </c>
      <c r="F89" s="110"/>
      <c r="G89" s="110"/>
      <c r="H89" s="110"/>
      <c r="I89" s="110"/>
      <c r="J89" s="110">
        <f t="shared" ref="J89:AF89" si="41">I91</f>
        <v>9817.627645</v>
      </c>
      <c r="K89" s="110">
        <f t="shared" si="41"/>
        <v>9817.627645</v>
      </c>
      <c r="L89" s="110">
        <f t="shared" si="41"/>
        <v>9817.627645</v>
      </c>
      <c r="M89" s="110">
        <f t="shared" si="41"/>
        <v>9817.627645</v>
      </c>
      <c r="N89" s="110">
        <f t="shared" si="41"/>
        <v>9817.627645</v>
      </c>
      <c r="O89" s="110">
        <f t="shared" si="41"/>
        <v>9817.627645</v>
      </c>
      <c r="P89" s="110">
        <f t="shared" si="41"/>
        <v>9817.627645</v>
      </c>
      <c r="Q89" s="110">
        <f t="shared" si="41"/>
        <v>9817.627645</v>
      </c>
      <c r="R89" s="110">
        <f t="shared" si="41"/>
        <v>9817.627645</v>
      </c>
      <c r="S89" s="110">
        <f t="shared" si="41"/>
        <v>9817.627645</v>
      </c>
      <c r="T89" s="110">
        <f t="shared" si="41"/>
        <v>9817.627645</v>
      </c>
      <c r="U89" s="110">
        <f t="shared" si="41"/>
        <v>9817.627645</v>
      </c>
      <c r="V89" s="110">
        <f t="shared" si="41"/>
        <v>9817.627645</v>
      </c>
      <c r="W89" s="110">
        <f t="shared" si="41"/>
        <v>9817.627645</v>
      </c>
      <c r="X89" s="110">
        <f t="shared" si="41"/>
        <v>9817.627645</v>
      </c>
      <c r="Y89" s="110">
        <f t="shared" si="41"/>
        <v>9817.627645</v>
      </c>
      <c r="Z89" s="110">
        <f t="shared" si="41"/>
        <v>9817.627645</v>
      </c>
      <c r="AA89" s="110">
        <f t="shared" si="41"/>
        <v>9817.627645</v>
      </c>
      <c r="AB89" s="110">
        <f t="shared" si="41"/>
        <v>9817.627645</v>
      </c>
      <c r="AC89" s="110">
        <f t="shared" si="41"/>
        <v>9817.627645</v>
      </c>
      <c r="AD89" s="110">
        <f t="shared" si="41"/>
        <v>9817.627645</v>
      </c>
      <c r="AE89" s="110">
        <f t="shared" si="41"/>
        <v>9817.627645</v>
      </c>
      <c r="AF89" s="110">
        <f t="shared" si="41"/>
        <v>9817.627645</v>
      </c>
      <c r="AG89" s="137"/>
    </row>
    <row r="90" ht="15" spans="2:33">
      <c r="B90" s="107"/>
      <c r="C90" s="108" t="s">
        <v>994</v>
      </c>
      <c r="D90" s="109">
        <f>SUM(J90:AF90)</f>
        <v>9817.627645</v>
      </c>
      <c r="E90" s="109" t="s">
        <v>24</v>
      </c>
      <c r="F90" s="110"/>
      <c r="G90" s="110"/>
      <c r="H90" s="110"/>
      <c r="I90" s="110"/>
      <c r="J90" s="110">
        <f t="shared" ref="J90:AF90" si="42">J89-J91</f>
        <v>0</v>
      </c>
      <c r="K90" s="110">
        <f t="shared" si="42"/>
        <v>0</v>
      </c>
      <c r="L90" s="110">
        <f t="shared" si="42"/>
        <v>0</v>
      </c>
      <c r="M90" s="110">
        <f t="shared" si="42"/>
        <v>0</v>
      </c>
      <c r="N90" s="110">
        <f t="shared" si="42"/>
        <v>0</v>
      </c>
      <c r="O90" s="110">
        <f t="shared" si="42"/>
        <v>0</v>
      </c>
      <c r="P90" s="110">
        <f t="shared" si="42"/>
        <v>0</v>
      </c>
      <c r="Q90" s="110">
        <f t="shared" si="42"/>
        <v>0</v>
      </c>
      <c r="R90" s="110">
        <f t="shared" si="42"/>
        <v>0</v>
      </c>
      <c r="S90" s="110">
        <f t="shared" si="42"/>
        <v>0</v>
      </c>
      <c r="T90" s="110">
        <f t="shared" si="42"/>
        <v>0</v>
      </c>
      <c r="U90" s="110">
        <f t="shared" si="42"/>
        <v>0</v>
      </c>
      <c r="V90" s="110">
        <f t="shared" si="42"/>
        <v>0</v>
      </c>
      <c r="W90" s="110">
        <f t="shared" si="42"/>
        <v>0</v>
      </c>
      <c r="X90" s="110">
        <f t="shared" si="42"/>
        <v>0</v>
      </c>
      <c r="Y90" s="110">
        <f t="shared" si="42"/>
        <v>0</v>
      </c>
      <c r="Z90" s="110">
        <f t="shared" si="42"/>
        <v>0</v>
      </c>
      <c r="AA90" s="110">
        <f t="shared" si="42"/>
        <v>0</v>
      </c>
      <c r="AB90" s="110">
        <f t="shared" si="42"/>
        <v>0</v>
      </c>
      <c r="AC90" s="110">
        <f t="shared" si="42"/>
        <v>0</v>
      </c>
      <c r="AD90" s="110">
        <f t="shared" si="42"/>
        <v>0</v>
      </c>
      <c r="AE90" s="110">
        <f t="shared" si="42"/>
        <v>0</v>
      </c>
      <c r="AF90" s="110">
        <f t="shared" si="42"/>
        <v>9817.627645</v>
      </c>
      <c r="AG90" s="137"/>
    </row>
    <row r="91" ht="15.75" spans="2:33">
      <c r="B91" s="111"/>
      <c r="C91" s="112" t="s">
        <v>995</v>
      </c>
      <c r="D91" s="113"/>
      <c r="E91" s="109" t="s">
        <v>24</v>
      </c>
      <c r="F91" s="114"/>
      <c r="G91" s="114"/>
      <c r="H91" s="114"/>
      <c r="I91" s="129">
        <f>'表10-资产负债表(标准格式)'!$H$14-折现率、非经营、长投计算表!$E$26</f>
        <v>9817.627645</v>
      </c>
      <c r="J91" s="114">
        <f t="shared" ref="J91:AE91" si="43">I91</f>
        <v>9817.627645</v>
      </c>
      <c r="K91" s="114">
        <f t="shared" si="43"/>
        <v>9817.627645</v>
      </c>
      <c r="L91" s="114">
        <f t="shared" si="43"/>
        <v>9817.627645</v>
      </c>
      <c r="M91" s="114">
        <f t="shared" si="43"/>
        <v>9817.627645</v>
      </c>
      <c r="N91" s="114">
        <f t="shared" si="43"/>
        <v>9817.627645</v>
      </c>
      <c r="O91" s="114">
        <f t="shared" si="43"/>
        <v>9817.627645</v>
      </c>
      <c r="P91" s="114">
        <f t="shared" si="43"/>
        <v>9817.627645</v>
      </c>
      <c r="Q91" s="114">
        <f t="shared" si="43"/>
        <v>9817.627645</v>
      </c>
      <c r="R91" s="114">
        <f t="shared" si="43"/>
        <v>9817.627645</v>
      </c>
      <c r="S91" s="114">
        <f t="shared" si="43"/>
        <v>9817.627645</v>
      </c>
      <c r="T91" s="114">
        <f t="shared" si="43"/>
        <v>9817.627645</v>
      </c>
      <c r="U91" s="114">
        <f t="shared" si="43"/>
        <v>9817.627645</v>
      </c>
      <c r="V91" s="114">
        <f t="shared" si="43"/>
        <v>9817.627645</v>
      </c>
      <c r="W91" s="114">
        <f t="shared" si="43"/>
        <v>9817.627645</v>
      </c>
      <c r="X91" s="114">
        <f t="shared" si="43"/>
        <v>9817.627645</v>
      </c>
      <c r="Y91" s="114">
        <f t="shared" si="43"/>
        <v>9817.627645</v>
      </c>
      <c r="Z91" s="114">
        <f t="shared" si="43"/>
        <v>9817.627645</v>
      </c>
      <c r="AA91" s="114">
        <f t="shared" si="43"/>
        <v>9817.627645</v>
      </c>
      <c r="AB91" s="114">
        <f t="shared" si="43"/>
        <v>9817.627645</v>
      </c>
      <c r="AC91" s="114">
        <f t="shared" si="43"/>
        <v>9817.627645</v>
      </c>
      <c r="AD91" s="114">
        <f t="shared" si="43"/>
        <v>9817.627645</v>
      </c>
      <c r="AE91" s="114">
        <f t="shared" si="43"/>
        <v>9817.627645</v>
      </c>
      <c r="AF91" s="148">
        <v>0</v>
      </c>
      <c r="AG91" s="138"/>
    </row>
    <row r="92" ht="15" spans="2:33">
      <c r="B92" s="103">
        <v>3</v>
      </c>
      <c r="C92" s="104" t="s">
        <v>996</v>
      </c>
      <c r="D92" s="105"/>
      <c r="E92" s="105"/>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c r="AD92" s="106"/>
      <c r="AE92" s="106"/>
      <c r="AF92" s="106"/>
      <c r="AG92" s="136"/>
    </row>
    <row r="93" ht="15" spans="2:33">
      <c r="B93" s="107"/>
      <c r="C93" s="108" t="s">
        <v>993</v>
      </c>
      <c r="D93" s="109"/>
      <c r="E93" s="109" t="s">
        <v>24</v>
      </c>
      <c r="F93" s="110"/>
      <c r="G93" s="110"/>
      <c r="H93" s="110"/>
      <c r="I93" s="110"/>
      <c r="J93" s="110">
        <f t="shared" ref="J93:AF93" si="44">I95</f>
        <v>300</v>
      </c>
      <c r="K93" s="110">
        <f t="shared" si="44"/>
        <v>300</v>
      </c>
      <c r="L93" s="110">
        <f t="shared" si="44"/>
        <v>300</v>
      </c>
      <c r="M93" s="110">
        <f t="shared" si="44"/>
        <v>300</v>
      </c>
      <c r="N93" s="110">
        <f t="shared" si="44"/>
        <v>300</v>
      </c>
      <c r="O93" s="110">
        <f t="shared" si="44"/>
        <v>300</v>
      </c>
      <c r="P93" s="110">
        <f t="shared" si="44"/>
        <v>300</v>
      </c>
      <c r="Q93" s="110">
        <f t="shared" si="44"/>
        <v>300</v>
      </c>
      <c r="R93" s="110">
        <f t="shared" si="44"/>
        <v>300</v>
      </c>
      <c r="S93" s="110">
        <f t="shared" si="44"/>
        <v>300</v>
      </c>
      <c r="T93" s="110">
        <f t="shared" si="44"/>
        <v>300</v>
      </c>
      <c r="U93" s="110">
        <f t="shared" si="44"/>
        <v>300</v>
      </c>
      <c r="V93" s="110">
        <f t="shared" si="44"/>
        <v>300</v>
      </c>
      <c r="W93" s="110">
        <f t="shared" si="44"/>
        <v>300</v>
      </c>
      <c r="X93" s="110">
        <f t="shared" si="44"/>
        <v>300</v>
      </c>
      <c r="Y93" s="110">
        <f t="shared" si="44"/>
        <v>300</v>
      </c>
      <c r="Z93" s="110">
        <f t="shared" si="44"/>
        <v>300</v>
      </c>
      <c r="AA93" s="110">
        <f t="shared" si="44"/>
        <v>300</v>
      </c>
      <c r="AB93" s="110">
        <f t="shared" si="44"/>
        <v>300</v>
      </c>
      <c r="AC93" s="110">
        <f t="shared" si="44"/>
        <v>300</v>
      </c>
      <c r="AD93" s="110">
        <f t="shared" si="44"/>
        <v>300</v>
      </c>
      <c r="AE93" s="110">
        <f t="shared" si="44"/>
        <v>300</v>
      </c>
      <c r="AF93" s="110">
        <f t="shared" si="44"/>
        <v>300</v>
      </c>
      <c r="AG93" s="137"/>
    </row>
    <row r="94" ht="15" spans="2:33">
      <c r="B94" s="107"/>
      <c r="C94" s="108" t="s">
        <v>994</v>
      </c>
      <c r="D94" s="109">
        <f>SUM(J94:AF94)</f>
        <v>300</v>
      </c>
      <c r="E94" s="109" t="s">
        <v>24</v>
      </c>
      <c r="F94" s="110"/>
      <c r="G94" s="110"/>
      <c r="H94" s="110"/>
      <c r="I94" s="110"/>
      <c r="J94" s="110">
        <f t="shared" ref="J94:AF94" si="45">J93-J95</f>
        <v>0</v>
      </c>
      <c r="K94" s="110">
        <f t="shared" si="45"/>
        <v>0</v>
      </c>
      <c r="L94" s="110">
        <f t="shared" si="45"/>
        <v>0</v>
      </c>
      <c r="M94" s="110">
        <f t="shared" si="45"/>
        <v>0</v>
      </c>
      <c r="N94" s="110">
        <f t="shared" si="45"/>
        <v>0</v>
      </c>
      <c r="O94" s="110">
        <f t="shared" si="45"/>
        <v>0</v>
      </c>
      <c r="P94" s="110">
        <f t="shared" si="45"/>
        <v>0</v>
      </c>
      <c r="Q94" s="110">
        <f t="shared" si="45"/>
        <v>0</v>
      </c>
      <c r="R94" s="110">
        <f t="shared" si="45"/>
        <v>0</v>
      </c>
      <c r="S94" s="110">
        <f t="shared" si="45"/>
        <v>0</v>
      </c>
      <c r="T94" s="110">
        <f t="shared" si="45"/>
        <v>0</v>
      </c>
      <c r="U94" s="110">
        <f t="shared" si="45"/>
        <v>0</v>
      </c>
      <c r="V94" s="110">
        <f t="shared" si="45"/>
        <v>0</v>
      </c>
      <c r="W94" s="110">
        <f t="shared" si="45"/>
        <v>0</v>
      </c>
      <c r="X94" s="110">
        <f t="shared" si="45"/>
        <v>0</v>
      </c>
      <c r="Y94" s="110">
        <f t="shared" si="45"/>
        <v>0</v>
      </c>
      <c r="Z94" s="110">
        <f t="shared" si="45"/>
        <v>0</v>
      </c>
      <c r="AA94" s="110">
        <f t="shared" si="45"/>
        <v>0</v>
      </c>
      <c r="AB94" s="110">
        <f t="shared" si="45"/>
        <v>0</v>
      </c>
      <c r="AC94" s="110">
        <f t="shared" si="45"/>
        <v>0</v>
      </c>
      <c r="AD94" s="110">
        <f t="shared" si="45"/>
        <v>0</v>
      </c>
      <c r="AE94" s="110">
        <f t="shared" si="45"/>
        <v>0</v>
      </c>
      <c r="AF94" s="110">
        <f t="shared" si="45"/>
        <v>300</v>
      </c>
      <c r="AG94" s="137"/>
    </row>
    <row r="95" ht="15.75" spans="2:33">
      <c r="B95" s="111"/>
      <c r="C95" s="112" t="s">
        <v>995</v>
      </c>
      <c r="D95" s="113"/>
      <c r="E95" s="109" t="s">
        <v>24</v>
      </c>
      <c r="F95" s="114"/>
      <c r="G95" s="114"/>
      <c r="H95" s="114"/>
      <c r="I95" s="129">
        <f>'表10-资产负债表(标准格式)'!$H$16-折现率、非经营、长投计算表!$E$27</f>
        <v>300</v>
      </c>
      <c r="J95" s="114">
        <f t="shared" ref="J95:AE95" si="46">I95</f>
        <v>300</v>
      </c>
      <c r="K95" s="114">
        <f t="shared" si="46"/>
        <v>300</v>
      </c>
      <c r="L95" s="114">
        <f t="shared" si="46"/>
        <v>300</v>
      </c>
      <c r="M95" s="114">
        <f t="shared" si="46"/>
        <v>300</v>
      </c>
      <c r="N95" s="114">
        <f t="shared" si="46"/>
        <v>300</v>
      </c>
      <c r="O95" s="114">
        <f t="shared" si="46"/>
        <v>300</v>
      </c>
      <c r="P95" s="114">
        <f t="shared" si="46"/>
        <v>300</v>
      </c>
      <c r="Q95" s="114">
        <f t="shared" si="46"/>
        <v>300</v>
      </c>
      <c r="R95" s="114">
        <f t="shared" si="46"/>
        <v>300</v>
      </c>
      <c r="S95" s="114">
        <f t="shared" si="46"/>
        <v>300</v>
      </c>
      <c r="T95" s="114">
        <f t="shared" si="46"/>
        <v>300</v>
      </c>
      <c r="U95" s="114">
        <f t="shared" si="46"/>
        <v>300</v>
      </c>
      <c r="V95" s="114">
        <f t="shared" si="46"/>
        <v>300</v>
      </c>
      <c r="W95" s="114">
        <f t="shared" si="46"/>
        <v>300</v>
      </c>
      <c r="X95" s="114">
        <f t="shared" si="46"/>
        <v>300</v>
      </c>
      <c r="Y95" s="114">
        <f t="shared" si="46"/>
        <v>300</v>
      </c>
      <c r="Z95" s="114">
        <f t="shared" si="46"/>
        <v>300</v>
      </c>
      <c r="AA95" s="114">
        <f t="shared" si="46"/>
        <v>300</v>
      </c>
      <c r="AB95" s="114">
        <f t="shared" si="46"/>
        <v>300</v>
      </c>
      <c r="AC95" s="114">
        <f t="shared" si="46"/>
        <v>300</v>
      </c>
      <c r="AD95" s="114">
        <f t="shared" si="46"/>
        <v>300</v>
      </c>
      <c r="AE95" s="114">
        <f t="shared" si="46"/>
        <v>300</v>
      </c>
      <c r="AF95" s="148">
        <v>0</v>
      </c>
      <c r="AG95" s="138"/>
    </row>
    <row r="96" ht="15" spans="2:33">
      <c r="B96" s="103">
        <v>4</v>
      </c>
      <c r="C96" s="104" t="s">
        <v>710</v>
      </c>
      <c r="D96" s="105"/>
      <c r="E96" s="105"/>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c r="AD96" s="106"/>
      <c r="AE96" s="106"/>
      <c r="AF96" s="106"/>
      <c r="AG96" s="136"/>
    </row>
    <row r="97" ht="15" spans="2:33">
      <c r="B97" s="107"/>
      <c r="C97" s="108" t="s">
        <v>993</v>
      </c>
      <c r="D97" s="109"/>
      <c r="E97" s="109" t="s">
        <v>24</v>
      </c>
      <c r="F97" s="110"/>
      <c r="G97" s="110"/>
      <c r="H97" s="110"/>
      <c r="I97" s="110"/>
      <c r="J97" s="110">
        <f t="shared" ref="J97:AF97" si="47">I99</f>
        <v>291.351116</v>
      </c>
      <c r="K97" s="110">
        <f t="shared" si="47"/>
        <v>291.351116</v>
      </c>
      <c r="L97" s="110">
        <f t="shared" si="47"/>
        <v>291.351116</v>
      </c>
      <c r="M97" s="110">
        <f t="shared" si="47"/>
        <v>291.351116</v>
      </c>
      <c r="N97" s="110">
        <f t="shared" si="47"/>
        <v>291.351116</v>
      </c>
      <c r="O97" s="110">
        <f t="shared" si="47"/>
        <v>291.351116</v>
      </c>
      <c r="P97" s="110">
        <f t="shared" si="47"/>
        <v>291.351116</v>
      </c>
      <c r="Q97" s="110">
        <f t="shared" si="47"/>
        <v>291.351116</v>
      </c>
      <c r="R97" s="110">
        <f t="shared" si="47"/>
        <v>291.351116</v>
      </c>
      <c r="S97" s="110">
        <f t="shared" si="47"/>
        <v>291.351116</v>
      </c>
      <c r="T97" s="110">
        <f t="shared" si="47"/>
        <v>291.351116</v>
      </c>
      <c r="U97" s="110">
        <f t="shared" si="47"/>
        <v>291.351116</v>
      </c>
      <c r="V97" s="110">
        <f t="shared" si="47"/>
        <v>291.351116</v>
      </c>
      <c r="W97" s="110">
        <f t="shared" si="47"/>
        <v>291.351116</v>
      </c>
      <c r="X97" s="110">
        <f t="shared" si="47"/>
        <v>291.351116</v>
      </c>
      <c r="Y97" s="110">
        <f t="shared" si="47"/>
        <v>291.351116</v>
      </c>
      <c r="Z97" s="110">
        <f t="shared" si="47"/>
        <v>291.351116</v>
      </c>
      <c r="AA97" s="110">
        <f t="shared" si="47"/>
        <v>291.351116</v>
      </c>
      <c r="AB97" s="110">
        <f t="shared" si="47"/>
        <v>291.351116</v>
      </c>
      <c r="AC97" s="110">
        <f t="shared" si="47"/>
        <v>291.351116</v>
      </c>
      <c r="AD97" s="110">
        <f t="shared" si="47"/>
        <v>291.351116</v>
      </c>
      <c r="AE97" s="110">
        <f t="shared" si="47"/>
        <v>291.351116</v>
      </c>
      <c r="AF97" s="110">
        <f t="shared" si="47"/>
        <v>291.351116</v>
      </c>
      <c r="AG97" s="137"/>
    </row>
    <row r="98" ht="15" spans="2:33">
      <c r="B98" s="107"/>
      <c r="C98" s="108" t="s">
        <v>994</v>
      </c>
      <c r="D98" s="109">
        <f>SUM(J98:AF98)</f>
        <v>291.351116</v>
      </c>
      <c r="E98" s="109" t="s">
        <v>24</v>
      </c>
      <c r="F98" s="110"/>
      <c r="G98" s="110"/>
      <c r="H98" s="110"/>
      <c r="I98" s="110"/>
      <c r="J98" s="110">
        <f t="shared" ref="J98:AF98" si="48">J97-J99</f>
        <v>0</v>
      </c>
      <c r="K98" s="110">
        <f t="shared" si="48"/>
        <v>0</v>
      </c>
      <c r="L98" s="110">
        <f t="shared" si="48"/>
        <v>0</v>
      </c>
      <c r="M98" s="110">
        <f t="shared" si="48"/>
        <v>0</v>
      </c>
      <c r="N98" s="110">
        <f t="shared" si="48"/>
        <v>0</v>
      </c>
      <c r="O98" s="110">
        <f t="shared" si="48"/>
        <v>0</v>
      </c>
      <c r="P98" s="110">
        <f t="shared" si="48"/>
        <v>0</v>
      </c>
      <c r="Q98" s="110">
        <f t="shared" si="48"/>
        <v>0</v>
      </c>
      <c r="R98" s="110">
        <f t="shared" si="48"/>
        <v>0</v>
      </c>
      <c r="S98" s="110">
        <f t="shared" si="48"/>
        <v>0</v>
      </c>
      <c r="T98" s="110">
        <f t="shared" si="48"/>
        <v>0</v>
      </c>
      <c r="U98" s="110">
        <f t="shared" si="48"/>
        <v>0</v>
      </c>
      <c r="V98" s="110">
        <f t="shared" si="48"/>
        <v>0</v>
      </c>
      <c r="W98" s="110">
        <f t="shared" si="48"/>
        <v>0</v>
      </c>
      <c r="X98" s="110">
        <f t="shared" si="48"/>
        <v>0</v>
      </c>
      <c r="Y98" s="110">
        <f t="shared" si="48"/>
        <v>0</v>
      </c>
      <c r="Z98" s="110">
        <f t="shared" si="48"/>
        <v>0</v>
      </c>
      <c r="AA98" s="110">
        <f t="shared" si="48"/>
        <v>0</v>
      </c>
      <c r="AB98" s="110">
        <f t="shared" si="48"/>
        <v>0</v>
      </c>
      <c r="AC98" s="110">
        <f t="shared" si="48"/>
        <v>0</v>
      </c>
      <c r="AD98" s="110">
        <f t="shared" si="48"/>
        <v>0</v>
      </c>
      <c r="AE98" s="110">
        <f t="shared" si="48"/>
        <v>0</v>
      </c>
      <c r="AF98" s="110">
        <f t="shared" si="48"/>
        <v>291.351116</v>
      </c>
      <c r="AG98" s="137"/>
    </row>
    <row r="99" ht="15.75" spans="2:33">
      <c r="B99" s="111"/>
      <c r="C99" s="112" t="s">
        <v>995</v>
      </c>
      <c r="D99" s="113"/>
      <c r="E99" s="109" t="s">
        <v>24</v>
      </c>
      <c r="F99" s="114"/>
      <c r="G99" s="114"/>
      <c r="H99" s="114"/>
      <c r="I99" s="129">
        <f>'表10-资产负债表(标准格式)'!$H$21-折现率、非经营、长投计算表!$E$28</f>
        <v>291.351116</v>
      </c>
      <c r="J99" s="114">
        <f t="shared" ref="J99:AE99" si="49">I99</f>
        <v>291.351116</v>
      </c>
      <c r="K99" s="114">
        <f t="shared" si="49"/>
        <v>291.351116</v>
      </c>
      <c r="L99" s="114">
        <f t="shared" si="49"/>
        <v>291.351116</v>
      </c>
      <c r="M99" s="114">
        <f t="shared" si="49"/>
        <v>291.351116</v>
      </c>
      <c r="N99" s="114">
        <f t="shared" si="49"/>
        <v>291.351116</v>
      </c>
      <c r="O99" s="114">
        <f t="shared" si="49"/>
        <v>291.351116</v>
      </c>
      <c r="P99" s="114">
        <f t="shared" si="49"/>
        <v>291.351116</v>
      </c>
      <c r="Q99" s="114">
        <f t="shared" si="49"/>
        <v>291.351116</v>
      </c>
      <c r="R99" s="114">
        <f t="shared" si="49"/>
        <v>291.351116</v>
      </c>
      <c r="S99" s="114">
        <f t="shared" si="49"/>
        <v>291.351116</v>
      </c>
      <c r="T99" s="114">
        <f t="shared" si="49"/>
        <v>291.351116</v>
      </c>
      <c r="U99" s="114">
        <f t="shared" si="49"/>
        <v>291.351116</v>
      </c>
      <c r="V99" s="114">
        <f t="shared" si="49"/>
        <v>291.351116</v>
      </c>
      <c r="W99" s="114">
        <f t="shared" si="49"/>
        <v>291.351116</v>
      </c>
      <c r="X99" s="114">
        <f t="shared" si="49"/>
        <v>291.351116</v>
      </c>
      <c r="Y99" s="114">
        <f t="shared" si="49"/>
        <v>291.351116</v>
      </c>
      <c r="Z99" s="114">
        <f t="shared" si="49"/>
        <v>291.351116</v>
      </c>
      <c r="AA99" s="114">
        <f t="shared" si="49"/>
        <v>291.351116</v>
      </c>
      <c r="AB99" s="114">
        <f t="shared" si="49"/>
        <v>291.351116</v>
      </c>
      <c r="AC99" s="114">
        <f t="shared" si="49"/>
        <v>291.351116</v>
      </c>
      <c r="AD99" s="114">
        <f t="shared" si="49"/>
        <v>291.351116</v>
      </c>
      <c r="AE99" s="114">
        <f t="shared" si="49"/>
        <v>291.351116</v>
      </c>
      <c r="AF99" s="148">
        <v>0</v>
      </c>
      <c r="AG99" s="138"/>
    </row>
    <row r="100" ht="15" spans="2:33">
      <c r="B100" s="103">
        <v>5</v>
      </c>
      <c r="C100" s="104" t="s">
        <v>997</v>
      </c>
      <c r="D100" s="105"/>
      <c r="E100" s="105"/>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c r="AD100" s="106"/>
      <c r="AE100" s="106"/>
      <c r="AF100" s="106"/>
      <c r="AG100" s="136"/>
    </row>
    <row r="101" ht="15" spans="2:33">
      <c r="B101" s="107"/>
      <c r="C101" s="108" t="s">
        <v>993</v>
      </c>
      <c r="D101" s="109"/>
      <c r="E101" s="109" t="s">
        <v>24</v>
      </c>
      <c r="F101" s="110"/>
      <c r="G101" s="110"/>
      <c r="H101" s="110"/>
      <c r="I101" s="110"/>
      <c r="J101" s="110">
        <f t="shared" ref="J101:AF101" si="50">I103</f>
        <v>0</v>
      </c>
      <c r="K101" s="110">
        <f t="shared" si="50"/>
        <v>0</v>
      </c>
      <c r="L101" s="110">
        <f t="shared" si="50"/>
        <v>0</v>
      </c>
      <c r="M101" s="110">
        <f t="shared" si="50"/>
        <v>0</v>
      </c>
      <c r="N101" s="110">
        <f t="shared" si="50"/>
        <v>0</v>
      </c>
      <c r="O101" s="110">
        <f t="shared" si="50"/>
        <v>0</v>
      </c>
      <c r="P101" s="110">
        <f t="shared" si="50"/>
        <v>0</v>
      </c>
      <c r="Q101" s="110">
        <f t="shared" si="50"/>
        <v>0</v>
      </c>
      <c r="R101" s="110">
        <f t="shared" si="50"/>
        <v>0</v>
      </c>
      <c r="S101" s="110">
        <f t="shared" si="50"/>
        <v>0</v>
      </c>
      <c r="T101" s="110">
        <f t="shared" si="50"/>
        <v>0</v>
      </c>
      <c r="U101" s="110">
        <f t="shared" si="50"/>
        <v>0</v>
      </c>
      <c r="V101" s="110">
        <f t="shared" si="50"/>
        <v>0</v>
      </c>
      <c r="W101" s="110">
        <f t="shared" si="50"/>
        <v>0</v>
      </c>
      <c r="X101" s="110">
        <f t="shared" si="50"/>
        <v>0</v>
      </c>
      <c r="Y101" s="110">
        <f t="shared" si="50"/>
        <v>0</v>
      </c>
      <c r="Z101" s="110">
        <f t="shared" si="50"/>
        <v>0</v>
      </c>
      <c r="AA101" s="110">
        <f t="shared" si="50"/>
        <v>0</v>
      </c>
      <c r="AB101" s="110">
        <f t="shared" si="50"/>
        <v>0</v>
      </c>
      <c r="AC101" s="110">
        <f t="shared" si="50"/>
        <v>0</v>
      </c>
      <c r="AD101" s="110">
        <f t="shared" si="50"/>
        <v>0</v>
      </c>
      <c r="AE101" s="110">
        <f t="shared" si="50"/>
        <v>0</v>
      </c>
      <c r="AF101" s="110">
        <f t="shared" si="50"/>
        <v>0</v>
      </c>
      <c r="AG101" s="137"/>
    </row>
    <row r="102" ht="15" spans="2:33">
      <c r="B102" s="107"/>
      <c r="C102" s="108" t="s">
        <v>994</v>
      </c>
      <c r="D102" s="109">
        <f>SUM(J102:AF102)</f>
        <v>0</v>
      </c>
      <c r="E102" s="109" t="s">
        <v>24</v>
      </c>
      <c r="F102" s="110"/>
      <c r="G102" s="110"/>
      <c r="H102" s="110"/>
      <c r="I102" s="110"/>
      <c r="J102" s="110">
        <f t="shared" ref="J102:AF102" si="51">J101-J103</f>
        <v>0</v>
      </c>
      <c r="K102" s="110">
        <f t="shared" si="51"/>
        <v>0</v>
      </c>
      <c r="L102" s="110">
        <f t="shared" si="51"/>
        <v>0</v>
      </c>
      <c r="M102" s="110">
        <f t="shared" si="51"/>
        <v>0</v>
      </c>
      <c r="N102" s="110">
        <f t="shared" si="51"/>
        <v>0</v>
      </c>
      <c r="O102" s="110">
        <f t="shared" si="51"/>
        <v>0</v>
      </c>
      <c r="P102" s="110">
        <f t="shared" si="51"/>
        <v>0</v>
      </c>
      <c r="Q102" s="110">
        <f t="shared" si="51"/>
        <v>0</v>
      </c>
      <c r="R102" s="110">
        <f t="shared" si="51"/>
        <v>0</v>
      </c>
      <c r="S102" s="110">
        <f t="shared" si="51"/>
        <v>0</v>
      </c>
      <c r="T102" s="110">
        <f t="shared" si="51"/>
        <v>0</v>
      </c>
      <c r="U102" s="110">
        <f t="shared" si="51"/>
        <v>0</v>
      </c>
      <c r="V102" s="110">
        <f t="shared" si="51"/>
        <v>0</v>
      </c>
      <c r="W102" s="110">
        <f t="shared" si="51"/>
        <v>0</v>
      </c>
      <c r="X102" s="110">
        <f t="shared" si="51"/>
        <v>0</v>
      </c>
      <c r="Y102" s="110">
        <f t="shared" si="51"/>
        <v>0</v>
      </c>
      <c r="Z102" s="110">
        <f t="shared" si="51"/>
        <v>0</v>
      </c>
      <c r="AA102" s="110">
        <f t="shared" si="51"/>
        <v>0</v>
      </c>
      <c r="AB102" s="110">
        <f t="shared" si="51"/>
        <v>0</v>
      </c>
      <c r="AC102" s="110">
        <f t="shared" si="51"/>
        <v>0</v>
      </c>
      <c r="AD102" s="110">
        <f t="shared" si="51"/>
        <v>0</v>
      </c>
      <c r="AE102" s="110">
        <f t="shared" si="51"/>
        <v>0</v>
      </c>
      <c r="AF102" s="110">
        <f t="shared" si="51"/>
        <v>0</v>
      </c>
      <c r="AG102" s="137"/>
    </row>
    <row r="103" ht="15.75" spans="2:33">
      <c r="B103" s="111"/>
      <c r="C103" s="112" t="s">
        <v>995</v>
      </c>
      <c r="D103" s="113"/>
      <c r="E103" s="109" t="s">
        <v>24</v>
      </c>
      <c r="F103" s="114"/>
      <c r="G103" s="114"/>
      <c r="H103" s="114"/>
      <c r="I103" s="129">
        <f>'表10-资产负债表(标准格式)'!$H$37-折现率、非经营、长投计算表!$E$34</f>
        <v>0</v>
      </c>
      <c r="J103" s="114">
        <f t="shared" ref="J103:AE103" si="52">I103</f>
        <v>0</v>
      </c>
      <c r="K103" s="114">
        <f t="shared" si="52"/>
        <v>0</v>
      </c>
      <c r="L103" s="114">
        <f t="shared" si="52"/>
        <v>0</v>
      </c>
      <c r="M103" s="114">
        <f t="shared" si="52"/>
        <v>0</v>
      </c>
      <c r="N103" s="114">
        <f t="shared" si="52"/>
        <v>0</v>
      </c>
      <c r="O103" s="114">
        <f t="shared" si="52"/>
        <v>0</v>
      </c>
      <c r="P103" s="114">
        <f t="shared" si="52"/>
        <v>0</v>
      </c>
      <c r="Q103" s="114">
        <f t="shared" si="52"/>
        <v>0</v>
      </c>
      <c r="R103" s="114">
        <f t="shared" si="52"/>
        <v>0</v>
      </c>
      <c r="S103" s="114">
        <f t="shared" si="52"/>
        <v>0</v>
      </c>
      <c r="T103" s="114">
        <f t="shared" si="52"/>
        <v>0</v>
      </c>
      <c r="U103" s="114">
        <f t="shared" si="52"/>
        <v>0</v>
      </c>
      <c r="V103" s="114">
        <f t="shared" si="52"/>
        <v>0</v>
      </c>
      <c r="W103" s="114">
        <f t="shared" si="52"/>
        <v>0</v>
      </c>
      <c r="X103" s="114">
        <f t="shared" si="52"/>
        <v>0</v>
      </c>
      <c r="Y103" s="114">
        <f t="shared" si="52"/>
        <v>0</v>
      </c>
      <c r="Z103" s="114">
        <f t="shared" si="52"/>
        <v>0</v>
      </c>
      <c r="AA103" s="114">
        <f t="shared" si="52"/>
        <v>0</v>
      </c>
      <c r="AB103" s="114">
        <f t="shared" si="52"/>
        <v>0</v>
      </c>
      <c r="AC103" s="114">
        <f t="shared" si="52"/>
        <v>0</v>
      </c>
      <c r="AD103" s="114">
        <f t="shared" si="52"/>
        <v>0</v>
      </c>
      <c r="AE103" s="114">
        <f t="shared" si="52"/>
        <v>0</v>
      </c>
      <c r="AF103" s="148">
        <v>0</v>
      </c>
      <c r="AG103" s="138"/>
    </row>
    <row r="104" ht="15" spans="2:33">
      <c r="B104" s="103">
        <v>6</v>
      </c>
      <c r="C104" s="115" t="s">
        <v>712</v>
      </c>
      <c r="D104" s="105"/>
      <c r="E104" s="105"/>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c r="AD104" s="106"/>
      <c r="AE104" s="106"/>
      <c r="AF104" s="106"/>
      <c r="AG104" s="136"/>
    </row>
    <row r="105" ht="15" spans="2:33">
      <c r="B105" s="107"/>
      <c r="C105" s="116" t="s">
        <v>993</v>
      </c>
      <c r="D105" s="109"/>
      <c r="E105" s="109" t="s">
        <v>24</v>
      </c>
      <c r="F105" s="110"/>
      <c r="G105" s="110"/>
      <c r="H105" s="110"/>
      <c r="I105" s="110"/>
      <c r="J105" s="110">
        <f t="shared" ref="J105:AF105" si="53">I107</f>
        <v>0</v>
      </c>
      <c r="K105" s="110">
        <f t="shared" si="53"/>
        <v>0</v>
      </c>
      <c r="L105" s="110">
        <f t="shared" si="53"/>
        <v>0</v>
      </c>
      <c r="M105" s="110">
        <f t="shared" si="53"/>
        <v>0</v>
      </c>
      <c r="N105" s="110">
        <f t="shared" si="53"/>
        <v>0</v>
      </c>
      <c r="O105" s="110">
        <f t="shared" si="53"/>
        <v>0</v>
      </c>
      <c r="P105" s="110">
        <f t="shared" si="53"/>
        <v>0</v>
      </c>
      <c r="Q105" s="110">
        <f t="shared" si="53"/>
        <v>0</v>
      </c>
      <c r="R105" s="110">
        <f t="shared" si="53"/>
        <v>0</v>
      </c>
      <c r="S105" s="110">
        <f t="shared" si="53"/>
        <v>0</v>
      </c>
      <c r="T105" s="110">
        <f t="shared" si="53"/>
        <v>0</v>
      </c>
      <c r="U105" s="110">
        <f t="shared" si="53"/>
        <v>0</v>
      </c>
      <c r="V105" s="110">
        <f t="shared" si="53"/>
        <v>0</v>
      </c>
      <c r="W105" s="110">
        <f t="shared" si="53"/>
        <v>0</v>
      </c>
      <c r="X105" s="110">
        <f t="shared" si="53"/>
        <v>0</v>
      </c>
      <c r="Y105" s="110">
        <f t="shared" si="53"/>
        <v>0</v>
      </c>
      <c r="Z105" s="110">
        <f t="shared" si="53"/>
        <v>0</v>
      </c>
      <c r="AA105" s="110">
        <f t="shared" si="53"/>
        <v>0</v>
      </c>
      <c r="AB105" s="110">
        <f t="shared" si="53"/>
        <v>0</v>
      </c>
      <c r="AC105" s="110">
        <f t="shared" si="53"/>
        <v>0</v>
      </c>
      <c r="AD105" s="110">
        <f t="shared" si="53"/>
        <v>0</v>
      </c>
      <c r="AE105" s="110">
        <f t="shared" si="53"/>
        <v>0</v>
      </c>
      <c r="AF105" s="110">
        <f t="shared" si="53"/>
        <v>0</v>
      </c>
      <c r="AG105" s="137"/>
    </row>
    <row r="106" ht="15" spans="2:33">
      <c r="B106" s="107"/>
      <c r="C106" s="116" t="s">
        <v>994</v>
      </c>
      <c r="D106" s="109">
        <f>SUM(J106:AF106)</f>
        <v>0</v>
      </c>
      <c r="E106" s="109" t="s">
        <v>24</v>
      </c>
      <c r="F106" s="110"/>
      <c r="G106" s="110"/>
      <c r="H106" s="110"/>
      <c r="I106" s="110"/>
      <c r="J106" s="110">
        <f t="shared" ref="J106:AF106" si="54">J105-J107</f>
        <v>0</v>
      </c>
      <c r="K106" s="110">
        <f t="shared" si="54"/>
        <v>0</v>
      </c>
      <c r="L106" s="110">
        <f t="shared" si="54"/>
        <v>0</v>
      </c>
      <c r="M106" s="110">
        <f t="shared" si="54"/>
        <v>0</v>
      </c>
      <c r="N106" s="110">
        <f t="shared" si="54"/>
        <v>0</v>
      </c>
      <c r="O106" s="110">
        <f t="shared" si="54"/>
        <v>0</v>
      </c>
      <c r="P106" s="110">
        <f t="shared" si="54"/>
        <v>0</v>
      </c>
      <c r="Q106" s="110">
        <f t="shared" si="54"/>
        <v>0</v>
      </c>
      <c r="R106" s="110">
        <f t="shared" si="54"/>
        <v>0</v>
      </c>
      <c r="S106" s="110">
        <f t="shared" si="54"/>
        <v>0</v>
      </c>
      <c r="T106" s="110">
        <f t="shared" si="54"/>
        <v>0</v>
      </c>
      <c r="U106" s="110">
        <f t="shared" si="54"/>
        <v>0</v>
      </c>
      <c r="V106" s="110">
        <f t="shared" si="54"/>
        <v>0</v>
      </c>
      <c r="W106" s="110">
        <f t="shared" si="54"/>
        <v>0</v>
      </c>
      <c r="X106" s="110">
        <f t="shared" si="54"/>
        <v>0</v>
      </c>
      <c r="Y106" s="110">
        <f t="shared" si="54"/>
        <v>0</v>
      </c>
      <c r="Z106" s="110">
        <f t="shared" si="54"/>
        <v>0</v>
      </c>
      <c r="AA106" s="110">
        <f t="shared" si="54"/>
        <v>0</v>
      </c>
      <c r="AB106" s="110">
        <f t="shared" si="54"/>
        <v>0</v>
      </c>
      <c r="AC106" s="110">
        <f t="shared" si="54"/>
        <v>0</v>
      </c>
      <c r="AD106" s="110">
        <f t="shared" si="54"/>
        <v>0</v>
      </c>
      <c r="AE106" s="110">
        <f t="shared" si="54"/>
        <v>0</v>
      </c>
      <c r="AF106" s="110">
        <f t="shared" si="54"/>
        <v>0</v>
      </c>
      <c r="AG106" s="137"/>
    </row>
    <row r="107" ht="15.75" spans="2:33">
      <c r="B107" s="111"/>
      <c r="C107" s="117" t="s">
        <v>995</v>
      </c>
      <c r="D107" s="113"/>
      <c r="E107" s="109" t="s">
        <v>24</v>
      </c>
      <c r="F107" s="114"/>
      <c r="G107" s="114"/>
      <c r="H107" s="114"/>
      <c r="I107" s="129">
        <f>'表10-资产负债表(标准格式)'!$H$27-折现率、非经营、长投计算表!$E$29</f>
        <v>0</v>
      </c>
      <c r="J107" s="114">
        <f t="shared" ref="J107:AE107" si="55">I107</f>
        <v>0</v>
      </c>
      <c r="K107" s="114">
        <f t="shared" si="55"/>
        <v>0</v>
      </c>
      <c r="L107" s="114">
        <f t="shared" si="55"/>
        <v>0</v>
      </c>
      <c r="M107" s="114">
        <f t="shared" si="55"/>
        <v>0</v>
      </c>
      <c r="N107" s="114">
        <f t="shared" si="55"/>
        <v>0</v>
      </c>
      <c r="O107" s="114">
        <f t="shared" si="55"/>
        <v>0</v>
      </c>
      <c r="P107" s="114">
        <f t="shared" si="55"/>
        <v>0</v>
      </c>
      <c r="Q107" s="114">
        <f t="shared" si="55"/>
        <v>0</v>
      </c>
      <c r="R107" s="114">
        <f t="shared" si="55"/>
        <v>0</v>
      </c>
      <c r="S107" s="114">
        <f t="shared" si="55"/>
        <v>0</v>
      </c>
      <c r="T107" s="114">
        <f t="shared" si="55"/>
        <v>0</v>
      </c>
      <c r="U107" s="114">
        <f t="shared" si="55"/>
        <v>0</v>
      </c>
      <c r="V107" s="114">
        <f t="shared" si="55"/>
        <v>0</v>
      </c>
      <c r="W107" s="114">
        <f t="shared" si="55"/>
        <v>0</v>
      </c>
      <c r="X107" s="114">
        <f t="shared" si="55"/>
        <v>0</v>
      </c>
      <c r="Y107" s="114">
        <f t="shared" si="55"/>
        <v>0</v>
      </c>
      <c r="Z107" s="114">
        <f t="shared" si="55"/>
        <v>0</v>
      </c>
      <c r="AA107" s="114">
        <f t="shared" si="55"/>
        <v>0</v>
      </c>
      <c r="AB107" s="114">
        <f t="shared" si="55"/>
        <v>0</v>
      </c>
      <c r="AC107" s="114">
        <f t="shared" si="55"/>
        <v>0</v>
      </c>
      <c r="AD107" s="114">
        <f t="shared" si="55"/>
        <v>0</v>
      </c>
      <c r="AE107" s="114">
        <f t="shared" si="55"/>
        <v>0</v>
      </c>
      <c r="AF107" s="148">
        <v>0</v>
      </c>
      <c r="AG107" s="138"/>
    </row>
    <row r="108" ht="22.95" customHeight="1" spans="2:33">
      <c r="B108" s="118" t="s">
        <v>998</v>
      </c>
      <c r="C108" s="119"/>
      <c r="D108" s="120"/>
      <c r="E108" s="120"/>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c r="AD108" s="106"/>
      <c r="AE108" s="106"/>
      <c r="AF108" s="106"/>
      <c r="AG108" s="136"/>
    </row>
    <row r="109" ht="15" spans="2:33">
      <c r="B109" s="107"/>
      <c r="C109" s="108" t="s">
        <v>993</v>
      </c>
      <c r="D109" s="109"/>
      <c r="E109" s="109" t="s">
        <v>24</v>
      </c>
      <c r="F109" s="110"/>
      <c r="G109" s="110"/>
      <c r="H109" s="110"/>
      <c r="I109" s="130"/>
      <c r="J109" s="110">
        <f t="shared" ref="J109:AF109" si="56">I111</f>
        <v>10455.620977</v>
      </c>
      <c r="K109" s="110">
        <f t="shared" si="56"/>
        <v>10455.620977</v>
      </c>
      <c r="L109" s="110">
        <f t="shared" si="56"/>
        <v>10455.620977</v>
      </c>
      <c r="M109" s="110">
        <f t="shared" si="56"/>
        <v>10455.620977</v>
      </c>
      <c r="N109" s="110">
        <f t="shared" si="56"/>
        <v>10455.620977</v>
      </c>
      <c r="O109" s="110">
        <f t="shared" si="56"/>
        <v>10455.620977</v>
      </c>
      <c r="P109" s="110">
        <f t="shared" si="56"/>
        <v>10455.620977</v>
      </c>
      <c r="Q109" s="110">
        <f t="shared" si="56"/>
        <v>10455.620977</v>
      </c>
      <c r="R109" s="110">
        <f t="shared" si="56"/>
        <v>10455.620977</v>
      </c>
      <c r="S109" s="110">
        <f t="shared" si="56"/>
        <v>10455.620977</v>
      </c>
      <c r="T109" s="110">
        <f t="shared" si="56"/>
        <v>10455.620977</v>
      </c>
      <c r="U109" s="110">
        <f t="shared" si="56"/>
        <v>10455.620977</v>
      </c>
      <c r="V109" s="110">
        <f t="shared" si="56"/>
        <v>10455.620977</v>
      </c>
      <c r="W109" s="110">
        <f t="shared" si="56"/>
        <v>10455.620977</v>
      </c>
      <c r="X109" s="110">
        <f t="shared" si="56"/>
        <v>10455.620977</v>
      </c>
      <c r="Y109" s="110">
        <f t="shared" si="56"/>
        <v>10455.620977</v>
      </c>
      <c r="Z109" s="110">
        <f t="shared" si="56"/>
        <v>10455.620977</v>
      </c>
      <c r="AA109" s="110">
        <f t="shared" si="56"/>
        <v>10455.620977</v>
      </c>
      <c r="AB109" s="110">
        <f t="shared" si="56"/>
        <v>10455.620977</v>
      </c>
      <c r="AC109" s="110">
        <f t="shared" si="56"/>
        <v>10455.620977</v>
      </c>
      <c r="AD109" s="110">
        <f t="shared" si="56"/>
        <v>10455.620977</v>
      </c>
      <c r="AE109" s="110">
        <f t="shared" si="56"/>
        <v>10455.620977</v>
      </c>
      <c r="AF109" s="110">
        <f t="shared" si="56"/>
        <v>10455.620977</v>
      </c>
      <c r="AG109" s="137"/>
    </row>
    <row r="110" ht="15" spans="2:33">
      <c r="B110" s="107"/>
      <c r="C110" s="108" t="s">
        <v>994</v>
      </c>
      <c r="D110" s="109">
        <f>SUM(J110:AF110)</f>
        <v>10455.620977</v>
      </c>
      <c r="E110" s="109" t="s">
        <v>24</v>
      </c>
      <c r="F110" s="110"/>
      <c r="G110" s="110"/>
      <c r="H110" s="110"/>
      <c r="I110" s="130"/>
      <c r="J110" s="131">
        <f>J86+J90+J94+J98+J102+J106</f>
        <v>0</v>
      </c>
      <c r="K110" s="131">
        <f t="shared" ref="K110:AF110" si="57">K86+K90+K94+K98+K102+K106</f>
        <v>0</v>
      </c>
      <c r="L110" s="131">
        <f t="shared" si="57"/>
        <v>0</v>
      </c>
      <c r="M110" s="131">
        <f t="shared" si="57"/>
        <v>0</v>
      </c>
      <c r="N110" s="131">
        <f t="shared" si="57"/>
        <v>0</v>
      </c>
      <c r="O110" s="131">
        <f t="shared" si="57"/>
        <v>0</v>
      </c>
      <c r="P110" s="131">
        <f t="shared" si="57"/>
        <v>0</v>
      </c>
      <c r="Q110" s="131">
        <f t="shared" si="57"/>
        <v>0</v>
      </c>
      <c r="R110" s="131">
        <f t="shared" si="57"/>
        <v>0</v>
      </c>
      <c r="S110" s="131">
        <f t="shared" si="57"/>
        <v>0</v>
      </c>
      <c r="T110" s="131">
        <f t="shared" si="57"/>
        <v>0</v>
      </c>
      <c r="U110" s="131">
        <f t="shared" si="57"/>
        <v>0</v>
      </c>
      <c r="V110" s="131">
        <f t="shared" si="57"/>
        <v>0</v>
      </c>
      <c r="W110" s="131">
        <f t="shared" si="57"/>
        <v>0</v>
      </c>
      <c r="X110" s="131">
        <f t="shared" si="57"/>
        <v>0</v>
      </c>
      <c r="Y110" s="131">
        <f t="shared" si="57"/>
        <v>0</v>
      </c>
      <c r="Z110" s="131">
        <f t="shared" si="57"/>
        <v>0</v>
      </c>
      <c r="AA110" s="131">
        <f t="shared" si="57"/>
        <v>0</v>
      </c>
      <c r="AB110" s="131">
        <f t="shared" si="57"/>
        <v>0</v>
      </c>
      <c r="AC110" s="131">
        <f t="shared" si="57"/>
        <v>0</v>
      </c>
      <c r="AD110" s="131">
        <f t="shared" si="57"/>
        <v>0</v>
      </c>
      <c r="AE110" s="131">
        <f t="shared" si="57"/>
        <v>0</v>
      </c>
      <c r="AF110" s="131">
        <f t="shared" si="57"/>
        <v>10455.620977</v>
      </c>
      <c r="AG110" s="137"/>
    </row>
    <row r="111" s="95" customFormat="1" ht="15.75" spans="2:33">
      <c r="B111" s="121"/>
      <c r="C111" s="112" t="s">
        <v>995</v>
      </c>
      <c r="D111" s="122"/>
      <c r="E111" s="109" t="s">
        <v>24</v>
      </c>
      <c r="F111" s="123"/>
      <c r="G111" s="123"/>
      <c r="H111" s="123"/>
      <c r="I111" s="132">
        <f>I87+I91+I95+I99+I103+I107</f>
        <v>10455.620977</v>
      </c>
      <c r="J111" s="123">
        <f t="shared" ref="J111:AF111" si="58">J109-J110</f>
        <v>10455.620977</v>
      </c>
      <c r="K111" s="123">
        <f t="shared" si="58"/>
        <v>10455.620977</v>
      </c>
      <c r="L111" s="123">
        <f t="shared" si="58"/>
        <v>10455.620977</v>
      </c>
      <c r="M111" s="123">
        <f t="shared" si="58"/>
        <v>10455.620977</v>
      </c>
      <c r="N111" s="123">
        <f t="shared" si="58"/>
        <v>10455.620977</v>
      </c>
      <c r="O111" s="123">
        <f t="shared" si="58"/>
        <v>10455.620977</v>
      </c>
      <c r="P111" s="123">
        <f t="shared" si="58"/>
        <v>10455.620977</v>
      </c>
      <c r="Q111" s="123">
        <f t="shared" si="58"/>
        <v>10455.620977</v>
      </c>
      <c r="R111" s="123">
        <f t="shared" si="58"/>
        <v>10455.620977</v>
      </c>
      <c r="S111" s="123">
        <f t="shared" si="58"/>
        <v>10455.620977</v>
      </c>
      <c r="T111" s="123">
        <f t="shared" si="58"/>
        <v>10455.620977</v>
      </c>
      <c r="U111" s="123">
        <f t="shared" si="58"/>
        <v>10455.620977</v>
      </c>
      <c r="V111" s="123">
        <f t="shared" si="58"/>
        <v>10455.620977</v>
      </c>
      <c r="W111" s="123">
        <f t="shared" si="58"/>
        <v>10455.620977</v>
      </c>
      <c r="X111" s="123">
        <f t="shared" si="58"/>
        <v>10455.620977</v>
      </c>
      <c r="Y111" s="123">
        <f t="shared" si="58"/>
        <v>10455.620977</v>
      </c>
      <c r="Z111" s="123">
        <f t="shared" si="58"/>
        <v>10455.620977</v>
      </c>
      <c r="AA111" s="123">
        <f t="shared" si="58"/>
        <v>10455.620977</v>
      </c>
      <c r="AB111" s="123">
        <f t="shared" si="58"/>
        <v>10455.620977</v>
      </c>
      <c r="AC111" s="123">
        <f t="shared" si="58"/>
        <v>10455.620977</v>
      </c>
      <c r="AD111" s="123">
        <f t="shared" si="58"/>
        <v>10455.620977</v>
      </c>
      <c r="AE111" s="123">
        <f t="shared" si="58"/>
        <v>10455.620977</v>
      </c>
      <c r="AF111" s="123">
        <f t="shared" si="58"/>
        <v>0</v>
      </c>
      <c r="AG111" s="139"/>
    </row>
    <row r="112" ht="15.75" spans="2:33">
      <c r="B112" s="100" t="s">
        <v>629</v>
      </c>
      <c r="C112" s="101" t="s">
        <v>999</v>
      </c>
      <c r="D112" s="124"/>
      <c r="E112" s="124"/>
      <c r="F112" s="125"/>
      <c r="G112" s="125"/>
      <c r="H112" s="125"/>
      <c r="I112" s="125"/>
      <c r="J112" s="125"/>
      <c r="K112" s="125"/>
      <c r="L112" s="125"/>
      <c r="M112" s="125"/>
      <c r="N112" s="125"/>
      <c r="O112" s="125"/>
      <c r="P112" s="125"/>
      <c r="Q112" s="125"/>
      <c r="R112" s="125"/>
      <c r="S112" s="125"/>
      <c r="T112" s="125"/>
      <c r="U112" s="125"/>
      <c r="V112" s="125"/>
      <c r="W112" s="125"/>
      <c r="X112" s="125"/>
      <c r="Y112" s="125"/>
      <c r="Z112" s="125"/>
      <c r="AA112" s="125"/>
      <c r="AB112" s="125"/>
      <c r="AC112" s="125"/>
      <c r="AD112" s="125"/>
      <c r="AE112" s="125"/>
      <c r="AF112" s="125"/>
      <c r="AG112" s="135"/>
    </row>
    <row r="113" ht="15" spans="2:33">
      <c r="B113" s="103">
        <v>1</v>
      </c>
      <c r="C113" s="104" t="s">
        <v>715</v>
      </c>
      <c r="D113" s="105"/>
      <c r="E113" s="105"/>
      <c r="F113" s="106"/>
      <c r="G113" s="106"/>
      <c r="H113" s="106"/>
      <c r="I113" s="106"/>
      <c r="J113" s="106"/>
      <c r="K113" s="106"/>
      <c r="L113" s="106"/>
      <c r="M113" s="106"/>
      <c r="N113" s="106"/>
      <c r="O113" s="106"/>
      <c r="P113" s="106"/>
      <c r="Q113" s="106"/>
      <c r="R113" s="106"/>
      <c r="S113" s="106"/>
      <c r="T113" s="106"/>
      <c r="U113" s="106"/>
      <c r="V113" s="106"/>
      <c r="W113" s="106"/>
      <c r="X113" s="106"/>
      <c r="Y113" s="106"/>
      <c r="Z113" s="106"/>
      <c r="AA113" s="106"/>
      <c r="AB113" s="106"/>
      <c r="AC113" s="106"/>
      <c r="AD113" s="106"/>
      <c r="AE113" s="106"/>
      <c r="AF113" s="106"/>
      <c r="AG113" s="136"/>
    </row>
    <row r="114" ht="15" spans="2:33">
      <c r="B114" s="107"/>
      <c r="C114" s="108" t="s">
        <v>993</v>
      </c>
      <c r="D114" s="109"/>
      <c r="E114" s="109" t="s">
        <v>24</v>
      </c>
      <c r="F114" s="110"/>
      <c r="G114" s="110"/>
      <c r="H114" s="110"/>
      <c r="I114" s="110"/>
      <c r="J114" s="110">
        <f t="shared" ref="J114:AF114" si="59">I116</f>
        <v>0</v>
      </c>
      <c r="K114" s="110">
        <f t="shared" si="59"/>
        <v>0</v>
      </c>
      <c r="L114" s="110">
        <f t="shared" si="59"/>
        <v>0</v>
      </c>
      <c r="M114" s="110">
        <f t="shared" si="59"/>
        <v>0</v>
      </c>
      <c r="N114" s="110">
        <f t="shared" si="59"/>
        <v>0</v>
      </c>
      <c r="O114" s="110">
        <f t="shared" si="59"/>
        <v>0</v>
      </c>
      <c r="P114" s="110">
        <f t="shared" si="59"/>
        <v>0</v>
      </c>
      <c r="Q114" s="110">
        <f t="shared" si="59"/>
        <v>0</v>
      </c>
      <c r="R114" s="110">
        <f t="shared" si="59"/>
        <v>0</v>
      </c>
      <c r="S114" s="110">
        <f t="shared" si="59"/>
        <v>0</v>
      </c>
      <c r="T114" s="110">
        <f t="shared" si="59"/>
        <v>0</v>
      </c>
      <c r="U114" s="110">
        <f t="shared" si="59"/>
        <v>0</v>
      </c>
      <c r="V114" s="110">
        <f t="shared" si="59"/>
        <v>0</v>
      </c>
      <c r="W114" s="110">
        <f t="shared" si="59"/>
        <v>0</v>
      </c>
      <c r="X114" s="110">
        <f t="shared" si="59"/>
        <v>0</v>
      </c>
      <c r="Y114" s="110">
        <f t="shared" si="59"/>
        <v>0</v>
      </c>
      <c r="Z114" s="110">
        <f t="shared" si="59"/>
        <v>0</v>
      </c>
      <c r="AA114" s="110">
        <f t="shared" si="59"/>
        <v>0</v>
      </c>
      <c r="AB114" s="110">
        <f t="shared" si="59"/>
        <v>0</v>
      </c>
      <c r="AC114" s="110">
        <f t="shared" si="59"/>
        <v>0</v>
      </c>
      <c r="AD114" s="110">
        <f t="shared" si="59"/>
        <v>0</v>
      </c>
      <c r="AE114" s="110">
        <f t="shared" si="59"/>
        <v>0</v>
      </c>
      <c r="AF114" s="110">
        <f t="shared" si="59"/>
        <v>0</v>
      </c>
      <c r="AG114" s="137"/>
    </row>
    <row r="115" ht="15" spans="2:33">
      <c r="B115" s="107"/>
      <c r="C115" s="108" t="s">
        <v>994</v>
      </c>
      <c r="D115" s="109">
        <f>SUM(J115:AF115)</f>
        <v>0</v>
      </c>
      <c r="E115" s="109" t="s">
        <v>24</v>
      </c>
      <c r="F115" s="110"/>
      <c r="G115" s="110"/>
      <c r="H115" s="110"/>
      <c r="I115" s="110"/>
      <c r="J115" s="110">
        <f t="shared" ref="J115:AF115" si="60">J114-J116</f>
        <v>0</v>
      </c>
      <c r="K115" s="110">
        <f t="shared" si="60"/>
        <v>0</v>
      </c>
      <c r="L115" s="110">
        <f t="shared" si="60"/>
        <v>0</v>
      </c>
      <c r="M115" s="110">
        <f t="shared" si="60"/>
        <v>0</v>
      </c>
      <c r="N115" s="110">
        <f t="shared" si="60"/>
        <v>0</v>
      </c>
      <c r="O115" s="110">
        <f t="shared" si="60"/>
        <v>0</v>
      </c>
      <c r="P115" s="110">
        <f t="shared" si="60"/>
        <v>0</v>
      </c>
      <c r="Q115" s="110">
        <f t="shared" si="60"/>
        <v>0</v>
      </c>
      <c r="R115" s="110">
        <f t="shared" si="60"/>
        <v>0</v>
      </c>
      <c r="S115" s="110">
        <f t="shared" si="60"/>
        <v>0</v>
      </c>
      <c r="T115" s="110">
        <f t="shared" si="60"/>
        <v>0</v>
      </c>
      <c r="U115" s="110">
        <f t="shared" si="60"/>
        <v>0</v>
      </c>
      <c r="V115" s="110">
        <f t="shared" si="60"/>
        <v>0</v>
      </c>
      <c r="W115" s="110">
        <f t="shared" si="60"/>
        <v>0</v>
      </c>
      <c r="X115" s="110">
        <f t="shared" si="60"/>
        <v>0</v>
      </c>
      <c r="Y115" s="110">
        <f t="shared" si="60"/>
        <v>0</v>
      </c>
      <c r="Z115" s="110">
        <f t="shared" si="60"/>
        <v>0</v>
      </c>
      <c r="AA115" s="110">
        <f t="shared" si="60"/>
        <v>0</v>
      </c>
      <c r="AB115" s="110">
        <f t="shared" si="60"/>
        <v>0</v>
      </c>
      <c r="AC115" s="110">
        <f t="shared" si="60"/>
        <v>0</v>
      </c>
      <c r="AD115" s="110">
        <f t="shared" si="60"/>
        <v>0</v>
      </c>
      <c r="AE115" s="110">
        <f t="shared" si="60"/>
        <v>0</v>
      </c>
      <c r="AF115" s="110">
        <f t="shared" si="60"/>
        <v>0</v>
      </c>
      <c r="AG115" s="137"/>
    </row>
    <row r="116" ht="15.75" spans="2:33">
      <c r="B116" s="111"/>
      <c r="C116" s="112" t="s">
        <v>995</v>
      </c>
      <c r="D116" s="113"/>
      <c r="E116" s="109" t="s">
        <v>24</v>
      </c>
      <c r="F116" s="114"/>
      <c r="G116" s="114"/>
      <c r="H116" s="114"/>
      <c r="I116" s="129">
        <f>'表10-资产负债表(标准格式)'!$H$65-折现率、非经营、长投计算表!$E$43</f>
        <v>0</v>
      </c>
      <c r="J116" s="114">
        <f t="shared" ref="J116:AE116" si="61">I116</f>
        <v>0</v>
      </c>
      <c r="K116" s="114">
        <f t="shared" si="61"/>
        <v>0</v>
      </c>
      <c r="L116" s="114">
        <f t="shared" si="61"/>
        <v>0</v>
      </c>
      <c r="M116" s="114">
        <f t="shared" si="61"/>
        <v>0</v>
      </c>
      <c r="N116" s="114">
        <f t="shared" si="61"/>
        <v>0</v>
      </c>
      <c r="O116" s="114">
        <f t="shared" si="61"/>
        <v>0</v>
      </c>
      <c r="P116" s="114">
        <f t="shared" si="61"/>
        <v>0</v>
      </c>
      <c r="Q116" s="114">
        <f t="shared" si="61"/>
        <v>0</v>
      </c>
      <c r="R116" s="114">
        <f t="shared" si="61"/>
        <v>0</v>
      </c>
      <c r="S116" s="114">
        <f t="shared" si="61"/>
        <v>0</v>
      </c>
      <c r="T116" s="114">
        <f t="shared" si="61"/>
        <v>0</v>
      </c>
      <c r="U116" s="114">
        <f t="shared" si="61"/>
        <v>0</v>
      </c>
      <c r="V116" s="114">
        <f t="shared" si="61"/>
        <v>0</v>
      </c>
      <c r="W116" s="114">
        <f t="shared" si="61"/>
        <v>0</v>
      </c>
      <c r="X116" s="114">
        <f t="shared" si="61"/>
        <v>0</v>
      </c>
      <c r="Y116" s="114">
        <f t="shared" si="61"/>
        <v>0</v>
      </c>
      <c r="Z116" s="114">
        <f t="shared" si="61"/>
        <v>0</v>
      </c>
      <c r="AA116" s="114">
        <f t="shared" si="61"/>
        <v>0</v>
      </c>
      <c r="AB116" s="114">
        <f t="shared" si="61"/>
        <v>0</v>
      </c>
      <c r="AC116" s="114">
        <f t="shared" si="61"/>
        <v>0</v>
      </c>
      <c r="AD116" s="114">
        <f t="shared" si="61"/>
        <v>0</v>
      </c>
      <c r="AE116" s="114">
        <f t="shared" si="61"/>
        <v>0</v>
      </c>
      <c r="AF116" s="148">
        <v>0</v>
      </c>
      <c r="AG116" s="138"/>
    </row>
    <row r="117" ht="15" spans="2:33">
      <c r="B117" s="103">
        <v>2</v>
      </c>
      <c r="C117" s="104" t="s">
        <v>714</v>
      </c>
      <c r="D117" s="105"/>
      <c r="E117" s="105"/>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36"/>
    </row>
    <row r="118" ht="15" spans="2:33">
      <c r="B118" s="107"/>
      <c r="C118" s="108" t="s">
        <v>993</v>
      </c>
      <c r="D118" s="109"/>
      <c r="E118" s="109" t="s">
        <v>24</v>
      </c>
      <c r="F118" s="110"/>
      <c r="G118" s="110"/>
      <c r="H118" s="110"/>
      <c r="I118" s="110"/>
      <c r="J118" s="110">
        <f t="shared" ref="J118:AF118" si="62">I120</f>
        <v>232.318224</v>
      </c>
      <c r="K118" s="110">
        <f t="shared" si="62"/>
        <v>232.318224</v>
      </c>
      <c r="L118" s="110">
        <f t="shared" si="62"/>
        <v>232.318224</v>
      </c>
      <c r="M118" s="110">
        <f t="shared" si="62"/>
        <v>232.318224</v>
      </c>
      <c r="N118" s="110">
        <f t="shared" si="62"/>
        <v>232.318224</v>
      </c>
      <c r="O118" s="110">
        <f t="shared" si="62"/>
        <v>232.318224</v>
      </c>
      <c r="P118" s="110">
        <f t="shared" si="62"/>
        <v>232.318224</v>
      </c>
      <c r="Q118" s="110">
        <f t="shared" si="62"/>
        <v>232.318224</v>
      </c>
      <c r="R118" s="110">
        <f t="shared" si="62"/>
        <v>232.318224</v>
      </c>
      <c r="S118" s="110">
        <f t="shared" si="62"/>
        <v>232.318224</v>
      </c>
      <c r="T118" s="110">
        <f t="shared" si="62"/>
        <v>232.318224</v>
      </c>
      <c r="U118" s="110">
        <f t="shared" si="62"/>
        <v>232.318224</v>
      </c>
      <c r="V118" s="110">
        <f t="shared" si="62"/>
        <v>232.318224</v>
      </c>
      <c r="W118" s="110">
        <f t="shared" si="62"/>
        <v>232.318224</v>
      </c>
      <c r="X118" s="110">
        <f t="shared" si="62"/>
        <v>232.318224</v>
      </c>
      <c r="Y118" s="110">
        <f t="shared" si="62"/>
        <v>232.318224</v>
      </c>
      <c r="Z118" s="110">
        <f t="shared" si="62"/>
        <v>232.318224</v>
      </c>
      <c r="AA118" s="110">
        <f t="shared" si="62"/>
        <v>232.318224</v>
      </c>
      <c r="AB118" s="110">
        <f t="shared" si="62"/>
        <v>232.318224</v>
      </c>
      <c r="AC118" s="110">
        <f t="shared" si="62"/>
        <v>232.318224</v>
      </c>
      <c r="AD118" s="110">
        <f t="shared" si="62"/>
        <v>232.318224</v>
      </c>
      <c r="AE118" s="110">
        <f t="shared" si="62"/>
        <v>232.318224</v>
      </c>
      <c r="AF118" s="110">
        <f t="shared" si="62"/>
        <v>232.318224</v>
      </c>
      <c r="AG118" s="137"/>
    </row>
    <row r="119" ht="15" spans="2:33">
      <c r="B119" s="107"/>
      <c r="C119" s="108" t="s">
        <v>994</v>
      </c>
      <c r="D119" s="109">
        <f>SUM(J119:AF119)</f>
        <v>232.318224</v>
      </c>
      <c r="E119" s="109" t="s">
        <v>24</v>
      </c>
      <c r="F119" s="110"/>
      <c r="G119" s="110"/>
      <c r="H119" s="110"/>
      <c r="I119" s="110"/>
      <c r="J119" s="110">
        <f t="shared" ref="J119:AF119" si="63">J118-J120</f>
        <v>0</v>
      </c>
      <c r="K119" s="110">
        <f t="shared" si="63"/>
        <v>0</v>
      </c>
      <c r="L119" s="110">
        <f t="shared" si="63"/>
        <v>0</v>
      </c>
      <c r="M119" s="110">
        <f t="shared" si="63"/>
        <v>0</v>
      </c>
      <c r="N119" s="110">
        <f t="shared" si="63"/>
        <v>0</v>
      </c>
      <c r="O119" s="110">
        <f t="shared" si="63"/>
        <v>0</v>
      </c>
      <c r="P119" s="110">
        <f t="shared" si="63"/>
        <v>0</v>
      </c>
      <c r="Q119" s="110">
        <f t="shared" si="63"/>
        <v>0</v>
      </c>
      <c r="R119" s="110">
        <f t="shared" si="63"/>
        <v>0</v>
      </c>
      <c r="S119" s="110">
        <f t="shared" si="63"/>
        <v>0</v>
      </c>
      <c r="T119" s="110">
        <f t="shared" si="63"/>
        <v>0</v>
      </c>
      <c r="U119" s="110">
        <f t="shared" si="63"/>
        <v>0</v>
      </c>
      <c r="V119" s="110">
        <f t="shared" si="63"/>
        <v>0</v>
      </c>
      <c r="W119" s="110">
        <f t="shared" si="63"/>
        <v>0</v>
      </c>
      <c r="X119" s="110">
        <f t="shared" si="63"/>
        <v>0</v>
      </c>
      <c r="Y119" s="110">
        <f t="shared" si="63"/>
        <v>0</v>
      </c>
      <c r="Z119" s="110">
        <f t="shared" si="63"/>
        <v>0</v>
      </c>
      <c r="AA119" s="110">
        <f t="shared" si="63"/>
        <v>0</v>
      </c>
      <c r="AB119" s="110">
        <f t="shared" si="63"/>
        <v>0</v>
      </c>
      <c r="AC119" s="110">
        <f t="shared" si="63"/>
        <v>0</v>
      </c>
      <c r="AD119" s="110">
        <f t="shared" si="63"/>
        <v>0</v>
      </c>
      <c r="AE119" s="110">
        <f t="shared" si="63"/>
        <v>0</v>
      </c>
      <c r="AF119" s="110">
        <f t="shared" si="63"/>
        <v>232.318224</v>
      </c>
      <c r="AG119" s="137"/>
    </row>
    <row r="120" ht="15.75" spans="2:33">
      <c r="B120" s="111"/>
      <c r="C120" s="112" t="s">
        <v>995</v>
      </c>
      <c r="D120" s="113"/>
      <c r="E120" s="109" t="s">
        <v>24</v>
      </c>
      <c r="F120" s="114"/>
      <c r="G120" s="114"/>
      <c r="H120" s="114"/>
      <c r="I120" s="129">
        <f>'表10-资产负债表(标准格式)'!$H$66-折现率、非经营、长投计算表!$E$44</f>
        <v>232.318224</v>
      </c>
      <c r="J120" s="114">
        <f t="shared" ref="J120:AE120" si="64">I120</f>
        <v>232.318224</v>
      </c>
      <c r="K120" s="114">
        <f t="shared" si="64"/>
        <v>232.318224</v>
      </c>
      <c r="L120" s="114">
        <f t="shared" si="64"/>
        <v>232.318224</v>
      </c>
      <c r="M120" s="114">
        <f t="shared" si="64"/>
        <v>232.318224</v>
      </c>
      <c r="N120" s="114">
        <f t="shared" si="64"/>
        <v>232.318224</v>
      </c>
      <c r="O120" s="114">
        <f t="shared" si="64"/>
        <v>232.318224</v>
      </c>
      <c r="P120" s="114">
        <f t="shared" si="64"/>
        <v>232.318224</v>
      </c>
      <c r="Q120" s="114">
        <f t="shared" si="64"/>
        <v>232.318224</v>
      </c>
      <c r="R120" s="114">
        <f t="shared" si="64"/>
        <v>232.318224</v>
      </c>
      <c r="S120" s="114">
        <f t="shared" si="64"/>
        <v>232.318224</v>
      </c>
      <c r="T120" s="114">
        <f t="shared" si="64"/>
        <v>232.318224</v>
      </c>
      <c r="U120" s="114">
        <f t="shared" si="64"/>
        <v>232.318224</v>
      </c>
      <c r="V120" s="114">
        <f t="shared" si="64"/>
        <v>232.318224</v>
      </c>
      <c r="W120" s="114">
        <f t="shared" si="64"/>
        <v>232.318224</v>
      </c>
      <c r="X120" s="114">
        <f t="shared" si="64"/>
        <v>232.318224</v>
      </c>
      <c r="Y120" s="114">
        <f t="shared" si="64"/>
        <v>232.318224</v>
      </c>
      <c r="Z120" s="114">
        <f t="shared" si="64"/>
        <v>232.318224</v>
      </c>
      <c r="AA120" s="114">
        <f t="shared" si="64"/>
        <v>232.318224</v>
      </c>
      <c r="AB120" s="114">
        <f t="shared" si="64"/>
        <v>232.318224</v>
      </c>
      <c r="AC120" s="114">
        <f t="shared" si="64"/>
        <v>232.318224</v>
      </c>
      <c r="AD120" s="114">
        <f t="shared" si="64"/>
        <v>232.318224</v>
      </c>
      <c r="AE120" s="114">
        <f t="shared" si="64"/>
        <v>232.318224</v>
      </c>
      <c r="AF120" s="148">
        <v>0</v>
      </c>
      <c r="AG120" s="138"/>
    </row>
    <row r="121" ht="15" spans="2:33">
      <c r="B121" s="103">
        <v>3</v>
      </c>
      <c r="C121" s="104" t="s">
        <v>511</v>
      </c>
      <c r="D121" s="105"/>
      <c r="E121" s="105"/>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36"/>
    </row>
    <row r="122" ht="15" spans="2:33">
      <c r="B122" s="107"/>
      <c r="C122" s="108" t="s">
        <v>993</v>
      </c>
      <c r="D122" s="109"/>
      <c r="E122" s="109" t="s">
        <v>24</v>
      </c>
      <c r="F122" s="110"/>
      <c r="G122" s="110"/>
      <c r="H122" s="110"/>
      <c r="I122" s="110"/>
      <c r="J122" s="110">
        <f t="shared" ref="J122:AF122" si="65">I124</f>
        <v>0</v>
      </c>
      <c r="K122" s="110">
        <f t="shared" si="65"/>
        <v>0</v>
      </c>
      <c r="L122" s="110">
        <f t="shared" si="65"/>
        <v>0</v>
      </c>
      <c r="M122" s="110">
        <f t="shared" si="65"/>
        <v>0</v>
      </c>
      <c r="N122" s="110">
        <f t="shared" si="65"/>
        <v>0</v>
      </c>
      <c r="O122" s="110">
        <f t="shared" si="65"/>
        <v>0</v>
      </c>
      <c r="P122" s="110">
        <f t="shared" si="65"/>
        <v>0</v>
      </c>
      <c r="Q122" s="110">
        <f t="shared" si="65"/>
        <v>0</v>
      </c>
      <c r="R122" s="110">
        <f t="shared" si="65"/>
        <v>0</v>
      </c>
      <c r="S122" s="110">
        <f t="shared" si="65"/>
        <v>0</v>
      </c>
      <c r="T122" s="110">
        <f t="shared" si="65"/>
        <v>0</v>
      </c>
      <c r="U122" s="110">
        <f t="shared" si="65"/>
        <v>0</v>
      </c>
      <c r="V122" s="110">
        <f t="shared" si="65"/>
        <v>0</v>
      </c>
      <c r="W122" s="110">
        <f t="shared" si="65"/>
        <v>0</v>
      </c>
      <c r="X122" s="110">
        <f t="shared" si="65"/>
        <v>0</v>
      </c>
      <c r="Y122" s="110">
        <f t="shared" si="65"/>
        <v>0</v>
      </c>
      <c r="Z122" s="110">
        <f t="shared" si="65"/>
        <v>0</v>
      </c>
      <c r="AA122" s="110">
        <f t="shared" si="65"/>
        <v>0</v>
      </c>
      <c r="AB122" s="110">
        <f t="shared" si="65"/>
        <v>0</v>
      </c>
      <c r="AC122" s="110">
        <f t="shared" si="65"/>
        <v>0</v>
      </c>
      <c r="AD122" s="110">
        <f t="shared" si="65"/>
        <v>0</v>
      </c>
      <c r="AE122" s="110">
        <f t="shared" si="65"/>
        <v>0</v>
      </c>
      <c r="AF122" s="110">
        <f t="shared" si="65"/>
        <v>0</v>
      </c>
      <c r="AG122" s="137"/>
    </row>
    <row r="123" ht="15" spans="2:33">
      <c r="B123" s="107"/>
      <c r="C123" s="108" t="s">
        <v>994</v>
      </c>
      <c r="D123" s="109">
        <f>SUM(J123:AF123)</f>
        <v>0</v>
      </c>
      <c r="E123" s="109" t="s">
        <v>24</v>
      </c>
      <c r="F123" s="110"/>
      <c r="G123" s="110"/>
      <c r="H123" s="110"/>
      <c r="I123" s="110"/>
      <c r="J123" s="110">
        <f t="shared" ref="J123:AF123" si="66">J122-J124</f>
        <v>0</v>
      </c>
      <c r="K123" s="110">
        <f t="shared" si="66"/>
        <v>0</v>
      </c>
      <c r="L123" s="110">
        <f t="shared" si="66"/>
        <v>0</v>
      </c>
      <c r="M123" s="110">
        <f t="shared" si="66"/>
        <v>0</v>
      </c>
      <c r="N123" s="110">
        <f t="shared" si="66"/>
        <v>0</v>
      </c>
      <c r="O123" s="110">
        <f t="shared" si="66"/>
        <v>0</v>
      </c>
      <c r="P123" s="110">
        <f t="shared" si="66"/>
        <v>0</v>
      </c>
      <c r="Q123" s="110">
        <f t="shared" si="66"/>
        <v>0</v>
      </c>
      <c r="R123" s="110">
        <f t="shared" si="66"/>
        <v>0</v>
      </c>
      <c r="S123" s="110">
        <f t="shared" si="66"/>
        <v>0</v>
      </c>
      <c r="T123" s="110">
        <f t="shared" si="66"/>
        <v>0</v>
      </c>
      <c r="U123" s="110">
        <f t="shared" si="66"/>
        <v>0</v>
      </c>
      <c r="V123" s="110">
        <f t="shared" si="66"/>
        <v>0</v>
      </c>
      <c r="W123" s="110">
        <f t="shared" si="66"/>
        <v>0</v>
      </c>
      <c r="X123" s="110">
        <f t="shared" si="66"/>
        <v>0</v>
      </c>
      <c r="Y123" s="110">
        <f t="shared" si="66"/>
        <v>0</v>
      </c>
      <c r="Z123" s="110">
        <f t="shared" si="66"/>
        <v>0</v>
      </c>
      <c r="AA123" s="110">
        <f t="shared" si="66"/>
        <v>0</v>
      </c>
      <c r="AB123" s="110">
        <f t="shared" si="66"/>
        <v>0</v>
      </c>
      <c r="AC123" s="110">
        <f t="shared" si="66"/>
        <v>0</v>
      </c>
      <c r="AD123" s="110">
        <f t="shared" si="66"/>
        <v>0</v>
      </c>
      <c r="AE123" s="110">
        <f t="shared" si="66"/>
        <v>0</v>
      </c>
      <c r="AF123" s="110">
        <f t="shared" si="66"/>
        <v>0</v>
      </c>
      <c r="AG123" s="137"/>
    </row>
    <row r="124" ht="15.75" spans="2:33">
      <c r="B124" s="111"/>
      <c r="C124" s="112" t="s">
        <v>995</v>
      </c>
      <c r="D124" s="113"/>
      <c r="E124" s="109" t="s">
        <v>24</v>
      </c>
      <c r="F124" s="114"/>
      <c r="G124" s="114"/>
      <c r="H124" s="114"/>
      <c r="I124" s="129">
        <f>'表10-资产负债表(标准格式)'!$H$67-折现率、非经营、长投计算表!$E$45</f>
        <v>0</v>
      </c>
      <c r="J124" s="114">
        <f t="shared" ref="J124:AE124" si="67">I124</f>
        <v>0</v>
      </c>
      <c r="K124" s="114">
        <f t="shared" si="67"/>
        <v>0</v>
      </c>
      <c r="L124" s="114">
        <f t="shared" si="67"/>
        <v>0</v>
      </c>
      <c r="M124" s="114">
        <f t="shared" si="67"/>
        <v>0</v>
      </c>
      <c r="N124" s="114">
        <f t="shared" si="67"/>
        <v>0</v>
      </c>
      <c r="O124" s="114">
        <f t="shared" si="67"/>
        <v>0</v>
      </c>
      <c r="P124" s="114">
        <f t="shared" si="67"/>
        <v>0</v>
      </c>
      <c r="Q124" s="114">
        <f t="shared" si="67"/>
        <v>0</v>
      </c>
      <c r="R124" s="114">
        <f t="shared" si="67"/>
        <v>0</v>
      </c>
      <c r="S124" s="114">
        <f t="shared" si="67"/>
        <v>0</v>
      </c>
      <c r="T124" s="114">
        <f t="shared" si="67"/>
        <v>0</v>
      </c>
      <c r="U124" s="114">
        <f t="shared" si="67"/>
        <v>0</v>
      </c>
      <c r="V124" s="114">
        <f t="shared" si="67"/>
        <v>0</v>
      </c>
      <c r="W124" s="114">
        <f t="shared" si="67"/>
        <v>0</v>
      </c>
      <c r="X124" s="114">
        <f t="shared" si="67"/>
        <v>0</v>
      </c>
      <c r="Y124" s="114">
        <f t="shared" si="67"/>
        <v>0</v>
      </c>
      <c r="Z124" s="114">
        <f t="shared" si="67"/>
        <v>0</v>
      </c>
      <c r="AA124" s="114">
        <f t="shared" si="67"/>
        <v>0</v>
      </c>
      <c r="AB124" s="114">
        <f t="shared" si="67"/>
        <v>0</v>
      </c>
      <c r="AC124" s="114">
        <f t="shared" si="67"/>
        <v>0</v>
      </c>
      <c r="AD124" s="114">
        <f t="shared" si="67"/>
        <v>0</v>
      </c>
      <c r="AE124" s="114">
        <f t="shared" si="67"/>
        <v>0</v>
      </c>
      <c r="AF124" s="148">
        <v>0</v>
      </c>
      <c r="AG124" s="138"/>
    </row>
    <row r="125" ht="15" spans="2:33">
      <c r="B125" s="103">
        <v>4</v>
      </c>
      <c r="C125" s="104" t="s">
        <v>512</v>
      </c>
      <c r="D125" s="105"/>
      <c r="E125" s="105"/>
      <c r="F125" s="106"/>
      <c r="G125" s="106"/>
      <c r="H125" s="106"/>
      <c r="I125" s="106"/>
      <c r="J125" s="106"/>
      <c r="K125" s="106"/>
      <c r="L125" s="106"/>
      <c r="M125" s="106"/>
      <c r="N125" s="106"/>
      <c r="O125" s="106"/>
      <c r="P125" s="106"/>
      <c r="Q125" s="106"/>
      <c r="R125" s="106"/>
      <c r="S125" s="106"/>
      <c r="T125" s="106"/>
      <c r="U125" s="106"/>
      <c r="V125" s="106"/>
      <c r="W125" s="106"/>
      <c r="X125" s="106"/>
      <c r="Y125" s="106"/>
      <c r="Z125" s="106"/>
      <c r="AA125" s="106"/>
      <c r="AB125" s="106"/>
      <c r="AC125" s="106"/>
      <c r="AD125" s="106"/>
      <c r="AE125" s="106"/>
      <c r="AF125" s="106"/>
      <c r="AG125" s="136"/>
    </row>
    <row r="126" ht="15" spans="2:33">
      <c r="B126" s="107"/>
      <c r="C126" s="108" t="s">
        <v>993</v>
      </c>
      <c r="D126" s="109"/>
      <c r="E126" s="109" t="s">
        <v>24</v>
      </c>
      <c r="F126" s="110"/>
      <c r="G126" s="110"/>
      <c r="H126" s="110"/>
      <c r="I126" s="110"/>
      <c r="J126" s="110">
        <f t="shared" ref="J126:AF126" si="68">I128</f>
        <v>0.616196</v>
      </c>
      <c r="K126" s="110">
        <f t="shared" si="68"/>
        <v>0.616196</v>
      </c>
      <c r="L126" s="110">
        <f t="shared" si="68"/>
        <v>0.616196</v>
      </c>
      <c r="M126" s="110">
        <f t="shared" si="68"/>
        <v>0.616196</v>
      </c>
      <c r="N126" s="110">
        <f t="shared" si="68"/>
        <v>0.616196</v>
      </c>
      <c r="O126" s="110">
        <f t="shared" si="68"/>
        <v>0.616196</v>
      </c>
      <c r="P126" s="110">
        <f t="shared" si="68"/>
        <v>0.616196</v>
      </c>
      <c r="Q126" s="110">
        <f t="shared" si="68"/>
        <v>0.616196</v>
      </c>
      <c r="R126" s="110">
        <f t="shared" si="68"/>
        <v>0.616196</v>
      </c>
      <c r="S126" s="110">
        <f t="shared" si="68"/>
        <v>0.616196</v>
      </c>
      <c r="T126" s="110">
        <f t="shared" si="68"/>
        <v>0.616196</v>
      </c>
      <c r="U126" s="110">
        <f t="shared" si="68"/>
        <v>0.616196</v>
      </c>
      <c r="V126" s="110">
        <f t="shared" si="68"/>
        <v>0.616196</v>
      </c>
      <c r="W126" s="110">
        <f t="shared" si="68"/>
        <v>0.616196</v>
      </c>
      <c r="X126" s="110">
        <f t="shared" si="68"/>
        <v>0.616196</v>
      </c>
      <c r="Y126" s="110">
        <f t="shared" si="68"/>
        <v>0.616196</v>
      </c>
      <c r="Z126" s="110">
        <f t="shared" si="68"/>
        <v>0.616196</v>
      </c>
      <c r="AA126" s="110">
        <f t="shared" si="68"/>
        <v>0.616196</v>
      </c>
      <c r="AB126" s="110">
        <f t="shared" si="68"/>
        <v>0.616196</v>
      </c>
      <c r="AC126" s="110">
        <f t="shared" si="68"/>
        <v>0.616196</v>
      </c>
      <c r="AD126" s="110">
        <f t="shared" si="68"/>
        <v>0.616196</v>
      </c>
      <c r="AE126" s="110">
        <f t="shared" si="68"/>
        <v>0.616196</v>
      </c>
      <c r="AF126" s="110">
        <f t="shared" si="68"/>
        <v>0.616196</v>
      </c>
      <c r="AG126" s="137"/>
    </row>
    <row r="127" ht="15" spans="2:33">
      <c r="B127" s="107"/>
      <c r="C127" s="108" t="s">
        <v>994</v>
      </c>
      <c r="D127" s="109">
        <f>SUM(J127:AF127)</f>
        <v>0.616196</v>
      </c>
      <c r="E127" s="109" t="s">
        <v>24</v>
      </c>
      <c r="F127" s="110"/>
      <c r="G127" s="110"/>
      <c r="H127" s="110"/>
      <c r="I127" s="110"/>
      <c r="J127" s="110">
        <f t="shared" ref="J127:AF127" si="69">J126-J128</f>
        <v>0</v>
      </c>
      <c r="K127" s="110">
        <f t="shared" si="69"/>
        <v>0</v>
      </c>
      <c r="L127" s="110">
        <f t="shared" si="69"/>
        <v>0</v>
      </c>
      <c r="M127" s="110">
        <f t="shared" si="69"/>
        <v>0</v>
      </c>
      <c r="N127" s="110">
        <f t="shared" si="69"/>
        <v>0</v>
      </c>
      <c r="O127" s="110">
        <f t="shared" si="69"/>
        <v>0</v>
      </c>
      <c r="P127" s="110">
        <f t="shared" si="69"/>
        <v>0</v>
      </c>
      <c r="Q127" s="110">
        <f t="shared" si="69"/>
        <v>0</v>
      </c>
      <c r="R127" s="110">
        <f t="shared" si="69"/>
        <v>0</v>
      </c>
      <c r="S127" s="110">
        <f t="shared" si="69"/>
        <v>0</v>
      </c>
      <c r="T127" s="110">
        <f t="shared" si="69"/>
        <v>0</v>
      </c>
      <c r="U127" s="110">
        <f t="shared" si="69"/>
        <v>0</v>
      </c>
      <c r="V127" s="110">
        <f t="shared" si="69"/>
        <v>0</v>
      </c>
      <c r="W127" s="110">
        <f t="shared" si="69"/>
        <v>0</v>
      </c>
      <c r="X127" s="110">
        <f t="shared" si="69"/>
        <v>0</v>
      </c>
      <c r="Y127" s="110">
        <f t="shared" si="69"/>
        <v>0</v>
      </c>
      <c r="Z127" s="110">
        <f t="shared" si="69"/>
        <v>0</v>
      </c>
      <c r="AA127" s="110">
        <f t="shared" si="69"/>
        <v>0</v>
      </c>
      <c r="AB127" s="110">
        <f t="shared" si="69"/>
        <v>0</v>
      </c>
      <c r="AC127" s="110">
        <f t="shared" si="69"/>
        <v>0</v>
      </c>
      <c r="AD127" s="110">
        <f t="shared" si="69"/>
        <v>0</v>
      </c>
      <c r="AE127" s="110">
        <f t="shared" si="69"/>
        <v>0</v>
      </c>
      <c r="AF127" s="110">
        <f t="shared" si="69"/>
        <v>0.616196</v>
      </c>
      <c r="AG127" s="137"/>
    </row>
    <row r="128" ht="15.75" spans="2:33">
      <c r="B128" s="111"/>
      <c r="C128" s="112" t="s">
        <v>995</v>
      </c>
      <c r="D128" s="113"/>
      <c r="E128" s="109" t="s">
        <v>24</v>
      </c>
      <c r="F128" s="114"/>
      <c r="G128" s="114"/>
      <c r="H128" s="114"/>
      <c r="I128" s="129">
        <f>'表10-资产负债表(标准格式)'!$H$73-折现率、非经营、长投计算表!$E$47</f>
        <v>0.616196</v>
      </c>
      <c r="J128" s="114">
        <f t="shared" ref="J128:AE128" si="70">I128</f>
        <v>0.616196</v>
      </c>
      <c r="K128" s="114">
        <f t="shared" si="70"/>
        <v>0.616196</v>
      </c>
      <c r="L128" s="114">
        <f t="shared" si="70"/>
        <v>0.616196</v>
      </c>
      <c r="M128" s="114">
        <f t="shared" si="70"/>
        <v>0.616196</v>
      </c>
      <c r="N128" s="114">
        <f t="shared" si="70"/>
        <v>0.616196</v>
      </c>
      <c r="O128" s="114">
        <f t="shared" si="70"/>
        <v>0.616196</v>
      </c>
      <c r="P128" s="114">
        <f t="shared" si="70"/>
        <v>0.616196</v>
      </c>
      <c r="Q128" s="114">
        <f t="shared" si="70"/>
        <v>0.616196</v>
      </c>
      <c r="R128" s="114">
        <f t="shared" si="70"/>
        <v>0.616196</v>
      </c>
      <c r="S128" s="114">
        <f t="shared" si="70"/>
        <v>0.616196</v>
      </c>
      <c r="T128" s="114">
        <f t="shared" si="70"/>
        <v>0.616196</v>
      </c>
      <c r="U128" s="114">
        <f t="shared" si="70"/>
        <v>0.616196</v>
      </c>
      <c r="V128" s="114">
        <f t="shared" si="70"/>
        <v>0.616196</v>
      </c>
      <c r="W128" s="114">
        <f t="shared" si="70"/>
        <v>0.616196</v>
      </c>
      <c r="X128" s="114">
        <f t="shared" si="70"/>
        <v>0.616196</v>
      </c>
      <c r="Y128" s="114">
        <f t="shared" si="70"/>
        <v>0.616196</v>
      </c>
      <c r="Z128" s="114">
        <f t="shared" si="70"/>
        <v>0.616196</v>
      </c>
      <c r="AA128" s="114">
        <f t="shared" si="70"/>
        <v>0.616196</v>
      </c>
      <c r="AB128" s="114">
        <f t="shared" si="70"/>
        <v>0.616196</v>
      </c>
      <c r="AC128" s="114">
        <f t="shared" si="70"/>
        <v>0.616196</v>
      </c>
      <c r="AD128" s="114">
        <f t="shared" si="70"/>
        <v>0.616196</v>
      </c>
      <c r="AE128" s="114">
        <f t="shared" si="70"/>
        <v>0.616196</v>
      </c>
      <c r="AF128" s="148">
        <v>0</v>
      </c>
      <c r="AG128" s="138"/>
    </row>
    <row r="129" ht="15" spans="2:33">
      <c r="B129" s="103">
        <v>5</v>
      </c>
      <c r="C129" s="104" t="s">
        <v>513</v>
      </c>
      <c r="D129" s="105"/>
      <c r="E129" s="105"/>
      <c r="F129" s="106"/>
      <c r="G129" s="106"/>
      <c r="H129" s="106"/>
      <c r="I129" s="106"/>
      <c r="J129" s="106"/>
      <c r="K129" s="106"/>
      <c r="L129" s="106"/>
      <c r="M129" s="106"/>
      <c r="N129" s="106"/>
      <c r="O129" s="106"/>
      <c r="P129" s="106"/>
      <c r="Q129" s="106"/>
      <c r="R129" s="106"/>
      <c r="S129" s="106"/>
      <c r="T129" s="106"/>
      <c r="U129" s="106"/>
      <c r="V129" s="106"/>
      <c r="W129" s="106"/>
      <c r="X129" s="106"/>
      <c r="Y129" s="106"/>
      <c r="Z129" s="106"/>
      <c r="AA129" s="106"/>
      <c r="AB129" s="106"/>
      <c r="AC129" s="106"/>
      <c r="AD129" s="106"/>
      <c r="AE129" s="106"/>
      <c r="AF129" s="106"/>
      <c r="AG129" s="136"/>
    </row>
    <row r="130" ht="15" spans="2:33">
      <c r="B130" s="107"/>
      <c r="C130" s="108" t="s">
        <v>993</v>
      </c>
      <c r="D130" s="109"/>
      <c r="E130" s="109" t="s">
        <v>24</v>
      </c>
      <c r="F130" s="110"/>
      <c r="G130" s="110"/>
      <c r="H130" s="110"/>
      <c r="I130" s="110"/>
      <c r="J130" s="110">
        <f t="shared" ref="J130:AF130" si="71">I132</f>
        <v>0.950986</v>
      </c>
      <c r="K130" s="110">
        <f t="shared" si="71"/>
        <v>0.950986</v>
      </c>
      <c r="L130" s="110">
        <f t="shared" si="71"/>
        <v>0.950986</v>
      </c>
      <c r="M130" s="110">
        <f t="shared" si="71"/>
        <v>0.950986</v>
      </c>
      <c r="N130" s="110">
        <f t="shared" si="71"/>
        <v>0.950986</v>
      </c>
      <c r="O130" s="110">
        <f t="shared" si="71"/>
        <v>0.950986</v>
      </c>
      <c r="P130" s="110">
        <f t="shared" si="71"/>
        <v>0.950986</v>
      </c>
      <c r="Q130" s="110">
        <f t="shared" si="71"/>
        <v>0.950986</v>
      </c>
      <c r="R130" s="110">
        <f t="shared" si="71"/>
        <v>0.950986</v>
      </c>
      <c r="S130" s="110">
        <f t="shared" si="71"/>
        <v>0.950986</v>
      </c>
      <c r="T130" s="110">
        <f t="shared" si="71"/>
        <v>0.950986</v>
      </c>
      <c r="U130" s="110">
        <f t="shared" si="71"/>
        <v>0.950986</v>
      </c>
      <c r="V130" s="110">
        <f t="shared" si="71"/>
        <v>0.950986</v>
      </c>
      <c r="W130" s="110">
        <f t="shared" si="71"/>
        <v>0.950986</v>
      </c>
      <c r="X130" s="110">
        <f t="shared" si="71"/>
        <v>0.950986</v>
      </c>
      <c r="Y130" s="110">
        <f t="shared" si="71"/>
        <v>0.950986</v>
      </c>
      <c r="Z130" s="110">
        <f t="shared" si="71"/>
        <v>0.950986</v>
      </c>
      <c r="AA130" s="110">
        <f t="shared" si="71"/>
        <v>0.950986</v>
      </c>
      <c r="AB130" s="110">
        <f t="shared" si="71"/>
        <v>0.950986</v>
      </c>
      <c r="AC130" s="110">
        <f t="shared" si="71"/>
        <v>0.950986</v>
      </c>
      <c r="AD130" s="110">
        <f t="shared" si="71"/>
        <v>0.950986</v>
      </c>
      <c r="AE130" s="110">
        <f t="shared" si="71"/>
        <v>0.950986</v>
      </c>
      <c r="AF130" s="110">
        <f t="shared" si="71"/>
        <v>0.950986</v>
      </c>
      <c r="AG130" s="137"/>
    </row>
    <row r="131" ht="15" spans="2:33">
      <c r="B131" s="107"/>
      <c r="C131" s="108" t="s">
        <v>994</v>
      </c>
      <c r="D131" s="109">
        <f>SUM(J131:AF131)</f>
        <v>0.950986</v>
      </c>
      <c r="E131" s="109" t="s">
        <v>24</v>
      </c>
      <c r="F131" s="110"/>
      <c r="G131" s="110"/>
      <c r="H131" s="110"/>
      <c r="I131" s="110"/>
      <c r="J131" s="110">
        <f t="shared" ref="J131:AF131" si="72">J130-J132</f>
        <v>0</v>
      </c>
      <c r="K131" s="110">
        <f t="shared" si="72"/>
        <v>0</v>
      </c>
      <c r="L131" s="110">
        <f t="shared" si="72"/>
        <v>0</v>
      </c>
      <c r="M131" s="110">
        <f t="shared" si="72"/>
        <v>0</v>
      </c>
      <c r="N131" s="110">
        <f t="shared" si="72"/>
        <v>0</v>
      </c>
      <c r="O131" s="110">
        <f t="shared" si="72"/>
        <v>0</v>
      </c>
      <c r="P131" s="110">
        <f t="shared" si="72"/>
        <v>0</v>
      </c>
      <c r="Q131" s="110">
        <f t="shared" si="72"/>
        <v>0</v>
      </c>
      <c r="R131" s="110">
        <f t="shared" si="72"/>
        <v>0</v>
      </c>
      <c r="S131" s="110">
        <f t="shared" si="72"/>
        <v>0</v>
      </c>
      <c r="T131" s="110">
        <f t="shared" si="72"/>
        <v>0</v>
      </c>
      <c r="U131" s="110">
        <f t="shared" si="72"/>
        <v>0</v>
      </c>
      <c r="V131" s="110">
        <f t="shared" si="72"/>
        <v>0</v>
      </c>
      <c r="W131" s="110">
        <f t="shared" si="72"/>
        <v>0</v>
      </c>
      <c r="X131" s="110">
        <f t="shared" si="72"/>
        <v>0</v>
      </c>
      <c r="Y131" s="110">
        <f t="shared" si="72"/>
        <v>0</v>
      </c>
      <c r="Z131" s="110">
        <f t="shared" si="72"/>
        <v>0</v>
      </c>
      <c r="AA131" s="110">
        <f t="shared" si="72"/>
        <v>0</v>
      </c>
      <c r="AB131" s="110">
        <f t="shared" si="72"/>
        <v>0</v>
      </c>
      <c r="AC131" s="110">
        <f t="shared" si="72"/>
        <v>0</v>
      </c>
      <c r="AD131" s="110">
        <f t="shared" si="72"/>
        <v>0</v>
      </c>
      <c r="AE131" s="110">
        <f t="shared" si="72"/>
        <v>0</v>
      </c>
      <c r="AF131" s="110">
        <f t="shared" si="72"/>
        <v>0.950986</v>
      </c>
      <c r="AG131" s="137"/>
    </row>
    <row r="132" ht="15.75" spans="2:33">
      <c r="B132" s="111"/>
      <c r="C132" s="112" t="s">
        <v>995</v>
      </c>
      <c r="D132" s="113"/>
      <c r="E132" s="109" t="s">
        <v>24</v>
      </c>
      <c r="F132" s="114"/>
      <c r="G132" s="114"/>
      <c r="H132" s="114"/>
      <c r="I132" s="129">
        <f>'表10-资产负债表(标准格式)'!$H$77-折现率、非经营、长投计算表!$E$48</f>
        <v>0.950986</v>
      </c>
      <c r="J132" s="114">
        <f t="shared" ref="J132:AE132" si="73">I132</f>
        <v>0.950986</v>
      </c>
      <c r="K132" s="114">
        <f t="shared" si="73"/>
        <v>0.950986</v>
      </c>
      <c r="L132" s="114">
        <f t="shared" si="73"/>
        <v>0.950986</v>
      </c>
      <c r="M132" s="114">
        <f t="shared" si="73"/>
        <v>0.950986</v>
      </c>
      <c r="N132" s="114">
        <f t="shared" si="73"/>
        <v>0.950986</v>
      </c>
      <c r="O132" s="114">
        <f t="shared" si="73"/>
        <v>0.950986</v>
      </c>
      <c r="P132" s="114">
        <f t="shared" si="73"/>
        <v>0.950986</v>
      </c>
      <c r="Q132" s="114">
        <f t="shared" si="73"/>
        <v>0.950986</v>
      </c>
      <c r="R132" s="114">
        <f t="shared" si="73"/>
        <v>0.950986</v>
      </c>
      <c r="S132" s="114">
        <f t="shared" si="73"/>
        <v>0.950986</v>
      </c>
      <c r="T132" s="114">
        <f t="shared" si="73"/>
        <v>0.950986</v>
      </c>
      <c r="U132" s="114">
        <f t="shared" si="73"/>
        <v>0.950986</v>
      </c>
      <c r="V132" s="114">
        <f t="shared" si="73"/>
        <v>0.950986</v>
      </c>
      <c r="W132" s="114">
        <f t="shared" si="73"/>
        <v>0.950986</v>
      </c>
      <c r="X132" s="114">
        <f t="shared" si="73"/>
        <v>0.950986</v>
      </c>
      <c r="Y132" s="114">
        <f t="shared" si="73"/>
        <v>0.950986</v>
      </c>
      <c r="Z132" s="114">
        <f t="shared" si="73"/>
        <v>0.950986</v>
      </c>
      <c r="AA132" s="114">
        <f t="shared" si="73"/>
        <v>0.950986</v>
      </c>
      <c r="AB132" s="114">
        <f t="shared" si="73"/>
        <v>0.950986</v>
      </c>
      <c r="AC132" s="114">
        <f t="shared" si="73"/>
        <v>0.950986</v>
      </c>
      <c r="AD132" s="114">
        <f t="shared" si="73"/>
        <v>0.950986</v>
      </c>
      <c r="AE132" s="114">
        <f t="shared" si="73"/>
        <v>0.950986</v>
      </c>
      <c r="AF132" s="148">
        <v>0</v>
      </c>
      <c r="AG132" s="138"/>
    </row>
    <row r="133" ht="15" spans="2:33">
      <c r="B133" s="103">
        <v>6</v>
      </c>
      <c r="C133" s="104" t="s">
        <v>717</v>
      </c>
      <c r="D133" s="105"/>
      <c r="E133" s="105"/>
      <c r="F133" s="106"/>
      <c r="G133" s="106"/>
      <c r="H133" s="106"/>
      <c r="I133" s="106"/>
      <c r="J133" s="106"/>
      <c r="K133" s="106"/>
      <c r="L133" s="106"/>
      <c r="M133" s="106"/>
      <c r="N133" s="106"/>
      <c r="O133" s="106"/>
      <c r="P133" s="106"/>
      <c r="Q133" s="106"/>
      <c r="R133" s="106"/>
      <c r="S133" s="106"/>
      <c r="T133" s="106"/>
      <c r="U133" s="106"/>
      <c r="V133" s="106"/>
      <c r="W133" s="106"/>
      <c r="X133" s="106"/>
      <c r="Y133" s="106"/>
      <c r="Z133" s="106"/>
      <c r="AA133" s="106"/>
      <c r="AB133" s="106"/>
      <c r="AC133" s="106"/>
      <c r="AD133" s="106"/>
      <c r="AE133" s="106"/>
      <c r="AF133" s="106"/>
      <c r="AG133" s="136"/>
    </row>
    <row r="134" ht="15" spans="2:33">
      <c r="B134" s="107"/>
      <c r="C134" s="108" t="s">
        <v>993</v>
      </c>
      <c r="D134" s="109"/>
      <c r="E134" s="109" t="s">
        <v>24</v>
      </c>
      <c r="F134" s="110"/>
      <c r="G134" s="110"/>
      <c r="H134" s="110"/>
      <c r="I134" s="110"/>
      <c r="J134" s="110">
        <f t="shared" ref="J134:AF134" si="74">I136</f>
        <v>84.426828</v>
      </c>
      <c r="K134" s="110">
        <f t="shared" si="74"/>
        <v>84.426828</v>
      </c>
      <c r="L134" s="110">
        <f t="shared" si="74"/>
        <v>84.426828</v>
      </c>
      <c r="M134" s="110">
        <f t="shared" si="74"/>
        <v>84.426828</v>
      </c>
      <c r="N134" s="110">
        <f t="shared" si="74"/>
        <v>84.426828</v>
      </c>
      <c r="O134" s="110">
        <f t="shared" si="74"/>
        <v>84.426828</v>
      </c>
      <c r="P134" s="110">
        <f t="shared" si="74"/>
        <v>84.426828</v>
      </c>
      <c r="Q134" s="110">
        <f t="shared" si="74"/>
        <v>84.426828</v>
      </c>
      <c r="R134" s="110">
        <f t="shared" si="74"/>
        <v>84.426828</v>
      </c>
      <c r="S134" s="110">
        <f t="shared" si="74"/>
        <v>84.426828</v>
      </c>
      <c r="T134" s="110">
        <f t="shared" si="74"/>
        <v>84.426828</v>
      </c>
      <c r="U134" s="110">
        <f t="shared" si="74"/>
        <v>84.426828</v>
      </c>
      <c r="V134" s="110">
        <f t="shared" si="74"/>
        <v>84.426828</v>
      </c>
      <c r="W134" s="110">
        <f t="shared" si="74"/>
        <v>84.426828</v>
      </c>
      <c r="X134" s="110">
        <f t="shared" si="74"/>
        <v>84.426828</v>
      </c>
      <c r="Y134" s="110">
        <f t="shared" si="74"/>
        <v>84.426828</v>
      </c>
      <c r="Z134" s="110">
        <f t="shared" si="74"/>
        <v>84.426828</v>
      </c>
      <c r="AA134" s="110">
        <f t="shared" si="74"/>
        <v>84.426828</v>
      </c>
      <c r="AB134" s="110">
        <f t="shared" si="74"/>
        <v>84.426828</v>
      </c>
      <c r="AC134" s="110">
        <f t="shared" si="74"/>
        <v>84.426828</v>
      </c>
      <c r="AD134" s="110">
        <f t="shared" si="74"/>
        <v>84.426828</v>
      </c>
      <c r="AE134" s="110">
        <f t="shared" si="74"/>
        <v>84.426828</v>
      </c>
      <c r="AF134" s="110">
        <f t="shared" si="74"/>
        <v>84.426828</v>
      </c>
      <c r="AG134" s="137"/>
    </row>
    <row r="135" ht="15" spans="2:33">
      <c r="B135" s="107"/>
      <c r="C135" s="108" t="s">
        <v>994</v>
      </c>
      <c r="D135" s="109">
        <f>SUM(J135:AF135)</f>
        <v>84.426828</v>
      </c>
      <c r="E135" s="109" t="s">
        <v>24</v>
      </c>
      <c r="F135" s="110"/>
      <c r="G135" s="110"/>
      <c r="H135" s="110"/>
      <c r="I135" s="110"/>
      <c r="J135" s="110">
        <f t="shared" ref="J135:AF135" si="75">J134-J136</f>
        <v>0</v>
      </c>
      <c r="K135" s="110">
        <f t="shared" si="75"/>
        <v>0</v>
      </c>
      <c r="L135" s="110">
        <f t="shared" si="75"/>
        <v>0</v>
      </c>
      <c r="M135" s="110">
        <f t="shared" si="75"/>
        <v>0</v>
      </c>
      <c r="N135" s="110">
        <f t="shared" si="75"/>
        <v>0</v>
      </c>
      <c r="O135" s="110">
        <f t="shared" si="75"/>
        <v>0</v>
      </c>
      <c r="P135" s="110">
        <f t="shared" si="75"/>
        <v>0</v>
      </c>
      <c r="Q135" s="110">
        <f t="shared" si="75"/>
        <v>0</v>
      </c>
      <c r="R135" s="110">
        <f t="shared" si="75"/>
        <v>0</v>
      </c>
      <c r="S135" s="110">
        <f t="shared" si="75"/>
        <v>0</v>
      </c>
      <c r="T135" s="110">
        <f t="shared" si="75"/>
        <v>0</v>
      </c>
      <c r="U135" s="110">
        <f t="shared" si="75"/>
        <v>0</v>
      </c>
      <c r="V135" s="110">
        <f t="shared" si="75"/>
        <v>0</v>
      </c>
      <c r="W135" s="110">
        <f t="shared" si="75"/>
        <v>0</v>
      </c>
      <c r="X135" s="110">
        <f t="shared" si="75"/>
        <v>0</v>
      </c>
      <c r="Y135" s="110">
        <f t="shared" si="75"/>
        <v>0</v>
      </c>
      <c r="Z135" s="110">
        <f t="shared" si="75"/>
        <v>0</v>
      </c>
      <c r="AA135" s="110">
        <f t="shared" si="75"/>
        <v>0</v>
      </c>
      <c r="AB135" s="110">
        <f t="shared" si="75"/>
        <v>0</v>
      </c>
      <c r="AC135" s="110">
        <f t="shared" si="75"/>
        <v>0</v>
      </c>
      <c r="AD135" s="110">
        <f t="shared" si="75"/>
        <v>0</v>
      </c>
      <c r="AE135" s="110">
        <f t="shared" si="75"/>
        <v>0</v>
      </c>
      <c r="AF135" s="110">
        <f t="shared" si="75"/>
        <v>84.426828</v>
      </c>
      <c r="AG135" s="137"/>
    </row>
    <row r="136" ht="15.75" spans="2:33">
      <c r="B136" s="111"/>
      <c r="C136" s="112" t="s">
        <v>995</v>
      </c>
      <c r="D136" s="113"/>
      <c r="E136" s="109" t="s">
        <v>24</v>
      </c>
      <c r="F136" s="114"/>
      <c r="G136" s="114"/>
      <c r="H136" s="114"/>
      <c r="I136" s="129">
        <f>'表10-资产负债表(标准格式)'!$H$79-折现率、非经营、长投计算表!$E$49</f>
        <v>84.426828</v>
      </c>
      <c r="J136" s="114">
        <f t="shared" ref="J136:AE136" si="76">I136</f>
        <v>84.426828</v>
      </c>
      <c r="K136" s="114">
        <f t="shared" si="76"/>
        <v>84.426828</v>
      </c>
      <c r="L136" s="114">
        <f t="shared" si="76"/>
        <v>84.426828</v>
      </c>
      <c r="M136" s="114">
        <f t="shared" si="76"/>
        <v>84.426828</v>
      </c>
      <c r="N136" s="114">
        <f t="shared" si="76"/>
        <v>84.426828</v>
      </c>
      <c r="O136" s="114">
        <f t="shared" si="76"/>
        <v>84.426828</v>
      </c>
      <c r="P136" s="114">
        <f t="shared" si="76"/>
        <v>84.426828</v>
      </c>
      <c r="Q136" s="114">
        <f t="shared" si="76"/>
        <v>84.426828</v>
      </c>
      <c r="R136" s="114">
        <f t="shared" si="76"/>
        <v>84.426828</v>
      </c>
      <c r="S136" s="114">
        <f t="shared" si="76"/>
        <v>84.426828</v>
      </c>
      <c r="T136" s="114">
        <f t="shared" si="76"/>
        <v>84.426828</v>
      </c>
      <c r="U136" s="114">
        <f t="shared" si="76"/>
        <v>84.426828</v>
      </c>
      <c r="V136" s="114">
        <f t="shared" si="76"/>
        <v>84.426828</v>
      </c>
      <c r="W136" s="114">
        <f t="shared" si="76"/>
        <v>84.426828</v>
      </c>
      <c r="X136" s="114">
        <f t="shared" si="76"/>
        <v>84.426828</v>
      </c>
      <c r="Y136" s="114">
        <f t="shared" si="76"/>
        <v>84.426828</v>
      </c>
      <c r="Z136" s="114">
        <f t="shared" si="76"/>
        <v>84.426828</v>
      </c>
      <c r="AA136" s="114">
        <f t="shared" si="76"/>
        <v>84.426828</v>
      </c>
      <c r="AB136" s="114">
        <f t="shared" si="76"/>
        <v>84.426828</v>
      </c>
      <c r="AC136" s="114">
        <f t="shared" si="76"/>
        <v>84.426828</v>
      </c>
      <c r="AD136" s="114">
        <f t="shared" si="76"/>
        <v>84.426828</v>
      </c>
      <c r="AE136" s="114">
        <f t="shared" si="76"/>
        <v>84.426828</v>
      </c>
      <c r="AF136" s="148">
        <v>0</v>
      </c>
      <c r="AG136" s="138"/>
    </row>
    <row r="137" ht="15" spans="2:33">
      <c r="B137" s="103">
        <v>7</v>
      </c>
      <c r="C137" s="104" t="s">
        <v>1000</v>
      </c>
      <c r="D137" s="105"/>
      <c r="E137" s="105"/>
      <c r="F137" s="106"/>
      <c r="G137" s="106"/>
      <c r="H137" s="106"/>
      <c r="I137" s="106"/>
      <c r="J137" s="106"/>
      <c r="K137" s="106"/>
      <c r="L137" s="106"/>
      <c r="M137" s="106"/>
      <c r="N137" s="106"/>
      <c r="O137" s="106"/>
      <c r="P137" s="106"/>
      <c r="Q137" s="106"/>
      <c r="R137" s="106"/>
      <c r="S137" s="106"/>
      <c r="T137" s="106"/>
      <c r="U137" s="106"/>
      <c r="V137" s="106"/>
      <c r="W137" s="106"/>
      <c r="X137" s="106"/>
      <c r="Y137" s="106"/>
      <c r="Z137" s="106"/>
      <c r="AA137" s="106"/>
      <c r="AB137" s="106"/>
      <c r="AC137" s="106"/>
      <c r="AD137" s="106"/>
      <c r="AE137" s="106"/>
      <c r="AF137" s="106"/>
      <c r="AG137" s="136"/>
    </row>
    <row r="138" ht="15" spans="2:33">
      <c r="B138" s="107"/>
      <c r="C138" s="108" t="s">
        <v>993</v>
      </c>
      <c r="D138" s="109"/>
      <c r="E138" s="109" t="s">
        <v>24</v>
      </c>
      <c r="F138" s="110"/>
      <c r="G138" s="110"/>
      <c r="H138" s="110"/>
      <c r="I138" s="110"/>
      <c r="J138" s="110">
        <f t="shared" ref="J138:AF138" si="77">I140</f>
        <v>0</v>
      </c>
      <c r="K138" s="110">
        <f t="shared" si="77"/>
        <v>0</v>
      </c>
      <c r="L138" s="110">
        <f t="shared" si="77"/>
        <v>0</v>
      </c>
      <c r="M138" s="110">
        <f t="shared" si="77"/>
        <v>0</v>
      </c>
      <c r="N138" s="110">
        <f t="shared" si="77"/>
        <v>0</v>
      </c>
      <c r="O138" s="110">
        <f t="shared" si="77"/>
        <v>0</v>
      </c>
      <c r="P138" s="110">
        <f t="shared" si="77"/>
        <v>0</v>
      </c>
      <c r="Q138" s="110">
        <f t="shared" si="77"/>
        <v>0</v>
      </c>
      <c r="R138" s="110">
        <f t="shared" si="77"/>
        <v>0</v>
      </c>
      <c r="S138" s="110">
        <f t="shared" si="77"/>
        <v>0</v>
      </c>
      <c r="T138" s="110">
        <f t="shared" si="77"/>
        <v>0</v>
      </c>
      <c r="U138" s="110">
        <f t="shared" si="77"/>
        <v>0</v>
      </c>
      <c r="V138" s="110">
        <f t="shared" si="77"/>
        <v>0</v>
      </c>
      <c r="W138" s="110">
        <f t="shared" si="77"/>
        <v>0</v>
      </c>
      <c r="X138" s="110">
        <f t="shared" si="77"/>
        <v>0</v>
      </c>
      <c r="Y138" s="110">
        <f t="shared" si="77"/>
        <v>0</v>
      </c>
      <c r="Z138" s="110">
        <f t="shared" si="77"/>
        <v>0</v>
      </c>
      <c r="AA138" s="110">
        <f t="shared" si="77"/>
        <v>0</v>
      </c>
      <c r="AB138" s="110">
        <f t="shared" si="77"/>
        <v>0</v>
      </c>
      <c r="AC138" s="110">
        <f t="shared" si="77"/>
        <v>0</v>
      </c>
      <c r="AD138" s="110">
        <f t="shared" si="77"/>
        <v>0</v>
      </c>
      <c r="AE138" s="110">
        <f t="shared" si="77"/>
        <v>0</v>
      </c>
      <c r="AF138" s="110">
        <f t="shared" si="77"/>
        <v>0</v>
      </c>
      <c r="AG138" s="137"/>
    </row>
    <row r="139" ht="15" spans="2:33">
      <c r="B139" s="107"/>
      <c r="C139" s="108" t="s">
        <v>994</v>
      </c>
      <c r="D139" s="109">
        <f>SUM(J139:AF139)</f>
        <v>0</v>
      </c>
      <c r="E139" s="109" t="s">
        <v>24</v>
      </c>
      <c r="F139" s="110"/>
      <c r="G139" s="110"/>
      <c r="H139" s="110"/>
      <c r="I139" s="110"/>
      <c r="J139" s="110">
        <f t="shared" ref="J139:AF139" si="78">J138-J140</f>
        <v>0</v>
      </c>
      <c r="K139" s="110">
        <f t="shared" si="78"/>
        <v>0</v>
      </c>
      <c r="L139" s="110">
        <f t="shared" si="78"/>
        <v>0</v>
      </c>
      <c r="M139" s="110">
        <f t="shared" si="78"/>
        <v>0</v>
      </c>
      <c r="N139" s="110">
        <f t="shared" si="78"/>
        <v>0</v>
      </c>
      <c r="O139" s="110">
        <f t="shared" si="78"/>
        <v>0</v>
      </c>
      <c r="P139" s="110">
        <f t="shared" si="78"/>
        <v>0</v>
      </c>
      <c r="Q139" s="110">
        <f t="shared" si="78"/>
        <v>0</v>
      </c>
      <c r="R139" s="110">
        <f t="shared" si="78"/>
        <v>0</v>
      </c>
      <c r="S139" s="110">
        <f t="shared" si="78"/>
        <v>0</v>
      </c>
      <c r="T139" s="110">
        <f t="shared" si="78"/>
        <v>0</v>
      </c>
      <c r="U139" s="110">
        <f t="shared" si="78"/>
        <v>0</v>
      </c>
      <c r="V139" s="110">
        <f t="shared" si="78"/>
        <v>0</v>
      </c>
      <c r="W139" s="110">
        <f t="shared" si="78"/>
        <v>0</v>
      </c>
      <c r="X139" s="110">
        <f t="shared" si="78"/>
        <v>0</v>
      </c>
      <c r="Y139" s="110">
        <f t="shared" si="78"/>
        <v>0</v>
      </c>
      <c r="Z139" s="110">
        <f t="shared" si="78"/>
        <v>0</v>
      </c>
      <c r="AA139" s="110">
        <f t="shared" si="78"/>
        <v>0</v>
      </c>
      <c r="AB139" s="110">
        <f t="shared" si="78"/>
        <v>0</v>
      </c>
      <c r="AC139" s="110">
        <f t="shared" si="78"/>
        <v>0</v>
      </c>
      <c r="AD139" s="110">
        <f t="shared" si="78"/>
        <v>0</v>
      </c>
      <c r="AE139" s="110">
        <f t="shared" si="78"/>
        <v>0</v>
      </c>
      <c r="AF139" s="110">
        <f t="shared" si="78"/>
        <v>0</v>
      </c>
      <c r="AG139" s="137"/>
    </row>
    <row r="140" ht="15.75" spans="2:33">
      <c r="B140" s="111"/>
      <c r="C140" s="112" t="s">
        <v>995</v>
      </c>
      <c r="D140" s="113"/>
      <c r="E140" s="109" t="s">
        <v>24</v>
      </c>
      <c r="F140" s="114"/>
      <c r="G140" s="114"/>
      <c r="H140" s="114"/>
      <c r="I140" s="129">
        <f>'表10-资产负债表(标准格式)'!$H$93-折现率、非经营、长投计算表!$E$53</f>
        <v>0</v>
      </c>
      <c r="J140" s="114">
        <f t="shared" ref="J140:AE140" si="79">I140</f>
        <v>0</v>
      </c>
      <c r="K140" s="114">
        <f t="shared" si="79"/>
        <v>0</v>
      </c>
      <c r="L140" s="114">
        <f t="shared" si="79"/>
        <v>0</v>
      </c>
      <c r="M140" s="114">
        <f t="shared" si="79"/>
        <v>0</v>
      </c>
      <c r="N140" s="114">
        <f t="shared" si="79"/>
        <v>0</v>
      </c>
      <c r="O140" s="114">
        <f t="shared" si="79"/>
        <v>0</v>
      </c>
      <c r="P140" s="114">
        <f t="shared" si="79"/>
        <v>0</v>
      </c>
      <c r="Q140" s="114">
        <f t="shared" si="79"/>
        <v>0</v>
      </c>
      <c r="R140" s="114">
        <f t="shared" si="79"/>
        <v>0</v>
      </c>
      <c r="S140" s="114">
        <f t="shared" si="79"/>
        <v>0</v>
      </c>
      <c r="T140" s="114">
        <f t="shared" si="79"/>
        <v>0</v>
      </c>
      <c r="U140" s="114">
        <f t="shared" si="79"/>
        <v>0</v>
      </c>
      <c r="V140" s="114">
        <f t="shared" si="79"/>
        <v>0</v>
      </c>
      <c r="W140" s="114">
        <f t="shared" si="79"/>
        <v>0</v>
      </c>
      <c r="X140" s="114">
        <f t="shared" si="79"/>
        <v>0</v>
      </c>
      <c r="Y140" s="114">
        <f t="shared" si="79"/>
        <v>0</v>
      </c>
      <c r="Z140" s="114">
        <f t="shared" si="79"/>
        <v>0</v>
      </c>
      <c r="AA140" s="114">
        <f t="shared" si="79"/>
        <v>0</v>
      </c>
      <c r="AB140" s="114">
        <f t="shared" si="79"/>
        <v>0</v>
      </c>
      <c r="AC140" s="114">
        <f t="shared" si="79"/>
        <v>0</v>
      </c>
      <c r="AD140" s="114">
        <f t="shared" si="79"/>
        <v>0</v>
      </c>
      <c r="AE140" s="114">
        <f t="shared" si="79"/>
        <v>0</v>
      </c>
      <c r="AF140" s="148">
        <v>0</v>
      </c>
      <c r="AG140" s="138"/>
    </row>
    <row r="141" ht="15" spans="2:33">
      <c r="B141" s="103">
        <v>8</v>
      </c>
      <c r="C141" s="115" t="s">
        <v>718</v>
      </c>
      <c r="D141" s="105"/>
      <c r="E141" s="105"/>
      <c r="F141" s="106"/>
      <c r="G141" s="106"/>
      <c r="H141" s="106"/>
      <c r="I141" s="106"/>
      <c r="J141" s="106"/>
      <c r="K141" s="106"/>
      <c r="L141" s="106"/>
      <c r="M141" s="106"/>
      <c r="N141" s="106"/>
      <c r="O141" s="106"/>
      <c r="P141" s="106"/>
      <c r="Q141" s="106"/>
      <c r="R141" s="106"/>
      <c r="S141" s="106"/>
      <c r="T141" s="106"/>
      <c r="U141" s="106"/>
      <c r="V141" s="106"/>
      <c r="W141" s="106"/>
      <c r="X141" s="106"/>
      <c r="Y141" s="106"/>
      <c r="Z141" s="106"/>
      <c r="AA141" s="106"/>
      <c r="AB141" s="106"/>
      <c r="AC141" s="106"/>
      <c r="AD141" s="106"/>
      <c r="AE141" s="106"/>
      <c r="AF141" s="106"/>
      <c r="AG141" s="136"/>
    </row>
    <row r="142" ht="15" spans="2:33">
      <c r="B142" s="107"/>
      <c r="C142" s="116" t="s">
        <v>993</v>
      </c>
      <c r="D142" s="109"/>
      <c r="E142" s="109" t="s">
        <v>24</v>
      </c>
      <c r="F142" s="110"/>
      <c r="G142" s="110"/>
      <c r="H142" s="110"/>
      <c r="I142" s="110"/>
      <c r="J142" s="110">
        <f t="shared" ref="J142:AF142" si="80">I144</f>
        <v>0</v>
      </c>
      <c r="K142" s="110">
        <f t="shared" si="80"/>
        <v>0</v>
      </c>
      <c r="L142" s="110">
        <f t="shared" si="80"/>
        <v>0</v>
      </c>
      <c r="M142" s="110">
        <f t="shared" si="80"/>
        <v>0</v>
      </c>
      <c r="N142" s="110">
        <f t="shared" si="80"/>
        <v>0</v>
      </c>
      <c r="O142" s="110">
        <f t="shared" si="80"/>
        <v>0</v>
      </c>
      <c r="P142" s="110">
        <f t="shared" si="80"/>
        <v>0</v>
      </c>
      <c r="Q142" s="110">
        <f t="shared" si="80"/>
        <v>0</v>
      </c>
      <c r="R142" s="110">
        <f t="shared" si="80"/>
        <v>0</v>
      </c>
      <c r="S142" s="110">
        <f t="shared" si="80"/>
        <v>0</v>
      </c>
      <c r="T142" s="110">
        <f t="shared" si="80"/>
        <v>0</v>
      </c>
      <c r="U142" s="110">
        <f t="shared" si="80"/>
        <v>0</v>
      </c>
      <c r="V142" s="110">
        <f t="shared" si="80"/>
        <v>0</v>
      </c>
      <c r="W142" s="110">
        <f t="shared" si="80"/>
        <v>0</v>
      </c>
      <c r="X142" s="110">
        <f t="shared" si="80"/>
        <v>0</v>
      </c>
      <c r="Y142" s="110">
        <f t="shared" si="80"/>
        <v>0</v>
      </c>
      <c r="Z142" s="110">
        <f t="shared" si="80"/>
        <v>0</v>
      </c>
      <c r="AA142" s="110">
        <f t="shared" si="80"/>
        <v>0</v>
      </c>
      <c r="AB142" s="110">
        <f t="shared" si="80"/>
        <v>0</v>
      </c>
      <c r="AC142" s="110">
        <f t="shared" si="80"/>
        <v>0</v>
      </c>
      <c r="AD142" s="110">
        <f t="shared" si="80"/>
        <v>0</v>
      </c>
      <c r="AE142" s="110">
        <f t="shared" si="80"/>
        <v>0</v>
      </c>
      <c r="AF142" s="110">
        <f t="shared" si="80"/>
        <v>0</v>
      </c>
      <c r="AG142" s="137"/>
    </row>
    <row r="143" ht="15" spans="2:33">
      <c r="B143" s="107"/>
      <c r="C143" s="116" t="s">
        <v>994</v>
      </c>
      <c r="D143" s="109">
        <f>SUM(J143:AF143)</f>
        <v>0</v>
      </c>
      <c r="E143" s="109" t="s">
        <v>24</v>
      </c>
      <c r="F143" s="110"/>
      <c r="G143" s="110"/>
      <c r="H143" s="110"/>
      <c r="I143" s="110"/>
      <c r="J143" s="110">
        <f t="shared" ref="J143:AF143" si="81">J142-J144</f>
        <v>0</v>
      </c>
      <c r="K143" s="110">
        <f t="shared" si="81"/>
        <v>0</v>
      </c>
      <c r="L143" s="110">
        <f t="shared" si="81"/>
        <v>0</v>
      </c>
      <c r="M143" s="110">
        <f t="shared" si="81"/>
        <v>0</v>
      </c>
      <c r="N143" s="110">
        <f t="shared" si="81"/>
        <v>0</v>
      </c>
      <c r="O143" s="110">
        <f t="shared" si="81"/>
        <v>0</v>
      </c>
      <c r="P143" s="110">
        <f t="shared" si="81"/>
        <v>0</v>
      </c>
      <c r="Q143" s="110">
        <f t="shared" si="81"/>
        <v>0</v>
      </c>
      <c r="R143" s="110">
        <f t="shared" si="81"/>
        <v>0</v>
      </c>
      <c r="S143" s="110">
        <f t="shared" si="81"/>
        <v>0</v>
      </c>
      <c r="T143" s="110">
        <f t="shared" si="81"/>
        <v>0</v>
      </c>
      <c r="U143" s="110">
        <f t="shared" si="81"/>
        <v>0</v>
      </c>
      <c r="V143" s="110">
        <f t="shared" si="81"/>
        <v>0</v>
      </c>
      <c r="W143" s="110">
        <f t="shared" si="81"/>
        <v>0</v>
      </c>
      <c r="X143" s="110">
        <f t="shared" si="81"/>
        <v>0</v>
      </c>
      <c r="Y143" s="110">
        <f t="shared" si="81"/>
        <v>0</v>
      </c>
      <c r="Z143" s="110">
        <f t="shared" si="81"/>
        <v>0</v>
      </c>
      <c r="AA143" s="110">
        <f t="shared" si="81"/>
        <v>0</v>
      </c>
      <c r="AB143" s="110">
        <f t="shared" si="81"/>
        <v>0</v>
      </c>
      <c r="AC143" s="110">
        <f t="shared" si="81"/>
        <v>0</v>
      </c>
      <c r="AD143" s="110">
        <f t="shared" si="81"/>
        <v>0</v>
      </c>
      <c r="AE143" s="110">
        <f t="shared" si="81"/>
        <v>0</v>
      </c>
      <c r="AF143" s="110">
        <f t="shared" si="81"/>
        <v>0</v>
      </c>
      <c r="AG143" s="137"/>
    </row>
    <row r="144" ht="15.75" spans="2:33">
      <c r="B144" s="111"/>
      <c r="C144" s="117" t="s">
        <v>995</v>
      </c>
      <c r="D144" s="113"/>
      <c r="E144" s="109" t="s">
        <v>24</v>
      </c>
      <c r="F144" s="114"/>
      <c r="G144" s="114"/>
      <c r="H144" s="114"/>
      <c r="I144" s="129">
        <f>'表10-资产负债表(标准格式)'!$H$68-折现率、非经营、长投计算表!$E$46</f>
        <v>0</v>
      </c>
      <c r="J144" s="114">
        <f t="shared" ref="J144:AE144" si="82">I144</f>
        <v>0</v>
      </c>
      <c r="K144" s="114">
        <f t="shared" si="82"/>
        <v>0</v>
      </c>
      <c r="L144" s="114">
        <f t="shared" si="82"/>
        <v>0</v>
      </c>
      <c r="M144" s="114">
        <f t="shared" si="82"/>
        <v>0</v>
      </c>
      <c r="N144" s="114">
        <f t="shared" si="82"/>
        <v>0</v>
      </c>
      <c r="O144" s="114">
        <f t="shared" si="82"/>
        <v>0</v>
      </c>
      <c r="P144" s="114">
        <f t="shared" si="82"/>
        <v>0</v>
      </c>
      <c r="Q144" s="114">
        <f t="shared" si="82"/>
        <v>0</v>
      </c>
      <c r="R144" s="114">
        <f t="shared" si="82"/>
        <v>0</v>
      </c>
      <c r="S144" s="114">
        <f t="shared" si="82"/>
        <v>0</v>
      </c>
      <c r="T144" s="114">
        <f t="shared" si="82"/>
        <v>0</v>
      </c>
      <c r="U144" s="114">
        <f t="shared" si="82"/>
        <v>0</v>
      </c>
      <c r="V144" s="114">
        <f t="shared" si="82"/>
        <v>0</v>
      </c>
      <c r="W144" s="114">
        <f t="shared" si="82"/>
        <v>0</v>
      </c>
      <c r="X144" s="114">
        <f t="shared" si="82"/>
        <v>0</v>
      </c>
      <c r="Y144" s="114">
        <f t="shared" si="82"/>
        <v>0</v>
      </c>
      <c r="Z144" s="114">
        <f t="shared" si="82"/>
        <v>0</v>
      </c>
      <c r="AA144" s="114">
        <f t="shared" si="82"/>
        <v>0</v>
      </c>
      <c r="AB144" s="114">
        <f t="shared" si="82"/>
        <v>0</v>
      </c>
      <c r="AC144" s="114">
        <f t="shared" si="82"/>
        <v>0</v>
      </c>
      <c r="AD144" s="114">
        <f t="shared" si="82"/>
        <v>0</v>
      </c>
      <c r="AE144" s="114">
        <f t="shared" si="82"/>
        <v>0</v>
      </c>
      <c r="AF144" s="148">
        <v>0</v>
      </c>
      <c r="AG144" s="138"/>
    </row>
    <row r="145" ht="27" customHeight="1" spans="2:33">
      <c r="B145" s="118" t="s">
        <v>1001</v>
      </c>
      <c r="C145" s="119"/>
      <c r="D145" s="140"/>
      <c r="E145" s="120"/>
      <c r="F145" s="106"/>
      <c r="G145" s="106"/>
      <c r="H145" s="106"/>
      <c r="I145" s="106"/>
      <c r="J145" s="106"/>
      <c r="K145" s="106"/>
      <c r="L145" s="106"/>
      <c r="M145" s="106"/>
      <c r="N145" s="106"/>
      <c r="O145" s="106"/>
      <c r="P145" s="106"/>
      <c r="Q145" s="106"/>
      <c r="R145" s="106"/>
      <c r="S145" s="106"/>
      <c r="T145" s="106"/>
      <c r="U145" s="106"/>
      <c r="V145" s="106"/>
      <c r="W145" s="106"/>
      <c r="X145" s="106"/>
      <c r="Y145" s="106"/>
      <c r="Z145" s="106"/>
      <c r="AA145" s="106"/>
      <c r="AB145" s="106"/>
      <c r="AC145" s="106"/>
      <c r="AD145" s="106"/>
      <c r="AE145" s="106"/>
      <c r="AF145" s="106"/>
      <c r="AG145" s="136"/>
    </row>
    <row r="146" ht="15" spans="2:33">
      <c r="B146" s="107"/>
      <c r="C146" s="108" t="s">
        <v>993</v>
      </c>
      <c r="D146" s="109"/>
      <c r="E146" s="109" t="s">
        <v>24</v>
      </c>
      <c r="F146" s="110"/>
      <c r="G146" s="110"/>
      <c r="H146" s="110"/>
      <c r="I146" s="130"/>
      <c r="J146" s="110">
        <f t="shared" ref="J146:AF146" si="83">I148</f>
        <v>318.312234</v>
      </c>
      <c r="K146" s="110">
        <f t="shared" si="83"/>
        <v>318.312234</v>
      </c>
      <c r="L146" s="110">
        <f t="shared" si="83"/>
        <v>318.312234</v>
      </c>
      <c r="M146" s="110">
        <f t="shared" si="83"/>
        <v>318.312234</v>
      </c>
      <c r="N146" s="110">
        <f t="shared" si="83"/>
        <v>318.312234</v>
      </c>
      <c r="O146" s="110">
        <f t="shared" si="83"/>
        <v>318.312234</v>
      </c>
      <c r="P146" s="110">
        <f t="shared" si="83"/>
        <v>318.312234</v>
      </c>
      <c r="Q146" s="110">
        <f t="shared" si="83"/>
        <v>318.312234</v>
      </c>
      <c r="R146" s="110">
        <f t="shared" si="83"/>
        <v>318.312234</v>
      </c>
      <c r="S146" s="110">
        <f t="shared" si="83"/>
        <v>318.312234</v>
      </c>
      <c r="T146" s="110">
        <f t="shared" si="83"/>
        <v>318.312234</v>
      </c>
      <c r="U146" s="110">
        <f t="shared" si="83"/>
        <v>318.312234</v>
      </c>
      <c r="V146" s="110">
        <f t="shared" si="83"/>
        <v>318.312234</v>
      </c>
      <c r="W146" s="110">
        <f t="shared" si="83"/>
        <v>318.312234</v>
      </c>
      <c r="X146" s="110">
        <f t="shared" si="83"/>
        <v>318.312234</v>
      </c>
      <c r="Y146" s="110">
        <f t="shared" si="83"/>
        <v>318.312234</v>
      </c>
      <c r="Z146" s="110">
        <f t="shared" si="83"/>
        <v>318.312234</v>
      </c>
      <c r="AA146" s="110">
        <f t="shared" si="83"/>
        <v>318.312234</v>
      </c>
      <c r="AB146" s="110">
        <f t="shared" si="83"/>
        <v>318.312234</v>
      </c>
      <c r="AC146" s="110">
        <f t="shared" si="83"/>
        <v>318.312234</v>
      </c>
      <c r="AD146" s="110">
        <f t="shared" si="83"/>
        <v>318.312234</v>
      </c>
      <c r="AE146" s="110">
        <f t="shared" si="83"/>
        <v>318.312234</v>
      </c>
      <c r="AF146" s="110">
        <f t="shared" si="83"/>
        <v>318.312234</v>
      </c>
      <c r="AG146" s="137"/>
    </row>
    <row r="147" ht="15" spans="2:33">
      <c r="B147" s="107"/>
      <c r="C147" s="108" t="s">
        <v>994</v>
      </c>
      <c r="D147" s="109">
        <f t="shared" ref="D147:D151" si="84">SUM(J147:AF147)</f>
        <v>318.312234</v>
      </c>
      <c r="E147" s="109" t="s">
        <v>24</v>
      </c>
      <c r="F147" s="110"/>
      <c r="G147" s="110"/>
      <c r="H147" s="110"/>
      <c r="I147" s="130"/>
      <c r="J147" s="131">
        <f>J115+J119+J123+J127+J131+J135+J139+J143</f>
        <v>0</v>
      </c>
      <c r="K147" s="131">
        <f t="shared" ref="K147:AF147" si="85">K115+K119+K123+K127+K131+K135+K139+K143</f>
        <v>0</v>
      </c>
      <c r="L147" s="131">
        <f t="shared" si="85"/>
        <v>0</v>
      </c>
      <c r="M147" s="131">
        <f t="shared" si="85"/>
        <v>0</v>
      </c>
      <c r="N147" s="131">
        <f t="shared" si="85"/>
        <v>0</v>
      </c>
      <c r="O147" s="131">
        <f t="shared" si="85"/>
        <v>0</v>
      </c>
      <c r="P147" s="131">
        <f t="shared" si="85"/>
        <v>0</v>
      </c>
      <c r="Q147" s="131">
        <f t="shared" si="85"/>
        <v>0</v>
      </c>
      <c r="R147" s="131">
        <f t="shared" si="85"/>
        <v>0</v>
      </c>
      <c r="S147" s="131">
        <f t="shared" si="85"/>
        <v>0</v>
      </c>
      <c r="T147" s="131">
        <f t="shared" si="85"/>
        <v>0</v>
      </c>
      <c r="U147" s="131">
        <f t="shared" si="85"/>
        <v>0</v>
      </c>
      <c r="V147" s="131">
        <f t="shared" si="85"/>
        <v>0</v>
      </c>
      <c r="W147" s="131">
        <f t="shared" si="85"/>
        <v>0</v>
      </c>
      <c r="X147" s="131">
        <f t="shared" si="85"/>
        <v>0</v>
      </c>
      <c r="Y147" s="131">
        <f t="shared" si="85"/>
        <v>0</v>
      </c>
      <c r="Z147" s="131">
        <f t="shared" si="85"/>
        <v>0</v>
      </c>
      <c r="AA147" s="131">
        <f t="shared" si="85"/>
        <v>0</v>
      </c>
      <c r="AB147" s="131">
        <f t="shared" si="85"/>
        <v>0</v>
      </c>
      <c r="AC147" s="131">
        <f t="shared" si="85"/>
        <v>0</v>
      </c>
      <c r="AD147" s="131">
        <f t="shared" si="85"/>
        <v>0</v>
      </c>
      <c r="AE147" s="131">
        <f t="shared" si="85"/>
        <v>0</v>
      </c>
      <c r="AF147" s="131">
        <f t="shared" si="85"/>
        <v>318.312234</v>
      </c>
      <c r="AG147" s="137"/>
    </row>
    <row r="148" ht="15.75" spans="2:33">
      <c r="B148" s="111"/>
      <c r="C148" s="112" t="s">
        <v>995</v>
      </c>
      <c r="D148" s="113"/>
      <c r="E148" s="113" t="s">
        <v>24</v>
      </c>
      <c r="F148" s="114"/>
      <c r="G148" s="114"/>
      <c r="H148" s="114"/>
      <c r="I148" s="132">
        <f>I116+I120+I124+I128+I132+I136+I140+I144</f>
        <v>318.312234</v>
      </c>
      <c r="J148" s="123">
        <f t="shared" ref="J148:AF148" si="86">J146-J147</f>
        <v>318.312234</v>
      </c>
      <c r="K148" s="123">
        <f t="shared" si="86"/>
        <v>318.312234</v>
      </c>
      <c r="L148" s="123">
        <f t="shared" si="86"/>
        <v>318.312234</v>
      </c>
      <c r="M148" s="123">
        <f t="shared" si="86"/>
        <v>318.312234</v>
      </c>
      <c r="N148" s="123">
        <f t="shared" si="86"/>
        <v>318.312234</v>
      </c>
      <c r="O148" s="123">
        <f t="shared" si="86"/>
        <v>318.312234</v>
      </c>
      <c r="P148" s="123">
        <f t="shared" si="86"/>
        <v>318.312234</v>
      </c>
      <c r="Q148" s="123">
        <f t="shared" si="86"/>
        <v>318.312234</v>
      </c>
      <c r="R148" s="123">
        <f t="shared" si="86"/>
        <v>318.312234</v>
      </c>
      <c r="S148" s="123">
        <f t="shared" si="86"/>
        <v>318.312234</v>
      </c>
      <c r="T148" s="123">
        <f t="shared" si="86"/>
        <v>318.312234</v>
      </c>
      <c r="U148" s="123">
        <f t="shared" si="86"/>
        <v>318.312234</v>
      </c>
      <c r="V148" s="123">
        <f t="shared" si="86"/>
        <v>318.312234</v>
      </c>
      <c r="W148" s="123">
        <f t="shared" si="86"/>
        <v>318.312234</v>
      </c>
      <c r="X148" s="123">
        <f t="shared" si="86"/>
        <v>318.312234</v>
      </c>
      <c r="Y148" s="123">
        <f t="shared" si="86"/>
        <v>318.312234</v>
      </c>
      <c r="Z148" s="123">
        <f t="shared" si="86"/>
        <v>318.312234</v>
      </c>
      <c r="AA148" s="123">
        <f t="shared" si="86"/>
        <v>318.312234</v>
      </c>
      <c r="AB148" s="123">
        <f t="shared" si="86"/>
        <v>318.312234</v>
      </c>
      <c r="AC148" s="123">
        <f t="shared" si="86"/>
        <v>318.312234</v>
      </c>
      <c r="AD148" s="123">
        <f t="shared" si="86"/>
        <v>318.312234</v>
      </c>
      <c r="AE148" s="123">
        <f t="shared" si="86"/>
        <v>318.312234</v>
      </c>
      <c r="AF148" s="123">
        <f t="shared" si="86"/>
        <v>0</v>
      </c>
      <c r="AG148" s="138"/>
    </row>
    <row r="149" ht="31.95" customHeight="1" spans="2:33">
      <c r="B149" s="118" t="s">
        <v>1002</v>
      </c>
      <c r="C149" s="119"/>
      <c r="D149" s="120">
        <f t="shared" si="84"/>
        <v>10137.308743</v>
      </c>
      <c r="E149" s="141" t="s">
        <v>24</v>
      </c>
      <c r="F149" s="106"/>
      <c r="G149" s="106"/>
      <c r="H149" s="106"/>
      <c r="I149" s="105"/>
      <c r="J149" s="105">
        <f t="shared" ref="J149:AF149" si="87">J110-J147</f>
        <v>0</v>
      </c>
      <c r="K149" s="105">
        <f t="shared" si="87"/>
        <v>0</v>
      </c>
      <c r="L149" s="105">
        <f t="shared" si="87"/>
        <v>0</v>
      </c>
      <c r="M149" s="105">
        <f t="shared" si="87"/>
        <v>0</v>
      </c>
      <c r="N149" s="105">
        <f t="shared" si="87"/>
        <v>0</v>
      </c>
      <c r="O149" s="105">
        <f t="shared" si="87"/>
        <v>0</v>
      </c>
      <c r="P149" s="105">
        <f t="shared" si="87"/>
        <v>0</v>
      </c>
      <c r="Q149" s="105">
        <f t="shared" si="87"/>
        <v>0</v>
      </c>
      <c r="R149" s="105">
        <f t="shared" si="87"/>
        <v>0</v>
      </c>
      <c r="S149" s="105">
        <f t="shared" si="87"/>
        <v>0</v>
      </c>
      <c r="T149" s="105">
        <f t="shared" si="87"/>
        <v>0</v>
      </c>
      <c r="U149" s="105">
        <f t="shared" si="87"/>
        <v>0</v>
      </c>
      <c r="V149" s="105">
        <f t="shared" si="87"/>
        <v>0</v>
      </c>
      <c r="W149" s="105">
        <f t="shared" si="87"/>
        <v>0</v>
      </c>
      <c r="X149" s="105">
        <f t="shared" si="87"/>
        <v>0</v>
      </c>
      <c r="Y149" s="105">
        <f t="shared" si="87"/>
        <v>0</v>
      </c>
      <c r="Z149" s="105">
        <f t="shared" si="87"/>
        <v>0</v>
      </c>
      <c r="AA149" s="105">
        <f t="shared" si="87"/>
        <v>0</v>
      </c>
      <c r="AB149" s="105">
        <f t="shared" si="87"/>
        <v>0</v>
      </c>
      <c r="AC149" s="105">
        <f t="shared" si="87"/>
        <v>0</v>
      </c>
      <c r="AD149" s="105">
        <f t="shared" si="87"/>
        <v>0</v>
      </c>
      <c r="AE149" s="105">
        <f t="shared" si="87"/>
        <v>0</v>
      </c>
      <c r="AF149" s="105">
        <f t="shared" si="87"/>
        <v>10137.308743</v>
      </c>
      <c r="AG149" s="136"/>
    </row>
    <row r="150" ht="15" spans="2:33">
      <c r="B150" s="142" t="s">
        <v>1004</v>
      </c>
      <c r="C150" t="s">
        <v>1005</v>
      </c>
      <c r="D150" s="109">
        <f t="shared" si="84"/>
        <v>9930.384455</v>
      </c>
      <c r="E150" s="109" t="s">
        <v>24</v>
      </c>
      <c r="J150" s="131">
        <f>J86+J90+J94-J115-J119-J123-J127-J131+J106-J143</f>
        <v>0</v>
      </c>
      <c r="K150" s="131">
        <f t="shared" ref="K150:AF150" si="88">K86+K90+K94-K115-K119-K123-K127-K131+K106-K143</f>
        <v>0</v>
      </c>
      <c r="L150" s="131">
        <f t="shared" si="88"/>
        <v>0</v>
      </c>
      <c r="M150" s="131">
        <f t="shared" si="88"/>
        <v>0</v>
      </c>
      <c r="N150" s="131">
        <f t="shared" si="88"/>
        <v>0</v>
      </c>
      <c r="O150" s="131">
        <f t="shared" si="88"/>
        <v>0</v>
      </c>
      <c r="P150" s="131">
        <f t="shared" si="88"/>
        <v>0</v>
      </c>
      <c r="Q150" s="131">
        <f t="shared" si="88"/>
        <v>0</v>
      </c>
      <c r="R150" s="131">
        <f t="shared" si="88"/>
        <v>0</v>
      </c>
      <c r="S150" s="131">
        <f t="shared" si="88"/>
        <v>0</v>
      </c>
      <c r="T150" s="131">
        <f t="shared" si="88"/>
        <v>0</v>
      </c>
      <c r="U150" s="131">
        <f t="shared" si="88"/>
        <v>0</v>
      </c>
      <c r="V150" s="131">
        <f t="shared" si="88"/>
        <v>0</v>
      </c>
      <c r="W150" s="131">
        <f t="shared" si="88"/>
        <v>0</v>
      </c>
      <c r="X150" s="131">
        <f t="shared" si="88"/>
        <v>0</v>
      </c>
      <c r="Y150" s="131">
        <f t="shared" si="88"/>
        <v>0</v>
      </c>
      <c r="Z150" s="131">
        <f t="shared" si="88"/>
        <v>0</v>
      </c>
      <c r="AA150" s="131">
        <f t="shared" si="88"/>
        <v>0</v>
      </c>
      <c r="AB150" s="131">
        <f t="shared" si="88"/>
        <v>0</v>
      </c>
      <c r="AC150" s="131">
        <f t="shared" si="88"/>
        <v>0</v>
      </c>
      <c r="AD150" s="131">
        <f t="shared" si="88"/>
        <v>0</v>
      </c>
      <c r="AE150" s="131">
        <f t="shared" si="88"/>
        <v>0</v>
      </c>
      <c r="AF150" s="131">
        <f t="shared" si="88"/>
        <v>9930.384455</v>
      </c>
      <c r="AG150" s="149"/>
    </row>
    <row r="151" ht="15.75" spans="2:33">
      <c r="B151" s="143"/>
      <c r="C151" s="144" t="s">
        <v>459</v>
      </c>
      <c r="D151" s="113">
        <f t="shared" si="84"/>
        <v>206.924288</v>
      </c>
      <c r="E151" s="109" t="s">
        <v>24</v>
      </c>
      <c r="F151" s="144"/>
      <c r="G151" s="144"/>
      <c r="H151" s="144"/>
      <c r="I151" s="144"/>
      <c r="J151" s="114">
        <f>J98+J102-J135-J139</f>
        <v>0</v>
      </c>
      <c r="K151" s="114">
        <f t="shared" ref="K151:AF151" si="89">K98+K102-K135-K139</f>
        <v>0</v>
      </c>
      <c r="L151" s="114">
        <f t="shared" si="89"/>
        <v>0</v>
      </c>
      <c r="M151" s="114">
        <f t="shared" si="89"/>
        <v>0</v>
      </c>
      <c r="N151" s="114">
        <f t="shared" si="89"/>
        <v>0</v>
      </c>
      <c r="O151" s="114">
        <f t="shared" si="89"/>
        <v>0</v>
      </c>
      <c r="P151" s="114">
        <f t="shared" si="89"/>
        <v>0</v>
      </c>
      <c r="Q151" s="114">
        <f t="shared" si="89"/>
        <v>0</v>
      </c>
      <c r="R151" s="114">
        <f t="shared" si="89"/>
        <v>0</v>
      </c>
      <c r="S151" s="114">
        <f t="shared" si="89"/>
        <v>0</v>
      </c>
      <c r="T151" s="114">
        <f t="shared" si="89"/>
        <v>0</v>
      </c>
      <c r="U151" s="114">
        <f t="shared" si="89"/>
        <v>0</v>
      </c>
      <c r="V151" s="114">
        <f t="shared" si="89"/>
        <v>0</v>
      </c>
      <c r="W151" s="114">
        <f t="shared" si="89"/>
        <v>0</v>
      </c>
      <c r="X151" s="114">
        <f t="shared" si="89"/>
        <v>0</v>
      </c>
      <c r="Y151" s="114">
        <f t="shared" si="89"/>
        <v>0</v>
      </c>
      <c r="Z151" s="114">
        <f t="shared" si="89"/>
        <v>0</v>
      </c>
      <c r="AA151" s="114">
        <f t="shared" si="89"/>
        <v>0</v>
      </c>
      <c r="AB151" s="114">
        <f t="shared" si="89"/>
        <v>0</v>
      </c>
      <c r="AC151" s="114">
        <f t="shared" si="89"/>
        <v>0</v>
      </c>
      <c r="AD151" s="114">
        <f t="shared" si="89"/>
        <v>0</v>
      </c>
      <c r="AE151" s="114">
        <f t="shared" si="89"/>
        <v>0</v>
      </c>
      <c r="AF151" s="114">
        <f t="shared" si="89"/>
        <v>206.924288</v>
      </c>
      <c r="AG151" s="150"/>
    </row>
  </sheetData>
  <mergeCells count="16">
    <mergeCell ref="B2:H2"/>
    <mergeCell ref="B30:C30"/>
    <mergeCell ref="B67:C67"/>
    <mergeCell ref="B71:C71"/>
    <mergeCell ref="B80:H80"/>
    <mergeCell ref="B108:C108"/>
    <mergeCell ref="B145:C145"/>
    <mergeCell ref="B149:C149"/>
    <mergeCell ref="B3:B4"/>
    <mergeCell ref="B81:B82"/>
    <mergeCell ref="C3:C4"/>
    <mergeCell ref="C81:C82"/>
    <mergeCell ref="D3:D4"/>
    <mergeCell ref="D81:D82"/>
    <mergeCell ref="E3:E4"/>
    <mergeCell ref="E81:E82"/>
  </mergeCells>
  <pageMargins left="0.75" right="0.75" top="1" bottom="1" header="0.5" footer="0.5"/>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14">
    <tabColor rgb="FF0070C0"/>
  </sheetPr>
  <dimension ref="B1:AE134"/>
  <sheetViews>
    <sheetView showGridLines="0" zoomScale="70" zoomScaleNormal="70" workbookViewId="0">
      <pane xSplit="3" ySplit="4" topLeftCell="D26" activePane="bottomRight" state="frozen"/>
      <selection/>
      <selection pane="topRight"/>
      <selection pane="bottomLeft"/>
      <selection pane="bottomRight" activeCell="C109" sqref="C109"/>
    </sheetView>
  </sheetViews>
  <sheetFormatPr defaultColWidth="8.89090909090909" defaultRowHeight="16.5"/>
  <cols>
    <col min="1" max="1" width="3.44545454545455" style="4" customWidth="1"/>
    <col min="2" max="2" width="8.55454545454545" style="5" customWidth="1"/>
    <col min="3" max="3" width="60.7818181818182" style="4" customWidth="1"/>
    <col min="4" max="4" width="8.89090909090909" style="5"/>
    <col min="5" max="5" width="15.8909090909091" style="4" customWidth="1"/>
    <col min="6" max="12" width="17.4454545454545" style="4" customWidth="1"/>
    <col min="13" max="13" width="15.2181818181818" style="4" customWidth="1"/>
    <col min="14" max="19" width="17.4454545454545" style="4" customWidth="1"/>
    <col min="20" max="31" width="15.8909090909091" style="4" customWidth="1"/>
    <col min="32" max="16384" width="8.89090909090909" style="4"/>
  </cols>
  <sheetData>
    <row r="1" ht="5.4" customHeight="1"/>
    <row r="2" ht="7.2" customHeight="1"/>
    <row r="3" spans="2:31">
      <c r="B3" s="7" t="s">
        <v>15</v>
      </c>
      <c r="C3" s="8" t="s">
        <v>463</v>
      </c>
      <c r="D3" s="9" t="s">
        <v>18</v>
      </c>
      <c r="E3" s="10" t="s">
        <v>464</v>
      </c>
      <c r="F3" s="10" t="s">
        <v>465</v>
      </c>
      <c r="G3" s="10" t="s">
        <v>466</v>
      </c>
      <c r="H3" s="37">
        <v>45107</v>
      </c>
      <c r="I3" s="37">
        <v>45261</v>
      </c>
      <c r="J3" s="10" t="s">
        <v>20</v>
      </c>
      <c r="K3" s="10" t="s">
        <v>467</v>
      </c>
      <c r="L3" s="10" t="s">
        <v>468</v>
      </c>
      <c r="M3" s="10" t="s">
        <v>469</v>
      </c>
      <c r="N3" s="10" t="s">
        <v>470</v>
      </c>
      <c r="O3" s="10" t="s">
        <v>471</v>
      </c>
      <c r="P3" s="10" t="s">
        <v>472</v>
      </c>
      <c r="Q3" s="10" t="s">
        <v>473</v>
      </c>
      <c r="R3" s="10" t="s">
        <v>474</v>
      </c>
      <c r="S3" s="10" t="s">
        <v>475</v>
      </c>
      <c r="T3" s="10" t="s">
        <v>476</v>
      </c>
      <c r="U3" s="10" t="s">
        <v>477</v>
      </c>
      <c r="V3" s="10" t="s">
        <v>478</v>
      </c>
      <c r="W3" s="10" t="s">
        <v>479</v>
      </c>
      <c r="X3" s="10" t="s">
        <v>480</v>
      </c>
      <c r="Y3" s="10" t="s">
        <v>481</v>
      </c>
      <c r="Z3" s="10" t="s">
        <v>482</v>
      </c>
      <c r="AA3" s="10" t="s">
        <v>483</v>
      </c>
      <c r="AB3" s="10" t="s">
        <v>484</v>
      </c>
      <c r="AC3" s="10" t="s">
        <v>485</v>
      </c>
      <c r="AD3" s="10" t="s">
        <v>486</v>
      </c>
      <c r="AE3" s="37">
        <v>53051</v>
      </c>
    </row>
    <row r="4" spans="2:31">
      <c r="B4" s="11"/>
      <c r="C4" s="12"/>
      <c r="D4" s="13"/>
      <c r="E4" s="14">
        <v>1</v>
      </c>
      <c r="F4" s="14">
        <v>2</v>
      </c>
      <c r="G4" s="14">
        <v>3</v>
      </c>
      <c r="H4" s="14">
        <v>4</v>
      </c>
      <c r="I4" s="38">
        <v>5</v>
      </c>
      <c r="J4" s="38">
        <v>6</v>
      </c>
      <c r="K4" s="38">
        <v>7</v>
      </c>
      <c r="L4" s="38">
        <v>8</v>
      </c>
      <c r="M4" s="38">
        <v>9</v>
      </c>
      <c r="N4" s="38">
        <v>10</v>
      </c>
      <c r="O4" s="38">
        <v>11</v>
      </c>
      <c r="P4" s="38">
        <v>12</v>
      </c>
      <c r="Q4" s="38">
        <v>13</v>
      </c>
      <c r="R4" s="38">
        <v>14</v>
      </c>
      <c r="S4" s="38">
        <v>15</v>
      </c>
      <c r="T4" s="38">
        <v>16</v>
      </c>
      <c r="U4" s="38">
        <v>17</v>
      </c>
      <c r="V4" s="38">
        <v>18</v>
      </c>
      <c r="W4" s="38">
        <v>19</v>
      </c>
      <c r="X4" s="38">
        <v>20</v>
      </c>
      <c r="Y4" s="38">
        <v>21</v>
      </c>
      <c r="Z4" s="38">
        <v>22</v>
      </c>
      <c r="AA4" s="38">
        <v>23</v>
      </c>
      <c r="AB4" s="38">
        <v>24</v>
      </c>
      <c r="AC4" s="38">
        <v>25</v>
      </c>
      <c r="AD4" s="38">
        <v>26</v>
      </c>
      <c r="AE4" s="38">
        <v>27</v>
      </c>
    </row>
    <row r="5" ht="22.8" customHeight="1" spans="2:31">
      <c r="B5" s="68">
        <v>1</v>
      </c>
      <c r="C5" s="69" t="s">
        <v>1008</v>
      </c>
      <c r="D5" s="70" t="s">
        <v>24</v>
      </c>
      <c r="E5" s="71">
        <f t="shared" ref="E5:M5" si="0">E6+E31</f>
        <v>0</v>
      </c>
      <c r="F5" s="71">
        <f t="shared" si="0"/>
        <v>0</v>
      </c>
      <c r="G5" s="71">
        <f t="shared" si="0"/>
        <v>30016</v>
      </c>
      <c r="H5" s="71">
        <f t="shared" si="0"/>
        <v>46877.72862</v>
      </c>
      <c r="I5" s="71">
        <f ca="1" t="shared" si="0"/>
        <v>88506.4015144027</v>
      </c>
      <c r="J5" s="71">
        <f ca="1" t="shared" si="0"/>
        <v>183584.821667079</v>
      </c>
      <c r="K5" s="71">
        <f ca="1" t="shared" si="0"/>
        <v>176262.804822667</v>
      </c>
      <c r="L5" s="71">
        <f ca="1" t="shared" si="0"/>
        <v>167942.982862187</v>
      </c>
      <c r="M5" s="71">
        <f ca="1" t="shared" si="0"/>
        <v>159936.279202984</v>
      </c>
      <c r="N5" s="71">
        <f ca="1" t="shared" ref="N5:AE5" si="1">N6+N31</f>
        <v>151707.694325036</v>
      </c>
      <c r="O5" s="71">
        <f ca="1" t="shared" si="1"/>
        <v>143247.81863865</v>
      </c>
      <c r="P5" s="71">
        <f ca="1" t="shared" si="1"/>
        <v>134546.838402808</v>
      </c>
      <c r="Q5" s="71">
        <f ca="1" t="shared" si="1"/>
        <v>125532.036168473</v>
      </c>
      <c r="R5" s="71">
        <f ca="1" t="shared" si="1"/>
        <v>116251.915009476</v>
      </c>
      <c r="S5" s="71">
        <f ca="1" t="shared" si="1"/>
        <v>106696.205530732</v>
      </c>
      <c r="T5" s="71">
        <f ca="1" t="shared" si="1"/>
        <v>99453.1666075063</v>
      </c>
      <c r="U5" s="71">
        <f ca="1" t="shared" si="1"/>
        <v>91904.6468395876</v>
      </c>
      <c r="V5" s="71">
        <f ca="1" t="shared" si="1"/>
        <v>84024.4803066155</v>
      </c>
      <c r="W5" s="71">
        <f ca="1" t="shared" si="1"/>
        <v>75891.0314700095</v>
      </c>
      <c r="X5" s="71">
        <f ca="1" t="shared" si="1"/>
        <v>67490.7774929895</v>
      </c>
      <c r="Y5" s="71">
        <f ca="1" t="shared" si="1"/>
        <v>58540.6011553232</v>
      </c>
      <c r="Z5" s="71">
        <f ca="1" t="shared" si="1"/>
        <v>58722.6292387809</v>
      </c>
      <c r="AA5" s="71">
        <f ca="1" t="shared" si="1"/>
        <v>47853.4623304446</v>
      </c>
      <c r="AB5" s="71">
        <f ca="1" t="shared" si="1"/>
        <v>48508.2356394378</v>
      </c>
      <c r="AC5" s="71">
        <f ca="1" t="shared" si="1"/>
        <v>48834.5663078311</v>
      </c>
      <c r="AD5" s="71">
        <f ca="1" t="shared" si="1"/>
        <v>48824.5663078311</v>
      </c>
      <c r="AE5" s="71">
        <f ca="1" t="shared" si="1"/>
        <v>48824.5663078311</v>
      </c>
    </row>
    <row r="6" spans="2:31">
      <c r="B6" s="15">
        <v>1.1</v>
      </c>
      <c r="C6" s="16" t="s">
        <v>505</v>
      </c>
      <c r="D6" s="18" t="s">
        <v>24</v>
      </c>
      <c r="E6" s="17">
        <f>SUM(E7:E21)+E23+E24+SUM(E27:E30)</f>
        <v>0</v>
      </c>
      <c r="F6" s="17">
        <f>SUM(F7:F21)+F23+F24+SUM(F27:F30)</f>
        <v>0</v>
      </c>
      <c r="G6" s="17">
        <f>SUM(G7:G21)+G23+G24+SUM(G27:G30)</f>
        <v>0</v>
      </c>
      <c r="H6" s="17">
        <f>SUM(H7:H21)+H23+H24+SUM(H27:H30)</f>
        <v>17462.355112</v>
      </c>
      <c r="I6" s="17">
        <f ca="1" t="shared" ref="I6:AE6" si="2">SUM(I7:I21)+I23+I24+SUM(I27:I30)</f>
        <v>23466.9750701039</v>
      </c>
      <c r="J6" s="17">
        <f ca="1" t="shared" si="2"/>
        <v>39276.1611445649</v>
      </c>
      <c r="K6" s="17">
        <f ca="1" t="shared" si="2"/>
        <v>41017.4744313046</v>
      </c>
      <c r="L6" s="17">
        <f ca="1" t="shared" si="2"/>
        <v>41394.0101249127</v>
      </c>
      <c r="M6" s="17">
        <f ca="1" t="shared" si="2"/>
        <v>42542.3797161277</v>
      </c>
      <c r="N6" s="17">
        <f ca="1" t="shared" si="2"/>
        <v>43468.8680885974</v>
      </c>
      <c r="O6" s="17">
        <f ca="1" t="shared" si="2"/>
        <v>44164.0656526292</v>
      </c>
      <c r="P6" s="17">
        <f ca="1" t="shared" si="2"/>
        <v>44618.1586672047</v>
      </c>
      <c r="Q6" s="17">
        <f ca="1" t="shared" si="2"/>
        <v>44299.714086957</v>
      </c>
      <c r="R6" s="17">
        <f ca="1" t="shared" si="2"/>
        <v>44174.6661783783</v>
      </c>
      <c r="S6" s="17">
        <f ca="1" t="shared" si="2"/>
        <v>43773.2858492521</v>
      </c>
      <c r="T6" s="17">
        <f ca="1" t="shared" si="2"/>
        <v>45683.8319748444</v>
      </c>
      <c r="U6" s="17">
        <f ca="1" t="shared" si="2"/>
        <v>47288.8972557436</v>
      </c>
      <c r="V6" s="17">
        <f ca="1" t="shared" si="2"/>
        <v>48103.6001752591</v>
      </c>
      <c r="W6" s="17">
        <f ca="1" t="shared" si="2"/>
        <v>48074.8826912924</v>
      </c>
      <c r="X6" s="17">
        <f ca="1" t="shared" si="2"/>
        <v>46730.5063707331</v>
      </c>
      <c r="Y6" s="17">
        <f ca="1" t="shared" si="2"/>
        <v>44836.2076895276</v>
      </c>
      <c r="Z6" s="17">
        <f ca="1" t="shared" si="2"/>
        <v>52074.113429446</v>
      </c>
      <c r="AA6" s="17">
        <f ca="1" t="shared" si="2"/>
        <v>46757.4884006609</v>
      </c>
      <c r="AB6" s="17">
        <f ca="1" t="shared" si="2"/>
        <v>48200.4182826396</v>
      </c>
      <c r="AC6" s="17">
        <f ca="1" t="shared" si="2"/>
        <v>48618.492070299</v>
      </c>
      <c r="AD6" s="17">
        <f ca="1" t="shared" si="2"/>
        <v>48700.2351895651</v>
      </c>
      <c r="AE6" s="17">
        <f ca="1" t="shared" si="2"/>
        <v>48791.9783088311</v>
      </c>
    </row>
    <row r="7" spans="2:31">
      <c r="B7" s="20"/>
      <c r="C7" s="25" t="s">
        <v>1009</v>
      </c>
      <c r="D7" s="18" t="s">
        <v>24</v>
      </c>
      <c r="E7" s="23"/>
      <c r="F7" s="23"/>
      <c r="G7" s="23"/>
      <c r="H7" s="23">
        <v>4559.951542</v>
      </c>
      <c r="I7" s="22">
        <f ca="1">'表9-现金流量表-财务计划(标准格式)'!J62</f>
        <v>9539.20327775954</v>
      </c>
      <c r="J7" s="22">
        <f ca="1">'表9-现金流量表-财务计划(标准格式)'!K62</f>
        <v>17455.5093708086</v>
      </c>
      <c r="K7" s="22">
        <f ca="1">'表9-现金流量表-财务计划(标准格式)'!L62</f>
        <v>23708.6403975194</v>
      </c>
      <c r="L7" s="22">
        <f ca="1">'表9-现金流量表-财务计划(标准格式)'!M62</f>
        <v>27323.1708466525</v>
      </c>
      <c r="M7" s="22">
        <f ca="1">'表9-现金流量表-财务计划(标准格式)'!N62</f>
        <v>30922.1171881684</v>
      </c>
      <c r="N7" s="22">
        <f ca="1">'表9-现金流量表-财务计划(标准格式)'!O62</f>
        <v>34288.1081470452</v>
      </c>
      <c r="O7" s="22">
        <f ca="1">'表9-现金流量表-财务计划(标准格式)'!P62</f>
        <v>37411.7343884575</v>
      </c>
      <c r="P7" s="22">
        <f ca="1">'表9-现金流量表-财务计划(标准格式)'!Q62</f>
        <v>40283.1813165198</v>
      </c>
      <c r="Q7" s="22">
        <f ca="1">'表9-现金流量表-财务计划(标准格式)'!R62</f>
        <v>40046.224953957</v>
      </c>
      <c r="R7" s="22">
        <f ca="1">'表9-现金流量表-财务计划(标准格式)'!S62</f>
        <v>39940.4290533783</v>
      </c>
      <c r="S7" s="22">
        <f ca="1">'表9-现金流量表-财务计划(标准格式)'!T62</f>
        <v>39558.3007322521</v>
      </c>
      <c r="T7" s="22">
        <f ca="1">'表9-现金流量表-财务计划(标准格式)'!U62</f>
        <v>41488.0994658444</v>
      </c>
      <c r="U7" s="22">
        <f ca="1">'表9-现金流量表-财务计划(标准格式)'!V62</f>
        <v>43112.4167547436</v>
      </c>
      <c r="V7" s="22">
        <f ca="1">'表9-现金流量表-财务计划(标准格式)'!W62</f>
        <v>43946.3722822591</v>
      </c>
      <c r="W7" s="22">
        <f ca="1">'表9-现金流量表-财务计划(标准格式)'!X62</f>
        <v>43936.9068062924</v>
      </c>
      <c r="X7" s="22">
        <f ca="1">'表9-现金流量表-财务计划(标准格式)'!Y62</f>
        <v>42611.7824937331</v>
      </c>
      <c r="Y7" s="22">
        <f ca="1">'表9-现金流量表-财务计划(标准格式)'!Z62</f>
        <v>41318.2238645276</v>
      </c>
      <c r="Z7" s="22">
        <f ca="1">'表9-现金流量表-财务计划(标准格式)'!AA62</f>
        <v>48901.663448446</v>
      </c>
      <c r="AA7" s="22">
        <f ca="1">'表9-现金流量表-财务计划(标准格式)'!AB62</f>
        <v>43599.8241476609</v>
      </c>
      <c r="AB7" s="22">
        <f ca="1">'表9-现金流量表-财务计划(标准格式)'!AC62</f>
        <v>45057.5391576396</v>
      </c>
      <c r="AC7" s="22">
        <f ca="1">'表9-现金流量表-财务计划(标准格式)'!AD62</f>
        <v>45490.398073299</v>
      </c>
      <c r="AD7" s="22">
        <f ca="1">'表9-现金流量表-财务计划(标准格式)'!AE62</f>
        <v>45586.9269205651</v>
      </c>
      <c r="AE7" s="22">
        <f ca="1">'表9-现金流量表-财务计划(标准格式)'!AF62</f>
        <v>48784.2444958311</v>
      </c>
    </row>
    <row r="8" spans="2:31">
      <c r="B8" s="20"/>
      <c r="C8" s="25" t="s">
        <v>1010</v>
      </c>
      <c r="D8" s="18" t="s">
        <v>24</v>
      </c>
      <c r="E8" s="23"/>
      <c r="F8" s="23"/>
      <c r="G8" s="23"/>
      <c r="H8" s="23"/>
      <c r="I8" s="22"/>
      <c r="J8" s="22"/>
      <c r="K8" s="22"/>
      <c r="L8" s="22"/>
      <c r="M8" s="22"/>
      <c r="N8" s="22"/>
      <c r="O8" s="22"/>
      <c r="P8" s="22"/>
      <c r="Q8" s="22"/>
      <c r="R8" s="22"/>
      <c r="S8" s="22"/>
      <c r="T8" s="22"/>
      <c r="U8" s="22"/>
      <c r="V8" s="22"/>
      <c r="W8" s="22"/>
      <c r="X8" s="22"/>
      <c r="Y8" s="22"/>
      <c r="Z8" s="22"/>
      <c r="AA8" s="22"/>
      <c r="AB8" s="22"/>
      <c r="AC8" s="22"/>
      <c r="AD8" s="22"/>
      <c r="AE8" s="22"/>
    </row>
    <row r="9" spans="2:31">
      <c r="B9" s="20"/>
      <c r="C9" s="25" t="s">
        <v>1011</v>
      </c>
      <c r="D9" s="18" t="s">
        <v>24</v>
      </c>
      <c r="E9" s="23"/>
      <c r="F9" s="23"/>
      <c r="G9" s="23"/>
      <c r="H9" s="23"/>
      <c r="I9" s="22"/>
      <c r="J9" s="22"/>
      <c r="K9" s="22"/>
      <c r="L9" s="22"/>
      <c r="M9" s="22"/>
      <c r="N9" s="22"/>
      <c r="O9" s="22"/>
      <c r="P9" s="22"/>
      <c r="Q9" s="22"/>
      <c r="R9" s="22"/>
      <c r="S9" s="22"/>
      <c r="T9" s="22"/>
      <c r="U9" s="22"/>
      <c r="V9" s="22"/>
      <c r="W9" s="22"/>
      <c r="X9" s="22"/>
      <c r="Y9" s="22"/>
      <c r="Z9" s="22"/>
      <c r="AA9" s="22"/>
      <c r="AB9" s="22"/>
      <c r="AC9" s="22"/>
      <c r="AD9" s="22"/>
      <c r="AE9" s="22"/>
    </row>
    <row r="10" spans="2:31">
      <c r="B10" s="20"/>
      <c r="C10" s="25" t="s">
        <v>950</v>
      </c>
      <c r="D10" s="18" t="s">
        <v>24</v>
      </c>
      <c r="E10" s="23"/>
      <c r="F10" s="23"/>
      <c r="G10" s="23"/>
      <c r="H10" s="23"/>
      <c r="I10" s="79">
        <f>H10</f>
        <v>0</v>
      </c>
      <c r="J10" s="79">
        <f t="shared" ref="J10:AE10" si="3">I10</f>
        <v>0</v>
      </c>
      <c r="K10" s="79">
        <f t="shared" si="3"/>
        <v>0</v>
      </c>
      <c r="L10" s="79">
        <f t="shared" si="3"/>
        <v>0</v>
      </c>
      <c r="M10" s="79">
        <f t="shared" si="3"/>
        <v>0</v>
      </c>
      <c r="N10" s="79">
        <f t="shared" si="3"/>
        <v>0</v>
      </c>
      <c r="O10" s="79">
        <f t="shared" si="3"/>
        <v>0</v>
      </c>
      <c r="P10" s="79">
        <f t="shared" si="3"/>
        <v>0</v>
      </c>
      <c r="Q10" s="79">
        <f t="shared" si="3"/>
        <v>0</v>
      </c>
      <c r="R10" s="79">
        <f t="shared" si="3"/>
        <v>0</v>
      </c>
      <c r="S10" s="79">
        <f t="shared" si="3"/>
        <v>0</v>
      </c>
      <c r="T10" s="79">
        <f t="shared" si="3"/>
        <v>0</v>
      </c>
      <c r="U10" s="79">
        <f t="shared" si="3"/>
        <v>0</v>
      </c>
      <c r="V10" s="79">
        <f t="shared" si="3"/>
        <v>0</v>
      </c>
      <c r="W10" s="79">
        <f t="shared" si="3"/>
        <v>0</v>
      </c>
      <c r="X10" s="79">
        <f t="shared" si="3"/>
        <v>0</v>
      </c>
      <c r="Y10" s="79">
        <f t="shared" si="3"/>
        <v>0</v>
      </c>
      <c r="Z10" s="79">
        <f t="shared" si="3"/>
        <v>0</v>
      </c>
      <c r="AA10" s="79">
        <f t="shared" si="3"/>
        <v>0</v>
      </c>
      <c r="AB10" s="79">
        <f t="shared" si="3"/>
        <v>0</v>
      </c>
      <c r="AC10" s="79">
        <f t="shared" si="3"/>
        <v>0</v>
      </c>
      <c r="AD10" s="79">
        <f t="shared" si="3"/>
        <v>0</v>
      </c>
      <c r="AE10" s="79">
        <f t="shared" si="3"/>
        <v>0</v>
      </c>
    </row>
    <row r="11" spans="2:31">
      <c r="B11" s="20"/>
      <c r="C11" s="25" t="s">
        <v>1012</v>
      </c>
      <c r="D11" s="18" t="s">
        <v>24</v>
      </c>
      <c r="E11" s="23"/>
      <c r="F11" s="23"/>
      <c r="G11" s="23"/>
      <c r="H11" s="23"/>
      <c r="I11" s="22"/>
      <c r="J11" s="22"/>
      <c r="K11" s="22"/>
      <c r="L11" s="22"/>
      <c r="M11" s="22"/>
      <c r="N11" s="22"/>
      <c r="O11" s="22"/>
      <c r="P11" s="22"/>
      <c r="Q11" s="22"/>
      <c r="R11" s="22"/>
      <c r="S11" s="22"/>
      <c r="T11" s="22"/>
      <c r="U11" s="22"/>
      <c r="V11" s="22"/>
      <c r="W11" s="22"/>
      <c r="X11" s="22"/>
      <c r="Y11" s="22"/>
      <c r="Z11" s="22"/>
      <c r="AA11" s="22"/>
      <c r="AB11" s="22"/>
      <c r="AC11" s="22"/>
      <c r="AD11" s="22"/>
      <c r="AE11" s="22"/>
    </row>
    <row r="12" spans="2:31">
      <c r="B12" s="20"/>
      <c r="C12" s="25" t="s">
        <v>952</v>
      </c>
      <c r="D12" s="18" t="s">
        <v>24</v>
      </c>
      <c r="E12" s="23"/>
      <c r="F12" s="23"/>
      <c r="G12" s="23"/>
      <c r="H12" s="23"/>
      <c r="I12" s="79">
        <f t="shared" ref="I12:AE12" si="4">H12</f>
        <v>0</v>
      </c>
      <c r="J12" s="79">
        <f t="shared" si="4"/>
        <v>0</v>
      </c>
      <c r="K12" s="79">
        <f t="shared" si="4"/>
        <v>0</v>
      </c>
      <c r="L12" s="79">
        <f t="shared" si="4"/>
        <v>0</v>
      </c>
      <c r="M12" s="79">
        <f t="shared" si="4"/>
        <v>0</v>
      </c>
      <c r="N12" s="79">
        <f t="shared" si="4"/>
        <v>0</v>
      </c>
      <c r="O12" s="79">
        <f t="shared" si="4"/>
        <v>0</v>
      </c>
      <c r="P12" s="79">
        <f t="shared" si="4"/>
        <v>0</v>
      </c>
      <c r="Q12" s="79">
        <f t="shared" si="4"/>
        <v>0</v>
      </c>
      <c r="R12" s="79">
        <f t="shared" si="4"/>
        <v>0</v>
      </c>
      <c r="S12" s="79">
        <f t="shared" si="4"/>
        <v>0</v>
      </c>
      <c r="T12" s="79">
        <f t="shared" si="4"/>
        <v>0</v>
      </c>
      <c r="U12" s="79">
        <f t="shared" si="4"/>
        <v>0</v>
      </c>
      <c r="V12" s="79">
        <f t="shared" si="4"/>
        <v>0</v>
      </c>
      <c r="W12" s="79">
        <f t="shared" si="4"/>
        <v>0</v>
      </c>
      <c r="X12" s="79">
        <f t="shared" si="4"/>
        <v>0</v>
      </c>
      <c r="Y12" s="79">
        <f t="shared" si="4"/>
        <v>0</v>
      </c>
      <c r="Z12" s="79">
        <f t="shared" si="4"/>
        <v>0</v>
      </c>
      <c r="AA12" s="79">
        <f t="shared" si="4"/>
        <v>0</v>
      </c>
      <c r="AB12" s="79">
        <f t="shared" si="4"/>
        <v>0</v>
      </c>
      <c r="AC12" s="79">
        <f t="shared" si="4"/>
        <v>0</v>
      </c>
      <c r="AD12" s="79">
        <f t="shared" si="4"/>
        <v>0</v>
      </c>
      <c r="AE12" s="79">
        <f t="shared" si="4"/>
        <v>0</v>
      </c>
    </row>
    <row r="13" spans="2:31">
      <c r="B13" s="20"/>
      <c r="C13" s="25" t="s">
        <v>953</v>
      </c>
      <c r="D13" s="18" t="s">
        <v>24</v>
      </c>
      <c r="E13" s="23"/>
      <c r="F13" s="23"/>
      <c r="G13" s="23"/>
      <c r="H13" s="72">
        <f>346.642216-300</f>
        <v>46.642216</v>
      </c>
      <c r="I13" s="80">
        <f>IF(参数输入表!$I$721="手动输入",基准日往来账处理!J9,基准日往来账处理!J87)+折现率、非经营、长投计算表!$E$25</f>
        <v>26.642216</v>
      </c>
      <c r="J13" s="80">
        <f>IF(参数输入表!$I$721="手动输入",基准日往来账处理!K9,基准日往来账处理!K87)+折现率、非经营、长投计算表!$E$25</f>
        <v>0</v>
      </c>
      <c r="K13" s="80">
        <f>IF(参数输入表!$I$721="手动输入",基准日往来账处理!L9,基准日往来账处理!L87)+折现率、非经营、长投计算表!$E$25</f>
        <v>0</v>
      </c>
      <c r="L13" s="80">
        <f>IF(参数输入表!$I$721="手动输入",基准日往来账处理!M9,基准日往来账处理!M87)+折现率、非经营、长投计算表!$E$25</f>
        <v>0</v>
      </c>
      <c r="M13" s="80">
        <f>IF(参数输入表!$I$721="手动输入",基准日往来账处理!N9,基准日往来账处理!N87)+折现率、非经营、长投计算表!$E$25</f>
        <v>0</v>
      </c>
      <c r="N13" s="80">
        <f>IF(参数输入表!$I$721="手动输入",基准日往来账处理!O9,基准日往来账处理!O87)+折现率、非经营、长投计算表!$E$25</f>
        <v>0</v>
      </c>
      <c r="O13" s="80">
        <f>IF(参数输入表!$I$721="手动输入",基准日往来账处理!P9,基准日往来账处理!P87)+折现率、非经营、长投计算表!$E$25</f>
        <v>0</v>
      </c>
      <c r="P13" s="80">
        <f>IF(参数输入表!$I$721="手动输入",基准日往来账处理!Q9,基准日往来账处理!Q87)+折现率、非经营、长投计算表!$E$25</f>
        <v>0</v>
      </c>
      <c r="Q13" s="80">
        <f>IF(参数输入表!$I$721="手动输入",基准日往来账处理!R9,基准日往来账处理!R87)+折现率、非经营、长投计算表!$E$25</f>
        <v>0</v>
      </c>
      <c r="R13" s="80">
        <f>IF(参数输入表!$I$721="手动输入",基准日往来账处理!S9,基准日往来账处理!S87)+折现率、非经营、长投计算表!$E$25</f>
        <v>0</v>
      </c>
      <c r="S13" s="80">
        <f>IF(参数输入表!$I$721="手动输入",基准日往来账处理!T9,基准日往来账处理!T87)+折现率、非经营、长投计算表!$E$25</f>
        <v>0</v>
      </c>
      <c r="T13" s="80">
        <f>IF(参数输入表!$I$721="手动输入",基准日往来账处理!U9,基准日往来账处理!U87)+折现率、非经营、长投计算表!$E$25</f>
        <v>0</v>
      </c>
      <c r="U13" s="80">
        <f>IF(参数输入表!$I$721="手动输入",基准日往来账处理!V9,基准日往来账处理!V87)+折现率、非经营、长投计算表!$E$25</f>
        <v>0</v>
      </c>
      <c r="V13" s="80">
        <f>IF(参数输入表!$I$721="手动输入",基准日往来账处理!W9,基准日往来账处理!W87)+折现率、非经营、长投计算表!$E$25</f>
        <v>0</v>
      </c>
      <c r="W13" s="80">
        <f>IF(参数输入表!$I$721="手动输入",基准日往来账处理!X9,基准日往来账处理!X87)+折现率、非经营、长投计算表!$E$25</f>
        <v>0</v>
      </c>
      <c r="X13" s="80">
        <f>IF(参数输入表!$I$721="手动输入",基准日往来账处理!Y9,基准日往来账处理!Y87)+折现率、非经营、长投计算表!$E$25</f>
        <v>0</v>
      </c>
      <c r="Y13" s="80">
        <f>IF(参数输入表!$I$721="手动输入",基准日往来账处理!Z9,基准日往来账处理!Z87)+折现率、非经营、长投计算表!$E$25</f>
        <v>0</v>
      </c>
      <c r="Z13" s="80">
        <f>IF(参数输入表!$I$721="手动输入",基准日往来账处理!AA9,基准日往来账处理!AA87)+折现率、非经营、长投计算表!$E$25</f>
        <v>0</v>
      </c>
      <c r="AA13" s="80">
        <f>IF(参数输入表!$I$721="手动输入",基准日往来账处理!AB9,基准日往来账处理!AB87)+折现率、非经营、长投计算表!$E$25</f>
        <v>0</v>
      </c>
      <c r="AB13" s="80">
        <f>IF(参数输入表!$I$721="手动输入",基准日往来账处理!AC9,基准日往来账处理!AC87)+折现率、非经营、长投计算表!$E$25</f>
        <v>0</v>
      </c>
      <c r="AC13" s="80">
        <f>IF(参数输入表!$I$721="手动输入",基准日往来账处理!AD9,基准日往来账处理!AD87)+折现率、非经营、长投计算表!$E$25</f>
        <v>0</v>
      </c>
      <c r="AD13" s="80">
        <f>IF(参数输入表!$I$721="手动输入",基准日往来账处理!AE9,基准日往来账处理!AE87)+折现率、非经营、长投计算表!$E$25</f>
        <v>0</v>
      </c>
      <c r="AE13" s="80">
        <f>IF(参数输入表!$I$721="手动输入",基准日往来账处理!AF9,基准日往来账处理!AF87)+折现率、非经营、长投计算表!$E$25</f>
        <v>0</v>
      </c>
    </row>
    <row r="14" spans="2:31">
      <c r="B14" s="20"/>
      <c r="C14" s="25" t="s">
        <v>955</v>
      </c>
      <c r="D14" s="18" t="s">
        <v>24</v>
      </c>
      <c r="E14" s="23"/>
      <c r="F14" s="23"/>
      <c r="G14" s="23"/>
      <c r="H14" s="23">
        <v>9817.627645</v>
      </c>
      <c r="I14" s="80">
        <f>'表4-收入税金表'!J76+IF(参数输入表!$I$721="手动输入",基准日往来账处理!J13,基准日往来账处理!J91)+折现率、非经营、长投计算表!$E$26</f>
        <v>7206.04459265</v>
      </c>
      <c r="J14" s="80">
        <f>'表4-收入税金表'!K76+IF(参数输入表!$I$721="手动输入",基准日往来账处理!K13,基准日往来账处理!K91)+折现率、非经营、长投计算表!$E$26</f>
        <v>7137.24113775</v>
      </c>
      <c r="K14" s="80">
        <f>'表4-收入税金表'!L76+IF(参数输入表!$I$721="手动输入",基准日往来账处理!L13,基准日往来账处理!L91)+折现率、非经营、长投计算表!$E$26</f>
        <v>5178.896813</v>
      </c>
      <c r="L14" s="80">
        <f>'表4-收入税金表'!M76+IF(参数输入表!$I$721="手动输入",基准日往来账处理!M13,基准日往来账处理!M91)+折现率、非经营、长投计算表!$E$26</f>
        <v>4342.01656</v>
      </c>
      <c r="M14" s="80">
        <f>'表4-收入税金表'!N76+IF(参数输入表!$I$721="手动输入",基准日往来账处理!N13,基准日往来账处理!N91)+折现率、非经营、长投计算表!$E$26</f>
        <v>4322.764552</v>
      </c>
      <c r="N14" s="80">
        <f>'表4-收入税金表'!O76+IF(参数输入表!$I$721="手动输入",基准日往来账处理!O13,基准日往来账处理!O91)+折现率、非经营、长投计算表!$E$26</f>
        <v>4303.512544</v>
      </c>
      <c r="O14" s="80">
        <f>'表4-收入税金表'!P76+IF(参数输入表!$I$721="手动输入",基准日往来账处理!P13,基准日往来账处理!P91)+折现率、非经营、长投计算表!$E$26</f>
        <v>4284.259936</v>
      </c>
      <c r="P14" s="80">
        <f>'表4-收入税金表'!Q76+IF(参数输入表!$I$721="手动输入",基准日往来账处理!Q13,基准日往来账处理!Q91)+折现率、非经营、长投计算表!$E$26</f>
        <v>4265.007928</v>
      </c>
      <c r="Q14" s="80">
        <f>'表4-收入税金表'!R76+IF(参数输入表!$I$721="手动输入",基准日往来账处理!R13,基准日往来账处理!R91)+折现率、非经营、长投计算表!$E$26</f>
        <v>4245.75532</v>
      </c>
      <c r="R14" s="80">
        <f>'表4-收入税金表'!S76+IF(参数输入表!$I$721="手动输入",基准日往来账处理!S13,基准日往来账处理!S91)+折现率、非经营、长投计算表!$E$26</f>
        <v>4226.503312</v>
      </c>
      <c r="S14" s="80">
        <f>'表4-收入税金表'!T76+IF(参数输入表!$I$721="手动输入",基准日往来账处理!T13,基准日往来账处理!T91)+折现率、非经营、长投计算表!$E$26</f>
        <v>4207.251304</v>
      </c>
      <c r="T14" s="80">
        <f>'表4-收入税金表'!U76+IF(参数输入表!$I$721="手动输入",基准日往来账处理!U13,基准日往来账处理!U91)+折现率、非经营、长投计算表!$E$26</f>
        <v>4187.998696</v>
      </c>
      <c r="U14" s="80">
        <f>'表4-收入税金表'!V76+IF(参数输入表!$I$721="手动输入",基准日往来账处理!V13,基准日往来账处理!V91)+折现率、非经营、长投计算表!$E$26</f>
        <v>4168.746688</v>
      </c>
      <c r="V14" s="80">
        <f>'表4-收入税金表'!W76+IF(参数输入表!$I$721="手动输入",基准日往来账处理!W13,基准日往来账处理!W91)+折现率、非经营、长投计算表!$E$26</f>
        <v>4149.49408</v>
      </c>
      <c r="W14" s="80">
        <f>'表4-收入税金表'!X76+IF(参数输入表!$I$721="手动输入",基准日往来账处理!X13,基准日往来账处理!X91)+折现率、非经营、长投计算表!$E$26</f>
        <v>4130.242072</v>
      </c>
      <c r="X14" s="80">
        <f>'表4-收入税金表'!Y76+IF(参数输入表!$I$721="手动输入",基准日往来账处理!Y13,基准日往来账处理!Y91)+折现率、非经营、长投计算表!$E$26</f>
        <v>4110.990064</v>
      </c>
      <c r="Y14" s="80">
        <f>'表4-收入税金表'!Z76+IF(参数输入表!$I$721="手动输入",基准日往来账处理!Z13,基准日往来账处理!Z91)+折现率、非经营、长投计算表!$E$26</f>
        <v>3510.250012</v>
      </c>
      <c r="Z14" s="80">
        <f>'表4-收入税金表'!AA76+IF(参数输入表!$I$721="手动输入",基准日往来账处理!AA13,基准日往来账处理!AA91)+折现率、非经营、长投计算表!$E$26</f>
        <v>3164.716168</v>
      </c>
      <c r="AA14" s="80">
        <f>'表4-收入税金表'!AB76+IF(参数输入表!$I$721="手动输入",基准日往来账处理!AB13,基准日往来账处理!AB91)+折现率、非经营、长投计算表!$E$26</f>
        <v>3149.93044</v>
      </c>
      <c r="AB14" s="80">
        <f>'表4-收入税金表'!AC76+IF(参数输入表!$I$721="手动输入",基准日往来账处理!AC13,基准日往来账处理!AC91)+折现率、非经营、长投计算表!$E$26</f>
        <v>3135.145312</v>
      </c>
      <c r="AC14" s="80">
        <f>'表4-收入税金表'!AD76+IF(参数输入表!$I$721="手动输入",基准日往来账处理!AD13,基准日往来账处理!AD91)+折现率、非经营、长投计算表!$E$26</f>
        <v>3120.360184</v>
      </c>
      <c r="AD14" s="80">
        <f>'表4-收入税金表'!AE76+IF(参数输入表!$I$721="手动输入",基准日往来账处理!AE13,基准日往来账处理!AE91)+折现率、非经营、长投计算表!$E$26</f>
        <v>3105.574456</v>
      </c>
      <c r="AE14" s="80">
        <f>'表4-收入税金表'!AF76+IF(参数输入表!$I$721="手动输入",基准日往来账处理!AF13,基准日往来账处理!AF91)+折现率、非经营、长投计算表!$E$26</f>
        <v>0</v>
      </c>
    </row>
    <row r="15" spans="2:31">
      <c r="B15" s="20"/>
      <c r="C15" s="25" t="s">
        <v>1013</v>
      </c>
      <c r="D15" s="18" t="s">
        <v>24</v>
      </c>
      <c r="E15" s="23"/>
      <c r="F15" s="23"/>
      <c r="G15" s="23"/>
      <c r="H15" s="23"/>
      <c r="I15" s="22"/>
      <c r="J15" s="22"/>
      <c r="K15" s="22"/>
      <c r="L15" s="22"/>
      <c r="M15" s="22"/>
      <c r="N15" s="22"/>
      <c r="O15" s="22"/>
      <c r="P15" s="22"/>
      <c r="Q15" s="22"/>
      <c r="R15" s="22"/>
      <c r="S15" s="22"/>
      <c r="T15" s="22"/>
      <c r="U15" s="22"/>
      <c r="V15" s="22"/>
      <c r="W15" s="22"/>
      <c r="X15" s="22"/>
      <c r="Y15" s="22"/>
      <c r="Z15" s="22"/>
      <c r="AA15" s="22"/>
      <c r="AB15" s="22"/>
      <c r="AC15" s="22"/>
      <c r="AD15" s="22"/>
      <c r="AE15" s="22"/>
    </row>
    <row r="16" spans="2:31">
      <c r="B16" s="20"/>
      <c r="C16" s="25" t="s">
        <v>956</v>
      </c>
      <c r="D16" s="18" t="s">
        <v>24</v>
      </c>
      <c r="E16" s="23"/>
      <c r="F16" s="23"/>
      <c r="G16" s="23"/>
      <c r="H16" s="72">
        <v>300</v>
      </c>
      <c r="I16" s="80">
        <f>IF(参数输入表!$I$721="手动输入",基准日往来账处理!J17,基准日往来账处理!J95)+折现率、非经营、长投计算表!$E$27</f>
        <v>200</v>
      </c>
      <c r="J16" s="80">
        <f>IF(参数输入表!$I$721="手动输入",基准日往来账处理!K17,基准日往来账处理!K95)+折现率、非经营、长投计算表!$E$27</f>
        <v>100</v>
      </c>
      <c r="K16" s="80">
        <f>IF(参数输入表!$I$721="手动输入",基准日往来账处理!L17,基准日往来账处理!L95)+折现率、非经营、长投计算表!$E$27</f>
        <v>0</v>
      </c>
      <c r="L16" s="80">
        <f>IF(参数输入表!$I$721="手动输入",基准日往来账处理!M17,基准日往来账处理!M95)+折现率、非经营、长投计算表!$E$27</f>
        <v>0</v>
      </c>
      <c r="M16" s="80">
        <f>IF(参数输入表!$I$721="手动输入",基准日往来账处理!N17,基准日往来账处理!N95)+折现率、非经营、长投计算表!$E$27</f>
        <v>0</v>
      </c>
      <c r="N16" s="80">
        <f>IF(参数输入表!$I$721="手动输入",基准日往来账处理!O17,基准日往来账处理!O95)+折现率、非经营、长投计算表!$E$27</f>
        <v>0</v>
      </c>
      <c r="O16" s="80">
        <f>IF(参数输入表!$I$721="手动输入",基准日往来账处理!P17,基准日往来账处理!P95)+折现率、非经营、长投计算表!$E$27</f>
        <v>0</v>
      </c>
      <c r="P16" s="80">
        <f>IF(参数输入表!$I$721="手动输入",基准日往来账处理!Q17,基准日往来账处理!Q95)+折现率、非经营、长投计算表!$E$27</f>
        <v>0</v>
      </c>
      <c r="Q16" s="80">
        <f>IF(参数输入表!$I$721="手动输入",基准日往来账处理!R17,基准日往来账处理!R95)+折现率、非经营、长投计算表!$E$27</f>
        <v>0</v>
      </c>
      <c r="R16" s="80">
        <f>IF(参数输入表!$I$721="手动输入",基准日往来账处理!S17,基准日往来账处理!S95)+折现率、非经营、长投计算表!$E$27</f>
        <v>0</v>
      </c>
      <c r="S16" s="80">
        <f>IF(参数输入表!$I$721="手动输入",基准日往来账处理!T17,基准日往来账处理!T95)+折现率、非经营、长投计算表!$E$27</f>
        <v>0</v>
      </c>
      <c r="T16" s="80">
        <f>IF(参数输入表!$I$721="手动输入",基准日往来账处理!U17,基准日往来账处理!U95)+折现率、非经营、长投计算表!$E$27</f>
        <v>0</v>
      </c>
      <c r="U16" s="80">
        <f>IF(参数输入表!$I$721="手动输入",基准日往来账处理!V17,基准日往来账处理!V95)+折现率、非经营、长投计算表!$E$27</f>
        <v>0</v>
      </c>
      <c r="V16" s="80">
        <f>IF(参数输入表!$I$721="手动输入",基准日往来账处理!W17,基准日往来账处理!W95)+折现率、非经营、长投计算表!$E$27</f>
        <v>0</v>
      </c>
      <c r="W16" s="80">
        <f>IF(参数输入表!$I$721="手动输入",基准日往来账处理!X17,基准日往来账处理!X95)+折现率、非经营、长投计算表!$E$27</f>
        <v>0</v>
      </c>
      <c r="X16" s="80">
        <f>IF(参数输入表!$I$721="手动输入",基准日往来账处理!Y17,基准日往来账处理!Y95)+折现率、非经营、长投计算表!$E$27</f>
        <v>0</v>
      </c>
      <c r="Y16" s="80">
        <f>IF(参数输入表!$I$721="手动输入",基准日往来账处理!Z17,基准日往来账处理!Z95)+折现率、非经营、长投计算表!$E$27</f>
        <v>0</v>
      </c>
      <c r="Z16" s="80">
        <f>IF(参数输入表!$I$721="手动输入",基准日往来账处理!AA17,基准日往来账处理!AA95)+折现率、非经营、长投计算表!$E$27</f>
        <v>0</v>
      </c>
      <c r="AA16" s="80">
        <f>IF(参数输入表!$I$721="手动输入",基准日往来账处理!AB17,基准日往来账处理!AB95)+折现率、非经营、长投计算表!$E$27</f>
        <v>0</v>
      </c>
      <c r="AB16" s="80">
        <f>IF(参数输入表!$I$721="手动输入",基准日往来账处理!AC17,基准日往来账处理!AC95)+折现率、非经营、长投计算表!$E$27</f>
        <v>0</v>
      </c>
      <c r="AC16" s="80">
        <f>IF(参数输入表!$I$721="手动输入",基准日往来账处理!AD17,基准日往来账处理!AD95)+折现率、非经营、长投计算表!$E$27</f>
        <v>0</v>
      </c>
      <c r="AD16" s="80">
        <f>IF(参数输入表!$I$721="手动输入",基准日往来账处理!AE17,基准日往来账处理!AE95)+折现率、非经营、长投计算表!$E$27</f>
        <v>0</v>
      </c>
      <c r="AE16" s="80">
        <f>IF(参数输入表!$I$721="手动输入",基准日往来账处理!AF17,基准日往来账处理!AF95)+折现率、非经营、长投计算表!$E$27</f>
        <v>0</v>
      </c>
    </row>
    <row r="17" spans="2:31">
      <c r="B17" s="20"/>
      <c r="C17" s="25" t="s">
        <v>1014</v>
      </c>
      <c r="D17" s="18" t="s">
        <v>24</v>
      </c>
      <c r="E17" s="23"/>
      <c r="F17" s="23"/>
      <c r="G17" s="23"/>
      <c r="H17" s="23"/>
      <c r="I17" s="22"/>
      <c r="J17" s="22"/>
      <c r="K17" s="22"/>
      <c r="L17" s="22"/>
      <c r="M17" s="22"/>
      <c r="N17" s="22"/>
      <c r="O17" s="22"/>
      <c r="P17" s="22"/>
      <c r="Q17" s="22"/>
      <c r="R17" s="22"/>
      <c r="S17" s="22"/>
      <c r="T17" s="22"/>
      <c r="U17" s="22"/>
      <c r="V17" s="22"/>
      <c r="W17" s="22"/>
      <c r="X17" s="22"/>
      <c r="Y17" s="22"/>
      <c r="Z17" s="22"/>
      <c r="AA17" s="22"/>
      <c r="AB17" s="22"/>
      <c r="AC17" s="22"/>
      <c r="AD17" s="22"/>
      <c r="AE17" s="22"/>
    </row>
    <row r="18" spans="2:31">
      <c r="B18" s="20"/>
      <c r="C18" s="25" t="s">
        <v>1015</v>
      </c>
      <c r="D18" s="18" t="s">
        <v>24</v>
      </c>
      <c r="E18" s="23"/>
      <c r="F18" s="23"/>
      <c r="G18" s="23"/>
      <c r="H18" s="23"/>
      <c r="I18" s="22"/>
      <c r="J18" s="22"/>
      <c r="K18" s="22"/>
      <c r="L18" s="22"/>
      <c r="M18" s="22"/>
      <c r="N18" s="22"/>
      <c r="O18" s="22"/>
      <c r="P18" s="22"/>
      <c r="Q18" s="22"/>
      <c r="R18" s="22"/>
      <c r="S18" s="22"/>
      <c r="T18" s="22"/>
      <c r="U18" s="22"/>
      <c r="V18" s="22"/>
      <c r="W18" s="22"/>
      <c r="X18" s="22"/>
      <c r="Y18" s="22"/>
      <c r="Z18" s="22"/>
      <c r="AA18" s="22"/>
      <c r="AB18" s="22"/>
      <c r="AC18" s="22"/>
      <c r="AD18" s="22"/>
      <c r="AE18" s="22"/>
    </row>
    <row r="19" spans="2:31">
      <c r="B19" s="20"/>
      <c r="C19" s="25" t="s">
        <v>1016</v>
      </c>
      <c r="D19" s="18" t="s">
        <v>24</v>
      </c>
      <c r="E19" s="23"/>
      <c r="F19" s="23"/>
      <c r="G19" s="23"/>
      <c r="H19" s="23"/>
      <c r="I19" s="22"/>
      <c r="J19" s="22"/>
      <c r="K19" s="22"/>
      <c r="L19" s="22"/>
      <c r="M19" s="22"/>
      <c r="N19" s="22"/>
      <c r="O19" s="22"/>
      <c r="P19" s="22"/>
      <c r="Q19" s="22"/>
      <c r="R19" s="22"/>
      <c r="S19" s="22"/>
      <c r="T19" s="22"/>
      <c r="U19" s="22"/>
      <c r="V19" s="22"/>
      <c r="W19" s="22"/>
      <c r="X19" s="22"/>
      <c r="Y19" s="22"/>
      <c r="Z19" s="22"/>
      <c r="AA19" s="22"/>
      <c r="AB19" s="22"/>
      <c r="AC19" s="22"/>
      <c r="AD19" s="22"/>
      <c r="AE19" s="22"/>
    </row>
    <row r="20" spans="2:31">
      <c r="B20" s="20"/>
      <c r="C20" s="25" t="s">
        <v>1017</v>
      </c>
      <c r="D20" s="18" t="s">
        <v>24</v>
      </c>
      <c r="E20" s="23"/>
      <c r="F20" s="23"/>
      <c r="G20" s="23"/>
      <c r="H20" s="23"/>
      <c r="I20" s="22"/>
      <c r="J20" s="22"/>
      <c r="K20" s="22"/>
      <c r="L20" s="22"/>
      <c r="M20" s="22"/>
      <c r="N20" s="22"/>
      <c r="O20" s="22"/>
      <c r="P20" s="22"/>
      <c r="Q20" s="22"/>
      <c r="R20" s="22"/>
      <c r="S20" s="22"/>
      <c r="T20" s="22"/>
      <c r="U20" s="22"/>
      <c r="V20" s="22"/>
      <c r="W20" s="22"/>
      <c r="X20" s="22"/>
      <c r="Y20" s="22"/>
      <c r="Z20" s="22"/>
      <c r="AA20" s="22"/>
      <c r="AB20" s="22"/>
      <c r="AC20" s="22"/>
      <c r="AD20" s="22"/>
      <c r="AE20" s="22"/>
    </row>
    <row r="21" s="2" customFormat="1" spans="2:31">
      <c r="B21" s="48"/>
      <c r="C21" s="73" t="s">
        <v>957</v>
      </c>
      <c r="D21" s="54" t="s">
        <v>24</v>
      </c>
      <c r="E21" s="74"/>
      <c r="F21" s="74"/>
      <c r="G21" s="74"/>
      <c r="H21" s="75">
        <v>291.351116</v>
      </c>
      <c r="I21" s="81">
        <f>IF(参数输入表!$I$721="手动输入",基准日往来账处理!J21,基准日往来账处理!J99)+折现率、非经营、长投计算表!$E$28</f>
        <v>0</v>
      </c>
      <c r="J21" s="81">
        <f>IF(参数输入表!$I$721="手动输入",基准日往来账处理!K21,基准日往来账处理!K99)+折现率、非经营、长投计算表!$E$28</f>
        <v>0</v>
      </c>
      <c r="K21" s="81">
        <f>IF(参数输入表!$I$721="手动输入",基准日往来账处理!L21,基准日往来账处理!L99)+折现率、非经营、长投计算表!$E$28</f>
        <v>0</v>
      </c>
      <c r="L21" s="81">
        <f>IF(参数输入表!$I$721="手动输入",基准日往来账处理!M21,基准日往来账处理!M99)+折现率、非经营、长投计算表!$E$28</f>
        <v>0</v>
      </c>
      <c r="M21" s="81">
        <f>IF(参数输入表!$I$721="手动输入",基准日往来账处理!N21,基准日往来账处理!N99)+折现率、非经营、长投计算表!$E$28</f>
        <v>0</v>
      </c>
      <c r="N21" s="81">
        <f>IF(参数输入表!$I$721="手动输入",基准日往来账处理!O21,基准日往来账处理!O99)+折现率、非经营、长投计算表!$E$28</f>
        <v>0</v>
      </c>
      <c r="O21" s="81">
        <f>IF(参数输入表!$I$721="手动输入",基准日往来账处理!P21,基准日往来账处理!P99)+折现率、非经营、长投计算表!$E$28</f>
        <v>0</v>
      </c>
      <c r="P21" s="81">
        <f>IF(参数输入表!$I$721="手动输入",基准日往来账处理!Q21,基准日往来账处理!Q99)+折现率、非经营、长投计算表!$E$28</f>
        <v>0</v>
      </c>
      <c r="Q21" s="81">
        <f>IF(参数输入表!$I$721="手动输入",基准日往来账处理!R21,基准日往来账处理!R99)+折现率、非经营、长投计算表!$E$28</f>
        <v>0</v>
      </c>
      <c r="R21" s="81">
        <f>IF(参数输入表!$I$721="手动输入",基准日往来账处理!S21,基准日往来账处理!S99)+折现率、非经营、长投计算表!$E$28</f>
        <v>0</v>
      </c>
      <c r="S21" s="81">
        <f>IF(参数输入表!$I$721="手动输入",基准日往来账处理!T21,基准日往来账处理!T99)+折现率、非经营、长投计算表!$E$28</f>
        <v>0</v>
      </c>
      <c r="T21" s="81">
        <f>IF(参数输入表!$I$721="手动输入",基准日往来账处理!U21,基准日往来账处理!U99)+折现率、非经营、长投计算表!$E$28</f>
        <v>0</v>
      </c>
      <c r="U21" s="81">
        <f>IF(参数输入表!$I$721="手动输入",基准日往来账处理!V21,基准日往来账处理!V99)+折现率、非经营、长投计算表!$E$28</f>
        <v>0</v>
      </c>
      <c r="V21" s="81">
        <f>IF(参数输入表!$I$721="手动输入",基准日往来账处理!W21,基准日往来账处理!W99)+折现率、非经营、长投计算表!$E$28</f>
        <v>0</v>
      </c>
      <c r="W21" s="81">
        <f>IF(参数输入表!$I$721="手动输入",基准日往来账处理!X21,基准日往来账处理!X99)+折现率、非经营、长投计算表!$E$28</f>
        <v>0</v>
      </c>
      <c r="X21" s="81">
        <f>IF(参数输入表!$I$721="手动输入",基准日往来账处理!Y21,基准日往来账处理!Y99)+折现率、非经营、长投计算表!$E$28</f>
        <v>0</v>
      </c>
      <c r="Y21" s="81">
        <f>IF(参数输入表!$I$721="手动输入",基准日往来账处理!Z21,基准日往来账处理!Z99)+折现率、非经营、长投计算表!$E$28</f>
        <v>0</v>
      </c>
      <c r="Z21" s="81">
        <f>IF(参数输入表!$I$721="手动输入",基准日往来账处理!AA21,基准日往来账处理!AA99)+折现率、非经营、长投计算表!$E$28</f>
        <v>0</v>
      </c>
      <c r="AA21" s="81">
        <f>IF(参数输入表!$I$721="手动输入",基准日往来账处理!AB21,基准日往来账处理!AB99)+折现率、非经营、长投计算表!$E$28</f>
        <v>0</v>
      </c>
      <c r="AB21" s="81">
        <f>IF(参数输入表!$I$721="手动输入",基准日往来账处理!AC21,基准日往来账处理!AC99)+折现率、非经营、长投计算表!$E$28</f>
        <v>0</v>
      </c>
      <c r="AC21" s="81">
        <f>IF(参数输入表!$I$721="手动输入",基准日往来账处理!AD21,基准日往来账处理!AD99)+折现率、非经营、长投计算表!$E$28</f>
        <v>0</v>
      </c>
      <c r="AD21" s="81">
        <f>IF(参数输入表!$I$721="手动输入",基准日往来账处理!AE21,基准日往来账处理!AE99)+折现率、非经营、长投计算表!$E$28</f>
        <v>0</v>
      </c>
      <c r="AE21" s="81">
        <f>IF(参数输入表!$I$721="手动输入",基准日往来账处理!AF21,基准日往来账处理!AF99)+折现率、非经营、长投计算表!$E$28</f>
        <v>0</v>
      </c>
    </row>
    <row r="22" spans="2:31">
      <c r="B22" s="20"/>
      <c r="C22" s="76" t="s">
        <v>1018</v>
      </c>
      <c r="D22" s="18" t="s">
        <v>24</v>
      </c>
      <c r="E22" s="44"/>
      <c r="F22" s="44"/>
      <c r="G22" s="44"/>
      <c r="H22" s="44"/>
      <c r="I22" s="34"/>
      <c r="J22" s="34"/>
      <c r="K22" s="34"/>
      <c r="L22" s="34"/>
      <c r="M22" s="34"/>
      <c r="N22" s="34"/>
      <c r="O22" s="34"/>
      <c r="P22" s="34"/>
      <c r="Q22" s="34"/>
      <c r="R22" s="34"/>
      <c r="S22" s="34"/>
      <c r="T22" s="34"/>
      <c r="U22" s="34"/>
      <c r="V22" s="34"/>
      <c r="W22" s="34"/>
      <c r="X22" s="34"/>
      <c r="Y22" s="34"/>
      <c r="Z22" s="34"/>
      <c r="AA22" s="34"/>
      <c r="AB22" s="34"/>
      <c r="AC22" s="34"/>
      <c r="AD22" s="34"/>
      <c r="AE22" s="34"/>
    </row>
    <row r="23" spans="2:31">
      <c r="B23" s="20"/>
      <c r="C23" s="25" t="s">
        <v>1019</v>
      </c>
      <c r="D23" s="18" t="s">
        <v>24</v>
      </c>
      <c r="E23" s="23"/>
      <c r="F23" s="23"/>
      <c r="G23" s="23"/>
      <c r="H23" s="23"/>
      <c r="I23" s="22"/>
      <c r="J23" s="22"/>
      <c r="K23" s="22"/>
      <c r="L23" s="22"/>
      <c r="M23" s="22"/>
      <c r="N23" s="22"/>
      <c r="O23" s="22"/>
      <c r="P23" s="22"/>
      <c r="Q23" s="22"/>
      <c r="R23" s="22"/>
      <c r="S23" s="22"/>
      <c r="T23" s="22"/>
      <c r="U23" s="22"/>
      <c r="V23" s="22"/>
      <c r="W23" s="22"/>
      <c r="X23" s="22"/>
      <c r="Y23" s="22"/>
      <c r="Z23" s="22"/>
      <c r="AA23" s="22"/>
      <c r="AB23" s="22"/>
      <c r="AC23" s="22"/>
      <c r="AD23" s="22"/>
      <c r="AE23" s="22"/>
    </row>
    <row r="24" spans="2:31">
      <c r="B24" s="20"/>
      <c r="C24" s="25" t="s">
        <v>959</v>
      </c>
      <c r="D24" s="18" t="s">
        <v>24</v>
      </c>
      <c r="E24" s="23"/>
      <c r="F24" s="23"/>
      <c r="G24" s="23"/>
      <c r="H24" s="23">
        <v>7.733813</v>
      </c>
      <c r="I24" s="23">
        <f>H24</f>
        <v>7.733813</v>
      </c>
      <c r="J24" s="23">
        <f t="shared" ref="J24:AE24" si="5">I24</f>
        <v>7.733813</v>
      </c>
      <c r="K24" s="23">
        <f t="shared" si="5"/>
        <v>7.733813</v>
      </c>
      <c r="L24" s="23">
        <f t="shared" si="5"/>
        <v>7.733813</v>
      </c>
      <c r="M24" s="23">
        <f t="shared" si="5"/>
        <v>7.733813</v>
      </c>
      <c r="N24" s="23">
        <f t="shared" si="5"/>
        <v>7.733813</v>
      </c>
      <c r="O24" s="23">
        <f t="shared" si="5"/>
        <v>7.733813</v>
      </c>
      <c r="P24" s="23">
        <f t="shared" si="5"/>
        <v>7.733813</v>
      </c>
      <c r="Q24" s="23">
        <f t="shared" si="5"/>
        <v>7.733813</v>
      </c>
      <c r="R24" s="23">
        <f t="shared" si="5"/>
        <v>7.733813</v>
      </c>
      <c r="S24" s="23">
        <f t="shared" si="5"/>
        <v>7.733813</v>
      </c>
      <c r="T24" s="23">
        <f t="shared" si="5"/>
        <v>7.733813</v>
      </c>
      <c r="U24" s="23">
        <f t="shared" si="5"/>
        <v>7.733813</v>
      </c>
      <c r="V24" s="23">
        <f t="shared" si="5"/>
        <v>7.733813</v>
      </c>
      <c r="W24" s="23">
        <f t="shared" si="5"/>
        <v>7.733813</v>
      </c>
      <c r="X24" s="23">
        <f t="shared" si="5"/>
        <v>7.733813</v>
      </c>
      <c r="Y24" s="23">
        <f t="shared" si="5"/>
        <v>7.733813</v>
      </c>
      <c r="Z24" s="23">
        <f t="shared" si="5"/>
        <v>7.733813</v>
      </c>
      <c r="AA24" s="23">
        <f t="shared" si="5"/>
        <v>7.733813</v>
      </c>
      <c r="AB24" s="23">
        <f t="shared" si="5"/>
        <v>7.733813</v>
      </c>
      <c r="AC24" s="23">
        <f t="shared" si="5"/>
        <v>7.733813</v>
      </c>
      <c r="AD24" s="23">
        <f t="shared" si="5"/>
        <v>7.733813</v>
      </c>
      <c r="AE24" s="23">
        <f t="shared" si="5"/>
        <v>7.733813</v>
      </c>
    </row>
    <row r="25" spans="2:31">
      <c r="B25" s="20"/>
      <c r="C25" s="76" t="s">
        <v>1020</v>
      </c>
      <c r="D25" s="18" t="s">
        <v>24</v>
      </c>
      <c r="E25" s="23"/>
      <c r="F25" s="23"/>
      <c r="G25" s="23"/>
      <c r="H25" s="23"/>
      <c r="I25" s="22"/>
      <c r="J25" s="22"/>
      <c r="K25" s="22"/>
      <c r="L25" s="22"/>
      <c r="M25" s="22"/>
      <c r="N25" s="22"/>
      <c r="O25" s="22"/>
      <c r="P25" s="22"/>
      <c r="Q25" s="22"/>
      <c r="R25" s="22"/>
      <c r="S25" s="22"/>
      <c r="T25" s="22"/>
      <c r="U25" s="22"/>
      <c r="V25" s="22"/>
      <c r="W25" s="22"/>
      <c r="X25" s="22"/>
      <c r="Y25" s="22"/>
      <c r="Z25" s="22"/>
      <c r="AA25" s="22"/>
      <c r="AB25" s="22"/>
      <c r="AC25" s="22"/>
      <c r="AD25" s="22"/>
      <c r="AE25" s="22"/>
    </row>
    <row r="26" ht="18" customHeight="1" spans="2:31">
      <c r="B26" s="20"/>
      <c r="C26" s="77" t="s">
        <v>1021</v>
      </c>
      <c r="D26" s="18" t="s">
        <v>24</v>
      </c>
      <c r="E26" s="23"/>
      <c r="F26" s="23"/>
      <c r="G26" s="23"/>
      <c r="H26" s="23"/>
      <c r="I26" s="22"/>
      <c r="J26" s="22"/>
      <c r="K26" s="22"/>
      <c r="L26" s="22"/>
      <c r="M26" s="22"/>
      <c r="N26" s="22"/>
      <c r="O26" s="22"/>
      <c r="P26" s="22"/>
      <c r="Q26" s="22"/>
      <c r="R26" s="22"/>
      <c r="S26" s="22"/>
      <c r="T26" s="22"/>
      <c r="U26" s="22"/>
      <c r="V26" s="22"/>
      <c r="W26" s="22"/>
      <c r="X26" s="22"/>
      <c r="Y26" s="22"/>
      <c r="Z26" s="22"/>
      <c r="AA26" s="22"/>
      <c r="AB26" s="22"/>
      <c r="AC26" s="22"/>
      <c r="AD26" s="22"/>
      <c r="AE26" s="22"/>
    </row>
    <row r="27" spans="2:31">
      <c r="B27" s="20"/>
      <c r="C27" s="25" t="s">
        <v>1022</v>
      </c>
      <c r="D27" s="18" t="s">
        <v>24</v>
      </c>
      <c r="E27" s="23"/>
      <c r="F27" s="23"/>
      <c r="G27" s="23"/>
      <c r="H27" s="23"/>
      <c r="I27" s="80">
        <f>IF(参数输入表!$I$721="手动输入",基准日往来账处理!J29,基准日往来账处理!J107)+折现率、非经营、长投计算表!$E$29</f>
        <v>0</v>
      </c>
      <c r="J27" s="80">
        <f>IF(参数输入表!$I$721="手动输入",基准日往来账处理!K29,基准日往来账处理!K107)+折现率、非经营、长投计算表!$E$29</f>
        <v>0</v>
      </c>
      <c r="K27" s="80">
        <f>IF(参数输入表!$I$721="手动输入",基准日往来账处理!L29,基准日往来账处理!L107)+折现率、非经营、长投计算表!$E$29</f>
        <v>0</v>
      </c>
      <c r="L27" s="80">
        <f>IF(参数输入表!$I$721="手动输入",基准日往来账处理!M29,基准日往来账处理!M107)+折现率、非经营、长投计算表!$E$29</f>
        <v>0</v>
      </c>
      <c r="M27" s="80">
        <f>IF(参数输入表!$I$721="手动输入",基准日往来账处理!N29,基准日往来账处理!N107)+折现率、非经营、长投计算表!$E$29</f>
        <v>0</v>
      </c>
      <c r="N27" s="80">
        <f>IF(参数输入表!$I$721="手动输入",基准日往来账处理!O29,基准日往来账处理!O107)+折现率、非经营、长投计算表!$E$29</f>
        <v>0</v>
      </c>
      <c r="O27" s="80">
        <f>IF(参数输入表!$I$721="手动输入",基准日往来账处理!P29,基准日往来账处理!P107)+折现率、非经营、长投计算表!$E$29</f>
        <v>0</v>
      </c>
      <c r="P27" s="80">
        <f>IF(参数输入表!$I$721="手动输入",基准日往来账处理!Q29,基准日往来账处理!Q107)+折现率、非经营、长投计算表!$E$29</f>
        <v>0</v>
      </c>
      <c r="Q27" s="80">
        <f>IF(参数输入表!$I$721="手动输入",基准日往来账处理!R29,基准日往来账处理!R107)+折现率、非经营、长投计算表!$E$29</f>
        <v>0</v>
      </c>
      <c r="R27" s="80">
        <f>IF(参数输入表!$I$721="手动输入",基准日往来账处理!S29,基准日往来账处理!S107)+折现率、非经营、长投计算表!$E$29</f>
        <v>0</v>
      </c>
      <c r="S27" s="80">
        <f>IF(参数输入表!$I$721="手动输入",基准日往来账处理!T29,基准日往来账处理!T107)+折现率、非经营、长投计算表!$E$29</f>
        <v>0</v>
      </c>
      <c r="T27" s="80">
        <f>IF(参数输入表!$I$721="手动输入",基准日往来账处理!U29,基准日往来账处理!U107)+折现率、非经营、长投计算表!$E$29</f>
        <v>0</v>
      </c>
      <c r="U27" s="80">
        <f>IF(参数输入表!$I$721="手动输入",基准日往来账处理!V29,基准日往来账处理!V107)+折现率、非经营、长投计算表!$E$29</f>
        <v>0</v>
      </c>
      <c r="V27" s="80">
        <f>IF(参数输入表!$I$721="手动输入",基准日往来账处理!W29,基准日往来账处理!W107)+折现率、非经营、长投计算表!$E$29</f>
        <v>0</v>
      </c>
      <c r="W27" s="80">
        <f>IF(参数输入表!$I$721="手动输入",基准日往来账处理!X29,基准日往来账处理!X107)+折现率、非经营、长投计算表!$E$29</f>
        <v>0</v>
      </c>
      <c r="X27" s="80">
        <f>IF(参数输入表!$I$721="手动输入",基准日往来账处理!Y29,基准日往来账处理!Y107)+折现率、非经营、长投计算表!$E$29</f>
        <v>0</v>
      </c>
      <c r="Y27" s="80">
        <f>IF(参数输入表!$I$721="手动输入",基准日往来账处理!Z29,基准日往来账处理!Z107)+折现率、非经营、长投计算表!$E$29</f>
        <v>0</v>
      </c>
      <c r="Z27" s="80">
        <f>IF(参数输入表!$I$721="手动输入",基准日往来账处理!AA29,基准日往来账处理!AA107)+折现率、非经营、长投计算表!$E$29</f>
        <v>0</v>
      </c>
      <c r="AA27" s="80">
        <f>IF(参数输入表!$I$721="手动输入",基准日往来账处理!AB29,基准日往来账处理!AB107)+折现率、非经营、长投计算表!$E$29</f>
        <v>0</v>
      </c>
      <c r="AB27" s="80">
        <f>IF(参数输入表!$I$721="手动输入",基准日往来账处理!AC29,基准日往来账处理!AC107)+折现率、非经营、长投计算表!$E$29</f>
        <v>0</v>
      </c>
      <c r="AC27" s="80">
        <f>IF(参数输入表!$I$721="手动输入",基准日往来账处理!AD29,基准日往来账处理!AD107)+折现率、非经营、长投计算表!$E$29</f>
        <v>0</v>
      </c>
      <c r="AD27" s="80">
        <f>IF(参数输入表!$I$721="手动输入",基准日往来账处理!AE29,基准日往来账处理!AE107)+折现率、非经营、长投计算表!$E$29</f>
        <v>0</v>
      </c>
      <c r="AE27" s="80">
        <f>IF(参数输入表!$I$721="手动输入",基准日往来账处理!AF29,基准日往来账处理!AF107)+折现率、非经营、长投计算表!$E$29</f>
        <v>0</v>
      </c>
    </row>
    <row r="28" spans="2:31">
      <c r="B28" s="20"/>
      <c r="C28" s="25" t="s">
        <v>958</v>
      </c>
      <c r="D28" s="18" t="s">
        <v>24</v>
      </c>
      <c r="E28" s="23"/>
      <c r="F28" s="23"/>
      <c r="G28" s="23"/>
      <c r="H28" s="23"/>
      <c r="I28" s="79">
        <f t="shared" ref="I28:AE28" si="6">H28</f>
        <v>0</v>
      </c>
      <c r="J28" s="79">
        <f t="shared" si="6"/>
        <v>0</v>
      </c>
      <c r="K28" s="79">
        <f t="shared" si="6"/>
        <v>0</v>
      </c>
      <c r="L28" s="79">
        <f t="shared" si="6"/>
        <v>0</v>
      </c>
      <c r="M28" s="79">
        <f t="shared" si="6"/>
        <v>0</v>
      </c>
      <c r="N28" s="79">
        <f t="shared" si="6"/>
        <v>0</v>
      </c>
      <c r="O28" s="79">
        <f t="shared" si="6"/>
        <v>0</v>
      </c>
      <c r="P28" s="79">
        <f t="shared" si="6"/>
        <v>0</v>
      </c>
      <c r="Q28" s="79">
        <f t="shared" si="6"/>
        <v>0</v>
      </c>
      <c r="R28" s="79">
        <f t="shared" si="6"/>
        <v>0</v>
      </c>
      <c r="S28" s="79">
        <f t="shared" si="6"/>
        <v>0</v>
      </c>
      <c r="T28" s="79">
        <f t="shared" si="6"/>
        <v>0</v>
      </c>
      <c r="U28" s="79">
        <f t="shared" si="6"/>
        <v>0</v>
      </c>
      <c r="V28" s="79">
        <f t="shared" si="6"/>
        <v>0</v>
      </c>
      <c r="W28" s="79">
        <f t="shared" si="6"/>
        <v>0</v>
      </c>
      <c r="X28" s="79">
        <f t="shared" si="6"/>
        <v>0</v>
      </c>
      <c r="Y28" s="79">
        <f t="shared" si="6"/>
        <v>0</v>
      </c>
      <c r="Z28" s="79">
        <f t="shared" si="6"/>
        <v>0</v>
      </c>
      <c r="AA28" s="79">
        <f t="shared" si="6"/>
        <v>0</v>
      </c>
      <c r="AB28" s="79">
        <f t="shared" si="6"/>
        <v>0</v>
      </c>
      <c r="AC28" s="79">
        <f t="shared" si="6"/>
        <v>0</v>
      </c>
      <c r="AD28" s="79">
        <f t="shared" si="6"/>
        <v>0</v>
      </c>
      <c r="AE28" s="79">
        <f t="shared" si="6"/>
        <v>0</v>
      </c>
    </row>
    <row r="29" spans="2:31">
      <c r="B29" s="20"/>
      <c r="C29" s="25" t="s">
        <v>960</v>
      </c>
      <c r="D29" s="18" t="s">
        <v>24</v>
      </c>
      <c r="E29" s="23"/>
      <c r="F29" s="23"/>
      <c r="G29" s="23"/>
      <c r="H29" s="23"/>
      <c r="I29" s="79">
        <f t="shared" ref="I29:AE29" si="7">H29</f>
        <v>0</v>
      </c>
      <c r="J29" s="79">
        <f t="shared" si="7"/>
        <v>0</v>
      </c>
      <c r="K29" s="79">
        <f t="shared" si="7"/>
        <v>0</v>
      </c>
      <c r="L29" s="79">
        <f t="shared" si="7"/>
        <v>0</v>
      </c>
      <c r="M29" s="79">
        <f t="shared" si="7"/>
        <v>0</v>
      </c>
      <c r="N29" s="79">
        <f t="shared" si="7"/>
        <v>0</v>
      </c>
      <c r="O29" s="79">
        <f t="shared" si="7"/>
        <v>0</v>
      </c>
      <c r="P29" s="79">
        <f t="shared" si="7"/>
        <v>0</v>
      </c>
      <c r="Q29" s="79">
        <f t="shared" si="7"/>
        <v>0</v>
      </c>
      <c r="R29" s="79">
        <f t="shared" si="7"/>
        <v>0</v>
      </c>
      <c r="S29" s="79">
        <f t="shared" si="7"/>
        <v>0</v>
      </c>
      <c r="T29" s="79">
        <f t="shared" si="7"/>
        <v>0</v>
      </c>
      <c r="U29" s="79">
        <f t="shared" si="7"/>
        <v>0</v>
      </c>
      <c r="V29" s="79">
        <f t="shared" si="7"/>
        <v>0</v>
      </c>
      <c r="W29" s="79">
        <f t="shared" si="7"/>
        <v>0</v>
      </c>
      <c r="X29" s="79">
        <f t="shared" si="7"/>
        <v>0</v>
      </c>
      <c r="Y29" s="79">
        <f t="shared" si="7"/>
        <v>0</v>
      </c>
      <c r="Z29" s="79">
        <f t="shared" si="7"/>
        <v>0</v>
      </c>
      <c r="AA29" s="79">
        <f t="shared" si="7"/>
        <v>0</v>
      </c>
      <c r="AB29" s="79">
        <f t="shared" si="7"/>
        <v>0</v>
      </c>
      <c r="AC29" s="79">
        <f t="shared" si="7"/>
        <v>0</v>
      </c>
      <c r="AD29" s="79">
        <f t="shared" si="7"/>
        <v>0</v>
      </c>
      <c r="AE29" s="79">
        <f t="shared" si="7"/>
        <v>0</v>
      </c>
    </row>
    <row r="30" s="2" customFormat="1" spans="2:31">
      <c r="B30" s="48"/>
      <c r="C30" s="73" t="s">
        <v>961</v>
      </c>
      <c r="D30" s="54" t="s">
        <v>24</v>
      </c>
      <c r="E30" s="78"/>
      <c r="F30" s="78"/>
      <c r="G30" s="78"/>
      <c r="H30" s="78">
        <v>2439.04878</v>
      </c>
      <c r="I30" s="82">
        <f>'表4-收入税金表'!J61+'表4-收入税金表'!J92+折现率、非经营、长投计算表!$E$33</f>
        <v>6487.35117069439</v>
      </c>
      <c r="J30" s="82">
        <f>'表4-收入税金表'!K61+'表4-收入税金表'!K92+折现率、非经营、长投计算表!$E$33</f>
        <v>14575.6768230064</v>
      </c>
      <c r="K30" s="82">
        <f>'表4-收入税金表'!L61+'表4-收入税金表'!L92+折现率、非经营、长投计算表!$E$33</f>
        <v>12122.2034077851</v>
      </c>
      <c r="L30" s="82">
        <f>'表4-收入税金表'!M61+'表4-收入税金表'!M92+折现率、非经营、长投计算表!$E$33</f>
        <v>9721.08890526016</v>
      </c>
      <c r="M30" s="82">
        <f>'表4-收入税金表'!N61+'表4-收入税金表'!N92+折现率、非经营、长投计算表!$E$33</f>
        <v>7289.76416295928</v>
      </c>
      <c r="N30" s="82">
        <f>'表4-收入税金表'!O61+'表4-收入税金表'!O92+折现率、非经营、长投计算表!$E$33</f>
        <v>4869.5135845522</v>
      </c>
      <c r="O30" s="82">
        <f>'表4-收入税金表'!P61+'表4-收入税金表'!P92+折现率、非经营、长投计算表!$E$33</f>
        <v>2460.33751517167</v>
      </c>
      <c r="P30" s="82">
        <f>'表4-收入税金表'!Q61+'表4-收入税金表'!Q92+折现率、非经营、长投计算表!$E$33</f>
        <v>62.2356096849389</v>
      </c>
      <c r="Q30" s="82">
        <f>'表4-收入税金表'!R61+'表4-收入税金表'!R92+折现率、非经营、长投计算表!$E$33</f>
        <v>0</v>
      </c>
      <c r="R30" s="82">
        <f>'表4-收入税金表'!S61+'表4-收入税金表'!S92+折现率、非经营、长投计算表!$E$33</f>
        <v>0</v>
      </c>
      <c r="S30" s="82">
        <f>'表4-收入税金表'!T61+'表4-收入税金表'!T92+折现率、非经营、长投计算表!$E$33</f>
        <v>0</v>
      </c>
      <c r="T30" s="82">
        <f>'表4-收入税金表'!U61+'表4-收入税金表'!U92+折现率、非经营、长投计算表!$E$33</f>
        <v>0</v>
      </c>
      <c r="U30" s="82">
        <f>'表4-收入税金表'!V61+'表4-收入税金表'!V92+折现率、非经营、长投计算表!$E$33</f>
        <v>0</v>
      </c>
      <c r="V30" s="82">
        <f>'表4-收入税金表'!W61+'表4-收入税金表'!W92+折现率、非经营、长投计算表!$E$33</f>
        <v>0</v>
      </c>
      <c r="W30" s="82">
        <f>'表4-收入税金表'!X61+'表4-收入税金表'!X92+折现率、非经营、长投计算表!$E$33</f>
        <v>0</v>
      </c>
      <c r="X30" s="82">
        <f>'表4-收入税金表'!Y61+'表4-收入税金表'!Y92+折现率、非经营、长投计算表!$E$33</f>
        <v>0</v>
      </c>
      <c r="Y30" s="82">
        <f>'表4-收入税金表'!Z61+'表4-收入税金表'!Z92+折现率、非经营、长投计算表!$E$33</f>
        <v>0</v>
      </c>
      <c r="Z30" s="82">
        <f>'表4-收入税金表'!AA61+'表4-收入税金表'!AA92+折现率、非经营、长投计算表!$E$33</f>
        <v>0</v>
      </c>
      <c r="AA30" s="82">
        <f>'表4-收入税金表'!AB61+'表4-收入税金表'!AB92+折现率、非经营、长投计算表!$E$33</f>
        <v>0</v>
      </c>
      <c r="AB30" s="82">
        <f>'表4-收入税金表'!AC61+'表4-收入税金表'!AC92+折现率、非经营、长投计算表!$E$33</f>
        <v>0</v>
      </c>
      <c r="AC30" s="82">
        <f>'表4-收入税金表'!AD61+'表4-收入税金表'!AD92+折现率、非经营、长投计算表!$E$33</f>
        <v>0</v>
      </c>
      <c r="AD30" s="82">
        <f>'表4-收入税金表'!AE61+'表4-收入税金表'!AE92+折现率、非经营、长投计算表!$E$33</f>
        <v>0</v>
      </c>
      <c r="AE30" s="82">
        <f ca="1">'表4-收入税金表'!AF61+'表4-收入税金表'!AF92+折现率、非经营、长投计算表!$E$33</f>
        <v>0</v>
      </c>
    </row>
    <row r="31" spans="2:31">
      <c r="B31" s="15">
        <v>1.2</v>
      </c>
      <c r="C31" s="16" t="s">
        <v>1023</v>
      </c>
      <c r="D31" s="18" t="s">
        <v>24</v>
      </c>
      <c r="E31" s="17">
        <f t="shared" ref="E31:M31" si="8">SUM(E32:E42)+SUM(E46:E55)</f>
        <v>0</v>
      </c>
      <c r="F31" s="17">
        <f t="shared" si="8"/>
        <v>0</v>
      </c>
      <c r="G31" s="17">
        <f t="shared" si="8"/>
        <v>30016</v>
      </c>
      <c r="H31" s="17">
        <f t="shared" si="8"/>
        <v>29415.373508</v>
      </c>
      <c r="I31" s="17">
        <f ca="1" t="shared" si="8"/>
        <v>65039.4264442988</v>
      </c>
      <c r="J31" s="17">
        <f ca="1" t="shared" si="8"/>
        <v>144308.660522514</v>
      </c>
      <c r="K31" s="17">
        <f ca="1" t="shared" si="8"/>
        <v>135245.330391362</v>
      </c>
      <c r="L31" s="17">
        <f ca="1" t="shared" si="8"/>
        <v>126548.972737275</v>
      </c>
      <c r="M31" s="17">
        <f ca="1" t="shared" si="8"/>
        <v>117393.899486857</v>
      </c>
      <c r="N31" s="17">
        <f ca="1" t="shared" ref="N31:AE31" si="9">SUM(N32:N42)+SUM(N46:N55)</f>
        <v>108238.826236439</v>
      </c>
      <c r="O31" s="17">
        <f ca="1" t="shared" si="9"/>
        <v>99083.7529860209</v>
      </c>
      <c r="P31" s="17">
        <f ca="1" t="shared" si="9"/>
        <v>89928.6797356031</v>
      </c>
      <c r="Q31" s="17">
        <f ca="1" t="shared" si="9"/>
        <v>81232.3220815155</v>
      </c>
      <c r="R31" s="17">
        <f ca="1" t="shared" si="9"/>
        <v>72077.2488310976</v>
      </c>
      <c r="S31" s="17">
        <f ca="1" t="shared" si="9"/>
        <v>62922.9196814797</v>
      </c>
      <c r="T31" s="17">
        <f ca="1" t="shared" si="9"/>
        <v>53769.3346326619</v>
      </c>
      <c r="U31" s="17">
        <f ca="1" t="shared" si="9"/>
        <v>44615.749583844</v>
      </c>
      <c r="V31" s="17">
        <f ca="1" t="shared" si="9"/>
        <v>35920.8801313564</v>
      </c>
      <c r="W31" s="17">
        <f ca="1" t="shared" si="9"/>
        <v>27816.1487787171</v>
      </c>
      <c r="X31" s="17">
        <f ca="1" t="shared" si="9"/>
        <v>20760.2711222564</v>
      </c>
      <c r="Y31" s="17">
        <f ca="1" t="shared" si="9"/>
        <v>13704.3934657956</v>
      </c>
      <c r="Z31" s="17">
        <f ca="1" t="shared" si="9"/>
        <v>6648.51580933489</v>
      </c>
      <c r="AA31" s="17">
        <f ca="1" t="shared" si="9"/>
        <v>1095.97392978362</v>
      </c>
      <c r="AB31" s="17">
        <f ca="1" t="shared" si="9"/>
        <v>307.817356798165</v>
      </c>
      <c r="AC31" s="17">
        <f ca="1" t="shared" si="9"/>
        <v>216.07423753211</v>
      </c>
      <c r="AD31" s="17">
        <f ca="1" t="shared" si="9"/>
        <v>124.331118266055</v>
      </c>
      <c r="AE31" s="17">
        <f ca="1" t="shared" si="9"/>
        <v>32.587999</v>
      </c>
    </row>
    <row r="32" spans="2:31">
      <c r="B32" s="20"/>
      <c r="C32" s="25" t="s">
        <v>1024</v>
      </c>
      <c r="D32" s="18" t="s">
        <v>24</v>
      </c>
      <c r="E32" s="23"/>
      <c r="F32" s="23"/>
      <c r="G32" s="23"/>
      <c r="H32" s="23"/>
      <c r="I32" s="22"/>
      <c r="J32" s="22"/>
      <c r="K32" s="22"/>
      <c r="L32" s="22"/>
      <c r="M32" s="22"/>
      <c r="N32" s="22"/>
      <c r="O32" s="22"/>
      <c r="P32" s="22"/>
      <c r="Q32" s="22"/>
      <c r="R32" s="22"/>
      <c r="S32" s="22"/>
      <c r="T32" s="22"/>
      <c r="U32" s="22"/>
      <c r="V32" s="22"/>
      <c r="W32" s="22"/>
      <c r="X32" s="22"/>
      <c r="Y32" s="22"/>
      <c r="Z32" s="22"/>
      <c r="AA32" s="22"/>
      <c r="AB32" s="22"/>
      <c r="AC32" s="22"/>
      <c r="AD32" s="22"/>
      <c r="AE32" s="22"/>
    </row>
    <row r="33" spans="2:31">
      <c r="B33" s="20"/>
      <c r="C33" s="25" t="s">
        <v>1025</v>
      </c>
      <c r="D33" s="18" t="s">
        <v>24</v>
      </c>
      <c r="E33" s="23"/>
      <c r="F33" s="23"/>
      <c r="G33" s="23"/>
      <c r="H33" s="23"/>
      <c r="I33" s="22"/>
      <c r="J33" s="22"/>
      <c r="K33" s="22"/>
      <c r="L33" s="22"/>
      <c r="M33" s="22"/>
      <c r="N33" s="22"/>
      <c r="O33" s="22"/>
      <c r="P33" s="22"/>
      <c r="Q33" s="22"/>
      <c r="R33" s="22"/>
      <c r="S33" s="22"/>
      <c r="T33" s="22"/>
      <c r="U33" s="22"/>
      <c r="V33" s="22"/>
      <c r="W33" s="22"/>
      <c r="X33" s="22"/>
      <c r="Y33" s="22"/>
      <c r="Z33" s="22"/>
      <c r="AA33" s="22"/>
      <c r="AB33" s="22"/>
      <c r="AC33" s="22"/>
      <c r="AD33" s="22"/>
      <c r="AE33" s="22"/>
    </row>
    <row r="34" spans="2:31">
      <c r="B34" s="20"/>
      <c r="C34" s="25" t="s">
        <v>1026</v>
      </c>
      <c r="D34" s="18" t="s">
        <v>24</v>
      </c>
      <c r="E34" s="23"/>
      <c r="F34" s="23"/>
      <c r="G34" s="23"/>
      <c r="H34" s="23"/>
      <c r="I34" s="22"/>
      <c r="J34" s="22"/>
      <c r="K34" s="22"/>
      <c r="L34" s="22"/>
      <c r="M34" s="22"/>
      <c r="N34" s="22"/>
      <c r="O34" s="22"/>
      <c r="P34" s="22"/>
      <c r="Q34" s="22"/>
      <c r="R34" s="22"/>
      <c r="S34" s="22"/>
      <c r="T34" s="22"/>
      <c r="U34" s="22"/>
      <c r="V34" s="22"/>
      <c r="W34" s="22"/>
      <c r="X34" s="22"/>
      <c r="Y34" s="22"/>
      <c r="Z34" s="22"/>
      <c r="AA34" s="22"/>
      <c r="AB34" s="22"/>
      <c r="AC34" s="22"/>
      <c r="AD34" s="22"/>
      <c r="AE34" s="22"/>
    </row>
    <row r="35" spans="2:31">
      <c r="B35" s="20"/>
      <c r="C35" s="25" t="s">
        <v>1027</v>
      </c>
      <c r="D35" s="18" t="s">
        <v>24</v>
      </c>
      <c r="E35" s="23"/>
      <c r="F35" s="23"/>
      <c r="G35" s="23"/>
      <c r="H35" s="23"/>
      <c r="I35" s="22"/>
      <c r="J35" s="22"/>
      <c r="K35" s="22"/>
      <c r="L35" s="22"/>
      <c r="M35" s="22"/>
      <c r="N35" s="22"/>
      <c r="O35" s="22"/>
      <c r="P35" s="22"/>
      <c r="Q35" s="22"/>
      <c r="R35" s="22"/>
      <c r="S35" s="22"/>
      <c r="T35" s="22"/>
      <c r="U35" s="22"/>
      <c r="V35" s="22"/>
      <c r="W35" s="22"/>
      <c r="X35" s="22"/>
      <c r="Y35" s="22"/>
      <c r="Z35" s="22"/>
      <c r="AA35" s="22"/>
      <c r="AB35" s="22"/>
      <c r="AC35" s="22"/>
      <c r="AD35" s="22"/>
      <c r="AE35" s="22"/>
    </row>
    <row r="36" spans="2:31">
      <c r="B36" s="20"/>
      <c r="C36" s="25" t="s">
        <v>1028</v>
      </c>
      <c r="D36" s="18" t="s">
        <v>24</v>
      </c>
      <c r="E36" s="23"/>
      <c r="F36" s="23"/>
      <c r="G36" s="23"/>
      <c r="H36" s="23"/>
      <c r="I36" s="22"/>
      <c r="J36" s="22"/>
      <c r="K36" s="22"/>
      <c r="L36" s="22"/>
      <c r="M36" s="22"/>
      <c r="N36" s="22"/>
      <c r="O36" s="22"/>
      <c r="P36" s="22"/>
      <c r="Q36" s="22"/>
      <c r="R36" s="22"/>
      <c r="S36" s="22"/>
      <c r="T36" s="22"/>
      <c r="U36" s="22"/>
      <c r="V36" s="22"/>
      <c r="W36" s="22"/>
      <c r="X36" s="22"/>
      <c r="Y36" s="22"/>
      <c r="Z36" s="22"/>
      <c r="AA36" s="22"/>
      <c r="AB36" s="22"/>
      <c r="AC36" s="22"/>
      <c r="AD36" s="22"/>
      <c r="AE36" s="22"/>
    </row>
    <row r="37" spans="2:31">
      <c r="B37" s="20"/>
      <c r="C37" s="25" t="s">
        <v>962</v>
      </c>
      <c r="D37" s="18" t="s">
        <v>24</v>
      </c>
      <c r="E37" s="23"/>
      <c r="F37" s="23"/>
      <c r="G37" s="23"/>
      <c r="H37" s="23">
        <v>0</v>
      </c>
      <c r="I37" s="80">
        <f>IF(参数输入表!$I$721="手动输入",基准日往来账处理!J25,基准日往来账处理!J103)+折现率、非经营、长投计算表!$E$34</f>
        <v>0</v>
      </c>
      <c r="J37" s="80">
        <f>IF(参数输入表!$I$721="手动输入",基准日往来账处理!K25,基准日往来账处理!K103)+折现率、非经营、长投计算表!$E$34</f>
        <v>0</v>
      </c>
      <c r="K37" s="80">
        <f>IF(参数输入表!$I$721="手动输入",基准日往来账处理!L25,基准日往来账处理!L103)+折现率、非经营、长投计算表!$E$34</f>
        <v>0</v>
      </c>
      <c r="L37" s="80">
        <f>IF(参数输入表!$I$721="手动输入",基准日往来账处理!M25,基准日往来账处理!M103)+折现率、非经营、长投计算表!$E$34</f>
        <v>0</v>
      </c>
      <c r="M37" s="80">
        <f>IF(参数输入表!$I$721="手动输入",基准日往来账处理!N25,基准日往来账处理!N103)+折现率、非经营、长投计算表!$E$34</f>
        <v>0</v>
      </c>
      <c r="N37" s="80">
        <f>IF(参数输入表!$I$721="手动输入",基准日往来账处理!O25,基准日往来账处理!O103)+折现率、非经营、长投计算表!$E$34</f>
        <v>0</v>
      </c>
      <c r="O37" s="80">
        <f>IF(参数输入表!$I$721="手动输入",基准日往来账处理!P25,基准日往来账处理!P103)+折现率、非经营、长投计算表!$E$34</f>
        <v>0</v>
      </c>
      <c r="P37" s="80">
        <f>IF(参数输入表!$I$721="手动输入",基准日往来账处理!Q25,基准日往来账处理!Q103)+折现率、非经营、长投计算表!$E$34</f>
        <v>0</v>
      </c>
      <c r="Q37" s="80">
        <f>IF(参数输入表!$I$721="手动输入",基准日往来账处理!R25,基准日往来账处理!R103)+折现率、非经营、长投计算表!$E$34</f>
        <v>0</v>
      </c>
      <c r="R37" s="80">
        <f>IF(参数输入表!$I$721="手动输入",基准日往来账处理!S25,基准日往来账处理!S103)+折现率、非经营、长投计算表!$E$34</f>
        <v>0</v>
      </c>
      <c r="S37" s="80">
        <f>IF(参数输入表!$I$721="手动输入",基准日往来账处理!T25,基准日往来账处理!T103)+折现率、非经营、长投计算表!$E$34</f>
        <v>0</v>
      </c>
      <c r="T37" s="80">
        <f>IF(参数输入表!$I$721="手动输入",基准日往来账处理!U25,基准日往来账处理!U103)+折现率、非经营、长投计算表!$E$34</f>
        <v>0</v>
      </c>
      <c r="U37" s="80">
        <f>IF(参数输入表!$I$721="手动输入",基准日往来账处理!V25,基准日往来账处理!V103)+折现率、非经营、长投计算表!$E$34</f>
        <v>0</v>
      </c>
      <c r="V37" s="80">
        <f>IF(参数输入表!$I$721="手动输入",基准日往来账处理!W25,基准日往来账处理!W103)+折现率、非经营、长投计算表!$E$34</f>
        <v>0</v>
      </c>
      <c r="W37" s="80">
        <f>IF(参数输入表!$I$721="手动输入",基准日往来账处理!X25,基准日往来账处理!X103)+折现率、非经营、长投计算表!$E$34</f>
        <v>0</v>
      </c>
      <c r="X37" s="80">
        <f>IF(参数输入表!$I$721="手动输入",基准日往来账处理!Y25,基准日往来账处理!Y103)+折现率、非经营、长投计算表!$E$34</f>
        <v>0</v>
      </c>
      <c r="Y37" s="80">
        <f>IF(参数输入表!$I$721="手动输入",基准日往来账处理!Z25,基准日往来账处理!Z103)+折现率、非经营、长投计算表!$E$34</f>
        <v>0</v>
      </c>
      <c r="Z37" s="80">
        <f>IF(参数输入表!$I$721="手动输入",基准日往来账处理!AA25,基准日往来账处理!AA103)+折现率、非经营、长投计算表!$E$34</f>
        <v>0</v>
      </c>
      <c r="AA37" s="80">
        <f>IF(参数输入表!$I$721="手动输入",基准日往来账处理!AB25,基准日往来账处理!AB103)+折现率、非经营、长投计算表!$E$34</f>
        <v>0</v>
      </c>
      <c r="AB37" s="80">
        <f>IF(参数输入表!$I$721="手动输入",基准日往来账处理!AC25,基准日往来账处理!AC103)+折现率、非经营、长投计算表!$E$34</f>
        <v>0</v>
      </c>
      <c r="AC37" s="80">
        <f>IF(参数输入表!$I$721="手动输入",基准日往来账处理!AD25,基准日往来账处理!AD103)+折现率、非经营、长投计算表!$E$34</f>
        <v>0</v>
      </c>
      <c r="AD37" s="80">
        <f>IF(参数输入表!$I$721="手动输入",基准日往来账处理!AE25,基准日往来账处理!AE103)+折现率、非经营、长投计算表!$E$34</f>
        <v>0</v>
      </c>
      <c r="AE37" s="80">
        <f>IF(参数输入表!$I$721="手动输入",基准日往来账处理!AF25,基准日往来账处理!AF103)+折现率、非经营、长投计算表!$E$34</f>
        <v>0</v>
      </c>
    </row>
    <row r="38" spans="2:31">
      <c r="B38" s="20"/>
      <c r="C38" s="25" t="s">
        <v>1029</v>
      </c>
      <c r="D38" s="18" t="s">
        <v>24</v>
      </c>
      <c r="E38" s="23"/>
      <c r="F38" s="23"/>
      <c r="G38" s="23"/>
      <c r="H38" s="23"/>
      <c r="I38" s="22"/>
      <c r="J38" s="22"/>
      <c r="K38" s="22"/>
      <c r="L38" s="22"/>
      <c r="M38" s="22"/>
      <c r="N38" s="22"/>
      <c r="O38" s="22"/>
      <c r="P38" s="22"/>
      <c r="Q38" s="22"/>
      <c r="R38" s="22"/>
      <c r="S38" s="22"/>
      <c r="T38" s="22"/>
      <c r="U38" s="22"/>
      <c r="V38" s="22"/>
      <c r="W38" s="22"/>
      <c r="X38" s="22"/>
      <c r="Y38" s="22"/>
      <c r="Z38" s="22"/>
      <c r="AA38" s="22"/>
      <c r="AB38" s="22"/>
      <c r="AC38" s="22"/>
      <c r="AD38" s="22"/>
      <c r="AE38" s="22"/>
    </row>
    <row r="39" spans="2:31">
      <c r="B39" s="20"/>
      <c r="C39" s="25" t="s">
        <v>1030</v>
      </c>
      <c r="D39" s="18" t="s">
        <v>24</v>
      </c>
      <c r="E39" s="23"/>
      <c r="F39" s="23"/>
      <c r="G39" s="23"/>
      <c r="H39" s="23"/>
      <c r="I39" s="22"/>
      <c r="J39" s="22"/>
      <c r="K39" s="22"/>
      <c r="L39" s="22"/>
      <c r="M39" s="22"/>
      <c r="N39" s="22"/>
      <c r="O39" s="22"/>
      <c r="P39" s="22"/>
      <c r="Q39" s="22"/>
      <c r="R39" s="22"/>
      <c r="S39" s="22"/>
      <c r="T39" s="22"/>
      <c r="U39" s="22"/>
      <c r="V39" s="22"/>
      <c r="W39" s="22"/>
      <c r="X39" s="22"/>
      <c r="Y39" s="22"/>
      <c r="Z39" s="22"/>
      <c r="AA39" s="22"/>
      <c r="AB39" s="22"/>
      <c r="AC39" s="22"/>
      <c r="AD39" s="22"/>
      <c r="AE39" s="22"/>
    </row>
    <row r="40" spans="2:31">
      <c r="B40" s="20"/>
      <c r="C40" s="25" t="s">
        <v>1031</v>
      </c>
      <c r="D40" s="18" t="s">
        <v>24</v>
      </c>
      <c r="E40" s="23"/>
      <c r="F40" s="23"/>
      <c r="G40" s="23"/>
      <c r="H40" s="23"/>
      <c r="I40" s="22"/>
      <c r="J40" s="22"/>
      <c r="K40" s="22"/>
      <c r="L40" s="22"/>
      <c r="M40" s="22"/>
      <c r="N40" s="22"/>
      <c r="O40" s="22"/>
      <c r="P40" s="22"/>
      <c r="Q40" s="22"/>
      <c r="R40" s="22"/>
      <c r="S40" s="22"/>
      <c r="T40" s="22"/>
      <c r="U40" s="22"/>
      <c r="V40" s="22"/>
      <c r="W40" s="22"/>
      <c r="X40" s="22"/>
      <c r="Y40" s="22"/>
      <c r="Z40" s="22"/>
      <c r="AA40" s="22"/>
      <c r="AB40" s="22"/>
      <c r="AC40" s="22"/>
      <c r="AD40" s="22"/>
      <c r="AE40" s="22"/>
    </row>
    <row r="41" spans="2:31">
      <c r="B41" s="20"/>
      <c r="C41" s="25" t="s">
        <v>1032</v>
      </c>
      <c r="D41" s="18" t="s">
        <v>24</v>
      </c>
      <c r="E41" s="23"/>
      <c r="F41" s="23"/>
      <c r="G41" s="23"/>
      <c r="H41" s="23"/>
      <c r="I41" s="22"/>
      <c r="J41" s="22"/>
      <c r="K41" s="22"/>
      <c r="L41" s="22"/>
      <c r="M41" s="22"/>
      <c r="N41" s="22"/>
      <c r="O41" s="22"/>
      <c r="P41" s="22"/>
      <c r="Q41" s="22"/>
      <c r="R41" s="22"/>
      <c r="S41" s="22"/>
      <c r="T41" s="22"/>
      <c r="U41" s="22"/>
      <c r="V41" s="22"/>
      <c r="W41" s="22"/>
      <c r="X41" s="22"/>
      <c r="Y41" s="22"/>
      <c r="Z41" s="22"/>
      <c r="AA41" s="22"/>
      <c r="AB41" s="22"/>
      <c r="AC41" s="22"/>
      <c r="AD41" s="22"/>
      <c r="AE41" s="22"/>
    </row>
    <row r="42" spans="2:31">
      <c r="B42" s="20"/>
      <c r="C42" s="25" t="s">
        <v>1033</v>
      </c>
      <c r="D42" s="18" t="s">
        <v>24</v>
      </c>
      <c r="E42" s="23"/>
      <c r="F42" s="23"/>
      <c r="G42" s="23">
        <f>G43-G44</f>
        <v>30000</v>
      </c>
      <c r="H42" s="23">
        <v>29367.903493</v>
      </c>
      <c r="I42" s="22">
        <f ca="1" t="shared" ref="I42:P42" si="10">I43-I44</f>
        <v>45822.5928666679</v>
      </c>
      <c r="J42" s="22">
        <f ca="1" t="shared" si="10"/>
        <v>142568.422809914</v>
      </c>
      <c r="K42" s="22">
        <f ca="1" t="shared" si="10"/>
        <v>133606.580880362</v>
      </c>
      <c r="L42" s="22">
        <f ca="1" t="shared" si="10"/>
        <v>124644.73895081</v>
      </c>
      <c r="M42" s="22">
        <f ca="1" t="shared" si="10"/>
        <v>115682.897021259</v>
      </c>
      <c r="N42" s="22">
        <f ca="1" t="shared" si="10"/>
        <v>106721.055091707</v>
      </c>
      <c r="O42" s="22">
        <f ca="1" t="shared" si="10"/>
        <v>97759.2131621549</v>
      </c>
      <c r="P42" s="22">
        <f ca="1" t="shared" si="10"/>
        <v>88797.3712326031</v>
      </c>
      <c r="Q42" s="22">
        <f ca="1" t="shared" ref="Q42:AE42" si="11">Q43-Q44</f>
        <v>79835.5293030513</v>
      </c>
      <c r="R42" s="22">
        <f ca="1" t="shared" si="11"/>
        <v>70873.6873734994</v>
      </c>
      <c r="S42" s="22">
        <f ca="1" t="shared" si="11"/>
        <v>61911.8454439476</v>
      </c>
      <c r="T42" s="22">
        <f ca="1" t="shared" si="11"/>
        <v>52950.0035143958</v>
      </c>
      <c r="U42" s="22">
        <f ca="1" t="shared" si="11"/>
        <v>43988.161584844</v>
      </c>
      <c r="V42" s="22">
        <f ca="1" t="shared" si="11"/>
        <v>35026.3196552922</v>
      </c>
      <c r="W42" s="22">
        <f ca="1" t="shared" si="11"/>
        <v>27113.3314219189</v>
      </c>
      <c r="X42" s="22">
        <f ca="1" t="shared" si="11"/>
        <v>20249.1968847243</v>
      </c>
      <c r="Y42" s="22">
        <f ca="1" t="shared" si="11"/>
        <v>13385.0623475296</v>
      </c>
      <c r="Z42" s="22">
        <f ca="1" t="shared" si="11"/>
        <v>6520.92781033489</v>
      </c>
      <c r="AA42" s="22">
        <f ca="1" t="shared" si="11"/>
        <v>686.413453719404</v>
      </c>
      <c r="AB42" s="22">
        <f ca="1" t="shared" si="11"/>
        <v>0</v>
      </c>
      <c r="AC42" s="22">
        <f ca="1" t="shared" si="11"/>
        <v>0</v>
      </c>
      <c r="AD42" s="22">
        <f ca="1" t="shared" si="11"/>
        <v>0</v>
      </c>
      <c r="AE42" s="22">
        <f ca="1" t="shared" si="11"/>
        <v>0</v>
      </c>
    </row>
    <row r="43" spans="2:31">
      <c r="B43" s="20"/>
      <c r="C43" s="76" t="s">
        <v>1034</v>
      </c>
      <c r="D43" s="18" t="s">
        <v>24</v>
      </c>
      <c r="E43" s="23"/>
      <c r="F43" s="23"/>
      <c r="G43" s="23">
        <v>36000</v>
      </c>
      <c r="H43" s="23">
        <v>36255.19572</v>
      </c>
      <c r="I43" s="23">
        <f ca="1">'表2-折旧摊销表'!J27+'表2-折旧摊销表'!J79+'表2-折旧摊销表'!J116</f>
        <v>54788.3589704256</v>
      </c>
      <c r="J43" s="23">
        <f ca="1">I43+'表2-折旧摊销表'!K27-'表2-折旧摊销表'!J27+'表2-折旧摊销表'!K79</f>
        <v>159809.617389504</v>
      </c>
      <c r="K43" s="23">
        <f ca="1">J43+'表2-折旧摊销表'!L27-'表2-折旧摊销表'!K27+'表2-折旧摊销表'!L79</f>
        <v>159809.617389504</v>
      </c>
      <c r="L43" s="23">
        <f ca="1">K43+'表2-折旧摊销表'!M27-'表2-折旧摊销表'!L27+'表2-折旧摊销表'!M79</f>
        <v>159809.617389504</v>
      </c>
      <c r="M43" s="23">
        <f ca="1">L43+'表2-折旧摊销表'!N27-'表2-折旧摊销表'!M27+'表2-折旧摊销表'!N79</f>
        <v>159809.617389504</v>
      </c>
      <c r="N43" s="23">
        <f ca="1">M43+'表2-折旧摊销表'!O27-'表2-折旧摊销表'!N27+'表2-折旧摊销表'!O79</f>
        <v>159809.617389504</v>
      </c>
      <c r="O43" s="23">
        <f ca="1">N43+'表2-折旧摊销表'!P27-'表2-折旧摊销表'!O27+'表2-折旧摊销表'!P79</f>
        <v>159809.617389504</v>
      </c>
      <c r="P43" s="23">
        <f ca="1">O43+'表2-折旧摊销表'!Q27-'表2-折旧摊销表'!P27+'表2-折旧摊销表'!Q79</f>
        <v>159809.617389504</v>
      </c>
      <c r="Q43" s="23">
        <f ca="1">P43+'表2-折旧摊销表'!R27-'表2-折旧摊销表'!Q27+'表2-折旧摊销表'!R79</f>
        <v>159809.617389504</v>
      </c>
      <c r="R43" s="23">
        <f ca="1">Q43+'表2-折旧摊销表'!S27-'表2-折旧摊销表'!R27+'表2-折旧摊销表'!S79</f>
        <v>159809.617389504</v>
      </c>
      <c r="S43" s="23">
        <f ca="1">R43+'表2-折旧摊销表'!T27-'表2-折旧摊销表'!S27+'表2-折旧摊销表'!T79</f>
        <v>159809.617389504</v>
      </c>
      <c r="T43" s="23">
        <f ca="1">S43+'表2-折旧摊销表'!U27-'表2-折旧摊销表'!T27+'表2-折旧摊销表'!U79</f>
        <v>159809.617389504</v>
      </c>
      <c r="U43" s="23">
        <f ca="1">T43+'表2-折旧摊销表'!V27-'表2-折旧摊销表'!U27+'表2-折旧摊销表'!V79</f>
        <v>159809.617389504</v>
      </c>
      <c r="V43" s="23">
        <f ca="1">U43+'表2-折旧摊销表'!W27-'表2-折旧摊销表'!V27+'表2-折旧摊销表'!W79</f>
        <v>159809.617389504</v>
      </c>
      <c r="W43" s="23">
        <f ca="1">V43+'表2-折旧摊销表'!X27-'表2-折旧摊销表'!W27+'表2-折旧摊销表'!X79</f>
        <v>159809.617389504</v>
      </c>
      <c r="X43" s="23">
        <f ca="1">W43+'表2-折旧摊销表'!Y27-'表2-折旧摊销表'!X27+'表2-折旧摊销表'!Y79</f>
        <v>159809.617389504</v>
      </c>
      <c r="Y43" s="23">
        <f ca="1">X43+'表2-折旧摊销表'!Z27-'表2-折旧摊销表'!Y27+'表2-折旧摊销表'!Z79</f>
        <v>159809.617389504</v>
      </c>
      <c r="Z43" s="23">
        <f ca="1">Y43+'表2-折旧摊销表'!AA27-'表2-折旧摊销表'!Z27+'表2-折旧摊销表'!AA79</f>
        <v>159809.617389504</v>
      </c>
      <c r="AA43" s="23">
        <f ca="1">Z43+'表2-折旧摊销表'!AB27-'表2-折旧摊销表'!AA27+'表2-折旧摊销表'!AB79</f>
        <v>159809.617389504</v>
      </c>
      <c r="AB43" s="23">
        <f ca="1">AA43+'表2-折旧摊销表'!AC27-'表2-折旧摊销表'!AB27+'表2-折旧摊销表'!AC79</f>
        <v>159809.617389504</v>
      </c>
      <c r="AC43" s="23">
        <f ca="1">AB43+'表2-折旧摊销表'!AD27-'表2-折旧摊销表'!AC27+'表2-折旧摊销表'!AD79</f>
        <v>159809.617389504</v>
      </c>
      <c r="AD43" s="23">
        <f ca="1">AC43+'表2-折旧摊销表'!AE27-'表2-折旧摊销表'!AD27+'表2-折旧摊销表'!AE79</f>
        <v>159809.617389504</v>
      </c>
      <c r="AE43" s="23">
        <f ca="1">AD43+'表2-折旧摊销表'!AF27-'表2-折旧摊销表'!AE27+'表2-折旧摊销表'!AF79</f>
        <v>159809.617389504</v>
      </c>
    </row>
    <row r="44" spans="2:31">
      <c r="B44" s="20"/>
      <c r="C44" s="76" t="s">
        <v>1035</v>
      </c>
      <c r="D44" s="18" t="s">
        <v>24</v>
      </c>
      <c r="E44" s="23"/>
      <c r="F44" s="23"/>
      <c r="G44" s="23">
        <v>6000</v>
      </c>
      <c r="H44" s="23">
        <v>6887.292227</v>
      </c>
      <c r="I44" s="23">
        <f ca="1">'表2-折旧摊销表'!J35+'表2-折旧摊销表'!J108+'表2-折旧摊销表'!J118</f>
        <v>8965.76610375777</v>
      </c>
      <c r="J44" s="23">
        <f ca="1">'表2-折旧摊销表'!K35+'表2-折旧摊销表'!K108+'表2-折旧摊销表'!K118</f>
        <v>17241.1945795901</v>
      </c>
      <c r="K44" s="23">
        <f ca="1">'表2-折旧摊销表'!L35+'表2-折旧摊销表'!L108+'表2-折旧摊销表'!L118</f>
        <v>26203.0365091419</v>
      </c>
      <c r="L44" s="23">
        <f ca="1">'表2-折旧摊销表'!M35+'表2-折旧摊销表'!M108+'表2-折旧摊销表'!M118</f>
        <v>35164.8784386937</v>
      </c>
      <c r="M44" s="23">
        <f ca="1">'表2-折旧摊销表'!N35+'表2-折旧摊销表'!N108+'表2-折旧摊销表'!N118</f>
        <v>44126.7203682456</v>
      </c>
      <c r="N44" s="23">
        <f ca="1">'表2-折旧摊销表'!O35+'表2-折旧摊销表'!O108+'表2-折旧摊销表'!O118</f>
        <v>53088.5622977974</v>
      </c>
      <c r="O44" s="23">
        <f ca="1">'表2-折旧摊销表'!P35+'表2-折旧摊销表'!P108+'表2-折旧摊销表'!P118</f>
        <v>62050.4042273492</v>
      </c>
      <c r="P44" s="23">
        <f ca="1">'表2-折旧摊销表'!Q35+'表2-折旧摊销表'!Q108+'表2-折旧摊销表'!Q118</f>
        <v>71012.246156901</v>
      </c>
      <c r="Q44" s="23">
        <f ca="1">'表2-折旧摊销表'!R35+'表2-折旧摊销表'!R108+'表2-折旧摊销表'!R118</f>
        <v>79974.0880864528</v>
      </c>
      <c r="R44" s="23">
        <f ca="1">'表2-折旧摊销表'!S35+'表2-折旧摊销表'!S108+'表2-折旧摊销表'!S118</f>
        <v>88935.9300160047</v>
      </c>
      <c r="S44" s="23">
        <f ca="1">'表2-折旧摊销表'!T35+'表2-折旧摊销表'!T108+'表2-折旧摊销表'!T118</f>
        <v>97897.7719455565</v>
      </c>
      <c r="T44" s="23">
        <f ca="1">'表2-折旧摊销表'!U35+'表2-折旧摊销表'!U108+'表2-折旧摊销表'!U118</f>
        <v>106859.613875108</v>
      </c>
      <c r="U44" s="23">
        <f ca="1">'表2-折旧摊销表'!V35+'表2-折旧摊销表'!V108+'表2-折旧摊销表'!V118</f>
        <v>115821.45580466</v>
      </c>
      <c r="V44" s="23">
        <f ca="1">'表2-折旧摊销表'!W35+'表2-折旧摊销表'!W108+'表2-折旧摊销表'!W118</f>
        <v>124783.297734212</v>
      </c>
      <c r="W44" s="23">
        <f ca="1">'表2-折旧摊销表'!X35+'表2-折旧摊销表'!X108+'表2-折旧摊销表'!X118</f>
        <v>132696.285967585</v>
      </c>
      <c r="X44" s="23">
        <f ca="1">'表2-折旧摊销表'!Y35+'表2-折旧摊销表'!Y108+'表2-折旧摊销表'!Y118</f>
        <v>139560.42050478</v>
      </c>
      <c r="Y44" s="23">
        <f ca="1">'表2-折旧摊销表'!Z35+'表2-折旧摊销表'!Z108+'表2-折旧摊销表'!Z118</f>
        <v>146424.555041975</v>
      </c>
      <c r="Z44" s="23">
        <f ca="1">'表2-折旧摊销表'!AA35+'表2-折旧摊销表'!AA108+'表2-折旧摊销表'!AA118</f>
        <v>153288.689579169</v>
      </c>
      <c r="AA44" s="23">
        <f ca="1">'表2-折旧摊销表'!AB35+'表2-折旧摊销表'!AB108+'表2-折旧摊销表'!AB118</f>
        <v>159123.203935785</v>
      </c>
      <c r="AB44" s="23">
        <f ca="1">'表2-折旧摊销表'!AC35+'表2-折旧摊销表'!AC108+'表2-折旧摊销表'!AC118</f>
        <v>159809.617389504</v>
      </c>
      <c r="AC44" s="23">
        <f ca="1">'表2-折旧摊销表'!AD35+'表2-折旧摊销表'!AD108+'表2-折旧摊销表'!AD118</f>
        <v>159809.617389504</v>
      </c>
      <c r="AD44" s="23">
        <f ca="1">'表2-折旧摊销表'!AE35+'表2-折旧摊销表'!AE108+'表2-折旧摊销表'!AE118</f>
        <v>159809.617389504</v>
      </c>
      <c r="AE44" s="23">
        <f ca="1">'表2-折旧摊销表'!AF35+'表2-折旧摊销表'!AF108+'表2-折旧摊销表'!AF118</f>
        <v>159809.617389504</v>
      </c>
    </row>
    <row r="45" spans="2:31">
      <c r="B45" s="20"/>
      <c r="C45" s="76" t="s">
        <v>1036</v>
      </c>
      <c r="D45" s="18" t="s">
        <v>24</v>
      </c>
      <c r="E45" s="23"/>
      <c r="F45" s="23"/>
      <c r="G45" s="23"/>
      <c r="H45" s="23"/>
      <c r="I45" s="22"/>
      <c r="J45" s="22"/>
      <c r="K45" s="22"/>
      <c r="L45" s="22"/>
      <c r="M45" s="22"/>
      <c r="N45" s="22"/>
      <c r="O45" s="22"/>
      <c r="P45" s="22"/>
      <c r="Q45" s="22"/>
      <c r="R45" s="22"/>
      <c r="S45" s="22"/>
      <c r="T45" s="22"/>
      <c r="U45" s="22"/>
      <c r="V45" s="22"/>
      <c r="W45" s="22"/>
      <c r="X45" s="22"/>
      <c r="Y45" s="22"/>
      <c r="Z45" s="22"/>
      <c r="AA45" s="22"/>
      <c r="AB45" s="22"/>
      <c r="AC45" s="22"/>
      <c r="AD45" s="22"/>
      <c r="AE45" s="22"/>
    </row>
    <row r="46" spans="2:31">
      <c r="B46" s="20"/>
      <c r="C46" s="25" t="s">
        <v>1037</v>
      </c>
      <c r="D46" s="18" t="s">
        <v>24</v>
      </c>
      <c r="E46" s="23"/>
      <c r="F46" s="23"/>
      <c r="G46" s="23"/>
      <c r="H46" s="23"/>
      <c r="I46" s="23">
        <f ca="1">'表2-折旧摊销表'!J30+'表2-折旧摊销表'!J71</f>
        <v>18915.1076634309</v>
      </c>
      <c r="J46" s="23">
        <f ca="1">'表2-折旧摊销表'!K30+'表2-折旧摊销表'!K71</f>
        <v>180</v>
      </c>
      <c r="K46" s="23">
        <f ca="1">'表2-折旧摊销表'!L30+'表2-折旧摊销表'!L71</f>
        <v>0</v>
      </c>
      <c r="L46" s="23">
        <f ca="1">'表2-折旧摊销表'!M30+'表2-折旧摊销表'!M71</f>
        <v>0</v>
      </c>
      <c r="M46" s="23">
        <f ca="1">'表2-折旧摊销表'!N30+'表2-折旧摊销表'!N71</f>
        <v>0</v>
      </c>
      <c r="N46" s="23">
        <f ca="1">'表2-折旧摊销表'!O30+'表2-折旧摊销表'!O71</f>
        <v>0</v>
      </c>
      <c r="O46" s="23">
        <f ca="1">'表2-折旧摊销表'!P30+'表2-折旧摊销表'!P71</f>
        <v>0</v>
      </c>
      <c r="P46" s="23">
        <f ca="1">'表2-折旧摊销表'!Q30+'表2-折旧摊销表'!Q71</f>
        <v>0</v>
      </c>
      <c r="Q46" s="23">
        <f ca="1">'表2-折旧摊销表'!R30+'表2-折旧摊销表'!R71</f>
        <v>0</v>
      </c>
      <c r="R46" s="23">
        <f ca="1">'表2-折旧摊销表'!S30+'表2-折旧摊销表'!S71</f>
        <v>0</v>
      </c>
      <c r="S46" s="23">
        <f ca="1">'表2-折旧摊销表'!T30+'表2-折旧摊销表'!T71</f>
        <v>0</v>
      </c>
      <c r="T46" s="23">
        <f ca="1">'表2-折旧摊销表'!U30+'表2-折旧摊销表'!U71</f>
        <v>0</v>
      </c>
      <c r="U46" s="23">
        <f ca="1">'表2-折旧摊销表'!V30+'表2-折旧摊销表'!V71</f>
        <v>0</v>
      </c>
      <c r="V46" s="23">
        <f ca="1">'表2-折旧摊销表'!W30+'表2-折旧摊销表'!W71</f>
        <v>0</v>
      </c>
      <c r="W46" s="23">
        <f ca="1">'表2-折旧摊销表'!X30+'表2-折旧摊销表'!X71</f>
        <v>0</v>
      </c>
      <c r="X46" s="23">
        <f ca="1">'表2-折旧摊销表'!Y30+'表2-折旧摊销表'!Y71</f>
        <v>0</v>
      </c>
      <c r="Y46" s="23">
        <f ca="1">'表2-折旧摊销表'!Z30+'表2-折旧摊销表'!Z71</f>
        <v>0</v>
      </c>
      <c r="Z46" s="23">
        <f ca="1">'表2-折旧摊销表'!AA30+'表2-折旧摊销表'!AA71</f>
        <v>0</v>
      </c>
      <c r="AA46" s="23">
        <f ca="1">'表2-折旧摊销表'!AB30+'表2-折旧摊销表'!AB71</f>
        <v>0</v>
      </c>
      <c r="AB46" s="23">
        <f ca="1">'表2-折旧摊销表'!AC30+'表2-折旧摊销表'!AC71</f>
        <v>0</v>
      </c>
      <c r="AC46" s="23">
        <f ca="1">'表2-折旧摊销表'!AD30+'表2-折旧摊销表'!AD71</f>
        <v>0</v>
      </c>
      <c r="AD46" s="23">
        <f ca="1">'表2-折旧摊销表'!AE30+'表2-折旧摊销表'!AE71</f>
        <v>0</v>
      </c>
      <c r="AE46" s="23">
        <f ca="1">'表2-折旧摊销表'!AF30+'表2-折旧摊销表'!AF71</f>
        <v>0</v>
      </c>
    </row>
    <row r="47" spans="2:31">
      <c r="B47" s="20"/>
      <c r="C47" s="25" t="s">
        <v>1038</v>
      </c>
      <c r="D47" s="18" t="s">
        <v>24</v>
      </c>
      <c r="E47" s="23"/>
      <c r="F47" s="23"/>
      <c r="G47" s="23"/>
      <c r="H47" s="23"/>
      <c r="I47" s="22"/>
      <c r="J47" s="22"/>
      <c r="K47" s="22"/>
      <c r="L47" s="22"/>
      <c r="M47" s="22"/>
      <c r="N47" s="22"/>
      <c r="O47" s="22"/>
      <c r="P47" s="22"/>
      <c r="Q47" s="22"/>
      <c r="R47" s="22"/>
      <c r="S47" s="22"/>
      <c r="T47" s="22"/>
      <c r="U47" s="22"/>
      <c r="V47" s="22"/>
      <c r="W47" s="22"/>
      <c r="X47" s="22"/>
      <c r="Y47" s="22"/>
      <c r="Z47" s="22"/>
      <c r="AA47" s="22"/>
      <c r="AB47" s="22"/>
      <c r="AC47" s="22"/>
      <c r="AD47" s="22"/>
      <c r="AE47" s="22"/>
    </row>
    <row r="48" spans="2:31">
      <c r="B48" s="20"/>
      <c r="C48" s="25" t="s">
        <v>1039</v>
      </c>
      <c r="D48" s="18" t="s">
        <v>24</v>
      </c>
      <c r="E48" s="23"/>
      <c r="F48" s="23"/>
      <c r="G48" s="23"/>
      <c r="H48" s="23"/>
      <c r="I48" s="22"/>
      <c r="J48" s="22"/>
      <c r="K48" s="22"/>
      <c r="L48" s="22"/>
      <c r="M48" s="22"/>
      <c r="N48" s="22"/>
      <c r="O48" s="22"/>
      <c r="P48" s="22"/>
      <c r="Q48" s="22"/>
      <c r="R48" s="22"/>
      <c r="S48" s="22"/>
      <c r="T48" s="22"/>
      <c r="U48" s="22"/>
      <c r="V48" s="22"/>
      <c r="W48" s="22"/>
      <c r="X48" s="22"/>
      <c r="Y48" s="22"/>
      <c r="Z48" s="22"/>
      <c r="AA48" s="22"/>
      <c r="AB48" s="22"/>
      <c r="AC48" s="22"/>
      <c r="AD48" s="22"/>
      <c r="AE48" s="22"/>
    </row>
    <row r="49" spans="2:31">
      <c r="B49" s="20"/>
      <c r="C49" s="25" t="s">
        <v>1040</v>
      </c>
      <c r="D49" s="18" t="s">
        <v>24</v>
      </c>
      <c r="E49" s="23"/>
      <c r="F49" s="23"/>
      <c r="G49" s="23"/>
      <c r="H49" s="23"/>
      <c r="I49" s="22"/>
      <c r="J49" s="22"/>
      <c r="K49" s="22"/>
      <c r="L49" s="22"/>
      <c r="M49" s="22"/>
      <c r="N49" s="22"/>
      <c r="O49" s="22"/>
      <c r="P49" s="22"/>
      <c r="Q49" s="22"/>
      <c r="R49" s="22"/>
      <c r="S49" s="22"/>
      <c r="T49" s="22"/>
      <c r="U49" s="22"/>
      <c r="V49" s="22"/>
      <c r="W49" s="22"/>
      <c r="X49" s="22"/>
      <c r="Y49" s="22"/>
      <c r="Z49" s="22"/>
      <c r="AA49" s="22"/>
      <c r="AB49" s="22"/>
      <c r="AC49" s="22"/>
      <c r="AD49" s="22"/>
      <c r="AE49" s="22"/>
    </row>
    <row r="50" spans="2:31">
      <c r="B50" s="20"/>
      <c r="C50" s="25" t="s">
        <v>1041</v>
      </c>
      <c r="D50" s="18" t="s">
        <v>24</v>
      </c>
      <c r="E50" s="23"/>
      <c r="F50" s="23"/>
      <c r="G50" s="23">
        <v>16</v>
      </c>
      <c r="H50" s="23">
        <v>14.882016</v>
      </c>
      <c r="I50" s="23">
        <f>'表2-折旧摊销表'!J77+'表2-折旧摊销表'!J125</f>
        <v>269.1379152</v>
      </c>
      <c r="J50" s="23">
        <f>'表2-折旧摊销表'!K77+'表2-折旧摊销表'!K125</f>
        <v>1527.6497136</v>
      </c>
      <c r="K50" s="23">
        <f>'表2-折旧摊销表'!L77+'表2-折旧摊销表'!L125</f>
        <v>1606.161512</v>
      </c>
      <c r="L50" s="23">
        <f>'表2-折旧摊销表'!M77+'表2-折旧摊销表'!M125</f>
        <v>1504.6733104</v>
      </c>
      <c r="M50" s="23">
        <f>'表2-折旧摊销表'!N77+'表2-折旧摊销表'!N125</f>
        <v>1403.1851088</v>
      </c>
      <c r="N50" s="23">
        <f>'表2-折旧摊销表'!O77+'表2-折旧摊销表'!O125</f>
        <v>1301.6969072</v>
      </c>
      <c r="O50" s="23">
        <f>'表2-折旧摊销表'!P77+'表2-折旧摊销表'!P125</f>
        <v>1200.2087056</v>
      </c>
      <c r="P50" s="23">
        <f>'表2-折旧摊销表'!Q77+'表2-折旧摊销表'!Q125</f>
        <v>1098.720504</v>
      </c>
      <c r="Q50" s="23">
        <f>'表2-折旧摊销表'!R77+'表2-折旧摊销表'!R125</f>
        <v>997.2323024</v>
      </c>
      <c r="R50" s="23">
        <f>'表2-折旧摊销表'!S77+'表2-折旧摊销表'!S125</f>
        <v>895.7441008</v>
      </c>
      <c r="S50" s="23">
        <f>'表2-折旧摊销表'!T77+'表2-折旧摊销表'!T125</f>
        <v>795</v>
      </c>
      <c r="T50" s="23">
        <f>'表2-折旧摊销表'!U77+'表2-折旧摊销表'!U125</f>
        <v>695</v>
      </c>
      <c r="U50" s="23">
        <f>'表2-折旧摊销表'!V77+'表2-折旧摊销表'!V125</f>
        <v>595</v>
      </c>
      <c r="V50" s="23">
        <f>'表2-折旧摊销表'!W77+'表2-折旧摊销表'!W125</f>
        <v>495</v>
      </c>
      <c r="W50" s="23">
        <f>'表2-折旧摊销表'!X77+'表2-折旧摊销表'!X125</f>
        <v>395</v>
      </c>
      <c r="X50" s="23">
        <f>'表2-折旧摊销表'!Y77+'表2-折旧摊销表'!Y125</f>
        <v>295</v>
      </c>
      <c r="Y50" s="23">
        <f>'表2-折旧摊销表'!Z77+'表2-折旧摊销表'!Z125</f>
        <v>195</v>
      </c>
      <c r="Z50" s="23">
        <f>'表2-折旧摊销表'!AA77+'表2-折旧摊销表'!AA125</f>
        <v>95</v>
      </c>
      <c r="AA50" s="23">
        <f>'表2-折旧摊销表'!AB77+'表2-折旧摊销表'!AB125</f>
        <v>10</v>
      </c>
      <c r="AB50" s="23">
        <f>'表2-折旧摊销表'!AC77+'表2-折旧摊销表'!AC125</f>
        <v>0</v>
      </c>
      <c r="AC50" s="23">
        <f>'表2-折旧摊销表'!AD77+'表2-折旧摊销表'!AD125</f>
        <v>0</v>
      </c>
      <c r="AD50" s="23">
        <f>'表2-折旧摊销表'!AE77+'表2-折旧摊销表'!AE125</f>
        <v>0</v>
      </c>
      <c r="AE50" s="23">
        <f>'表2-折旧摊销表'!AF77+'表2-折旧摊销表'!AF125</f>
        <v>0</v>
      </c>
    </row>
    <row r="51" spans="2:31">
      <c r="B51" s="20"/>
      <c r="C51" s="25" t="s">
        <v>1042</v>
      </c>
      <c r="D51" s="18" t="s">
        <v>24</v>
      </c>
      <c r="E51" s="23"/>
      <c r="F51" s="23"/>
      <c r="G51" s="23"/>
      <c r="H51" s="23"/>
      <c r="I51" s="22"/>
      <c r="J51" s="22"/>
      <c r="K51" s="22"/>
      <c r="L51" s="22"/>
      <c r="M51" s="22"/>
      <c r="N51" s="22"/>
      <c r="O51" s="22"/>
      <c r="P51" s="22"/>
      <c r="Q51" s="22"/>
      <c r="R51" s="22"/>
      <c r="S51" s="22"/>
      <c r="T51" s="22"/>
      <c r="U51" s="22"/>
      <c r="V51" s="22"/>
      <c r="W51" s="22"/>
      <c r="X51" s="22"/>
      <c r="Y51" s="22"/>
      <c r="Z51" s="22"/>
      <c r="AA51" s="22"/>
      <c r="AB51" s="22"/>
      <c r="AC51" s="22"/>
      <c r="AD51" s="22"/>
      <c r="AE51" s="22"/>
    </row>
    <row r="52" spans="2:31">
      <c r="B52" s="20"/>
      <c r="C52" s="25" t="s">
        <v>1043</v>
      </c>
      <c r="D52" s="18" t="s">
        <v>24</v>
      </c>
      <c r="E52" s="23"/>
      <c r="F52" s="23"/>
      <c r="G52" s="23"/>
      <c r="H52" s="23"/>
      <c r="I52" s="22"/>
      <c r="J52" s="22"/>
      <c r="K52" s="22"/>
      <c r="L52" s="22"/>
      <c r="M52" s="22"/>
      <c r="N52" s="22"/>
      <c r="O52" s="22"/>
      <c r="P52" s="22"/>
      <c r="Q52" s="22"/>
      <c r="R52" s="22"/>
      <c r="S52" s="22"/>
      <c r="T52" s="22"/>
      <c r="U52" s="22"/>
      <c r="V52" s="22"/>
      <c r="W52" s="22"/>
      <c r="X52" s="22"/>
      <c r="Y52" s="22"/>
      <c r="Z52" s="22"/>
      <c r="AA52" s="22"/>
      <c r="AB52" s="22"/>
      <c r="AC52" s="22"/>
      <c r="AD52" s="22"/>
      <c r="AE52" s="22"/>
    </row>
    <row r="53" spans="2:31">
      <c r="B53" s="20"/>
      <c r="C53" s="25" t="s">
        <v>1044</v>
      </c>
      <c r="D53" s="18" t="s">
        <v>24</v>
      </c>
      <c r="E53" s="23"/>
      <c r="F53" s="23"/>
      <c r="G53" s="23"/>
      <c r="H53" s="23"/>
      <c r="I53" s="23">
        <f>'表2-折旧摊销表'!J67+'表2-折旧摊销表'!J122</f>
        <v>0</v>
      </c>
      <c r="J53" s="23">
        <f>'表2-折旧摊销表'!K67+'表2-折旧摊销表'!K122</f>
        <v>0</v>
      </c>
      <c r="K53" s="23">
        <f>'表2-折旧摊销表'!L67+'表2-折旧摊销表'!L122</f>
        <v>0</v>
      </c>
      <c r="L53" s="23">
        <f>'表2-折旧摊销表'!M67+'表2-折旧摊销表'!M122</f>
        <v>366.97247706422</v>
      </c>
      <c r="M53" s="23">
        <f>'表2-折旧摊销表'!N67+'表2-折旧摊销表'!N122</f>
        <v>275.229357798165</v>
      </c>
      <c r="N53" s="23">
        <f>'表2-折旧摊销表'!O67+'表2-折旧摊销表'!O122</f>
        <v>183.48623853211</v>
      </c>
      <c r="O53" s="23">
        <f>'表2-折旧摊销表'!P67+'表2-折旧摊销表'!P122</f>
        <v>91.7431192660551</v>
      </c>
      <c r="P53" s="23">
        <f>'表2-折旧摊销表'!Q67+'表2-折旧摊销表'!Q122</f>
        <v>0</v>
      </c>
      <c r="Q53" s="23">
        <f>'表2-折旧摊销表'!R67+'表2-折旧摊销表'!R122</f>
        <v>366.97247706422</v>
      </c>
      <c r="R53" s="23">
        <f>'表2-折旧摊销表'!S67+'表2-折旧摊销表'!S122</f>
        <v>275.229357798165</v>
      </c>
      <c r="S53" s="23">
        <f>'表2-折旧摊销表'!T67+'表2-折旧摊销表'!T122</f>
        <v>183.48623853211</v>
      </c>
      <c r="T53" s="23">
        <f>'表2-折旧摊销表'!U67+'表2-折旧摊销表'!U122</f>
        <v>91.7431192660551</v>
      </c>
      <c r="U53" s="23">
        <f>'表2-折旧摊销表'!V67+'表2-折旧摊销表'!V122</f>
        <v>0</v>
      </c>
      <c r="V53" s="23">
        <f>'表2-折旧摊销表'!W67+'表2-折旧摊销表'!W122</f>
        <v>366.97247706422</v>
      </c>
      <c r="W53" s="23">
        <f>'表2-折旧摊销表'!X67+'表2-折旧摊销表'!X122</f>
        <v>275.229357798165</v>
      </c>
      <c r="X53" s="23">
        <f>'表2-折旧摊销表'!Y67+'表2-折旧摊销表'!Y122</f>
        <v>183.48623853211</v>
      </c>
      <c r="Y53" s="23">
        <f>'表2-折旧摊销表'!Z67+'表2-折旧摊销表'!Z122</f>
        <v>91.7431192660551</v>
      </c>
      <c r="Z53" s="23">
        <f>'表2-折旧摊销表'!AA67+'表2-折旧摊销表'!AA122</f>
        <v>0</v>
      </c>
      <c r="AA53" s="23">
        <f>'表2-折旧摊销表'!AB67+'表2-折旧摊销表'!AB122</f>
        <v>366.97247706422</v>
      </c>
      <c r="AB53" s="23">
        <f>'表2-折旧摊销表'!AC67+'表2-折旧摊销表'!AC122</f>
        <v>275.229357798165</v>
      </c>
      <c r="AC53" s="23">
        <f>'表2-折旧摊销表'!AD67+'表2-折旧摊销表'!AD122</f>
        <v>183.48623853211</v>
      </c>
      <c r="AD53" s="23">
        <f>'表2-折旧摊销表'!AE67+'表2-折旧摊销表'!AE122</f>
        <v>91.7431192660551</v>
      </c>
      <c r="AE53" s="23">
        <f>'表2-折旧摊销表'!AF67+'表2-折旧摊销表'!AF122</f>
        <v>0</v>
      </c>
    </row>
    <row r="54" spans="2:31">
      <c r="B54" s="20"/>
      <c r="C54" s="25" t="s">
        <v>963</v>
      </c>
      <c r="D54" s="18" t="s">
        <v>24</v>
      </c>
      <c r="E54" s="23"/>
      <c r="F54" s="23"/>
      <c r="G54" s="23"/>
      <c r="H54" s="23">
        <v>27.772789</v>
      </c>
      <c r="I54" s="23">
        <f>H54</f>
        <v>27.772789</v>
      </c>
      <c r="J54" s="23">
        <f t="shared" ref="J54:AE54" si="12">I54</f>
        <v>27.772789</v>
      </c>
      <c r="K54" s="23">
        <f t="shared" si="12"/>
        <v>27.772789</v>
      </c>
      <c r="L54" s="23">
        <f t="shared" si="12"/>
        <v>27.772789</v>
      </c>
      <c r="M54" s="23">
        <f t="shared" si="12"/>
        <v>27.772789</v>
      </c>
      <c r="N54" s="23">
        <f t="shared" si="12"/>
        <v>27.772789</v>
      </c>
      <c r="O54" s="23">
        <f t="shared" si="12"/>
        <v>27.772789</v>
      </c>
      <c r="P54" s="23">
        <f t="shared" si="12"/>
        <v>27.772789</v>
      </c>
      <c r="Q54" s="23">
        <f t="shared" si="12"/>
        <v>27.772789</v>
      </c>
      <c r="R54" s="23">
        <f t="shared" si="12"/>
        <v>27.772789</v>
      </c>
      <c r="S54" s="23">
        <f t="shared" si="12"/>
        <v>27.772789</v>
      </c>
      <c r="T54" s="23">
        <f t="shared" si="12"/>
        <v>27.772789</v>
      </c>
      <c r="U54" s="23">
        <f t="shared" si="12"/>
        <v>27.772789</v>
      </c>
      <c r="V54" s="23">
        <f t="shared" si="12"/>
        <v>27.772789</v>
      </c>
      <c r="W54" s="23">
        <f t="shared" si="12"/>
        <v>27.772789</v>
      </c>
      <c r="X54" s="23">
        <f t="shared" si="12"/>
        <v>27.772789</v>
      </c>
      <c r="Y54" s="23">
        <f t="shared" si="12"/>
        <v>27.772789</v>
      </c>
      <c r="Z54" s="23">
        <f t="shared" si="12"/>
        <v>27.772789</v>
      </c>
      <c r="AA54" s="23">
        <f t="shared" si="12"/>
        <v>27.772789</v>
      </c>
      <c r="AB54" s="23">
        <f t="shared" si="12"/>
        <v>27.772789</v>
      </c>
      <c r="AC54" s="23">
        <f t="shared" si="12"/>
        <v>27.772789</v>
      </c>
      <c r="AD54" s="23">
        <f t="shared" si="12"/>
        <v>27.772789</v>
      </c>
      <c r="AE54" s="23">
        <f t="shared" si="12"/>
        <v>27.772789</v>
      </c>
    </row>
    <row r="55" spans="2:31">
      <c r="B55" s="20"/>
      <c r="C55" s="25" t="s">
        <v>964</v>
      </c>
      <c r="D55" s="18" t="s">
        <v>24</v>
      </c>
      <c r="E55" s="23"/>
      <c r="F55" s="23"/>
      <c r="G55" s="23"/>
      <c r="H55" s="23">
        <v>4.81521</v>
      </c>
      <c r="I55" s="23">
        <f>H55</f>
        <v>4.81521</v>
      </c>
      <c r="J55" s="23">
        <f t="shared" ref="J55:AE55" si="13">I55</f>
        <v>4.81521</v>
      </c>
      <c r="K55" s="23">
        <f t="shared" si="13"/>
        <v>4.81521</v>
      </c>
      <c r="L55" s="23">
        <f t="shared" si="13"/>
        <v>4.81521</v>
      </c>
      <c r="M55" s="23">
        <f t="shared" si="13"/>
        <v>4.81521</v>
      </c>
      <c r="N55" s="23">
        <f t="shared" si="13"/>
        <v>4.81521</v>
      </c>
      <c r="O55" s="23">
        <f t="shared" si="13"/>
        <v>4.81521</v>
      </c>
      <c r="P55" s="23">
        <f t="shared" si="13"/>
        <v>4.81521</v>
      </c>
      <c r="Q55" s="23">
        <f t="shared" si="13"/>
        <v>4.81521</v>
      </c>
      <c r="R55" s="23">
        <f t="shared" si="13"/>
        <v>4.81521</v>
      </c>
      <c r="S55" s="23">
        <f t="shared" si="13"/>
        <v>4.81521</v>
      </c>
      <c r="T55" s="23">
        <f t="shared" si="13"/>
        <v>4.81521</v>
      </c>
      <c r="U55" s="23">
        <f t="shared" si="13"/>
        <v>4.81521</v>
      </c>
      <c r="V55" s="23">
        <f t="shared" si="13"/>
        <v>4.81521</v>
      </c>
      <c r="W55" s="23">
        <f t="shared" si="13"/>
        <v>4.81521</v>
      </c>
      <c r="X55" s="23">
        <f t="shared" si="13"/>
        <v>4.81521</v>
      </c>
      <c r="Y55" s="23">
        <f t="shared" si="13"/>
        <v>4.81521</v>
      </c>
      <c r="Z55" s="23">
        <f t="shared" si="13"/>
        <v>4.81521</v>
      </c>
      <c r="AA55" s="23">
        <f t="shared" si="13"/>
        <v>4.81521</v>
      </c>
      <c r="AB55" s="23">
        <f t="shared" si="13"/>
        <v>4.81521</v>
      </c>
      <c r="AC55" s="23">
        <f t="shared" si="13"/>
        <v>4.81521</v>
      </c>
      <c r="AD55" s="23">
        <f t="shared" si="13"/>
        <v>4.81521</v>
      </c>
      <c r="AE55" s="23">
        <f t="shared" si="13"/>
        <v>4.81521</v>
      </c>
    </row>
    <row r="56" spans="2:31">
      <c r="B56" s="20"/>
      <c r="C56" s="76" t="s">
        <v>1045</v>
      </c>
      <c r="D56" s="18" t="s">
        <v>24</v>
      </c>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row>
    <row r="57" s="2" customFormat="1" ht="23.4" customHeight="1" spans="2:31">
      <c r="B57" s="68">
        <v>2</v>
      </c>
      <c r="C57" s="69" t="s">
        <v>1046</v>
      </c>
      <c r="D57" s="70" t="s">
        <v>24</v>
      </c>
      <c r="E57" s="71">
        <f>E58+E86</f>
        <v>0</v>
      </c>
      <c r="F57" s="71">
        <f>F58+F86</f>
        <v>0</v>
      </c>
      <c r="G57" s="71">
        <f>G58+G86</f>
        <v>0</v>
      </c>
      <c r="H57" s="71">
        <f>H58+H86</f>
        <v>38762.5414</v>
      </c>
      <c r="I57" s="71">
        <f ca="1" t="shared" ref="I57:N57" si="14">I58+I86</f>
        <v>69294.745954802</v>
      </c>
      <c r="J57" s="71">
        <f ca="1" t="shared" si="14"/>
        <v>139936.533667493</v>
      </c>
      <c r="K57" s="71">
        <f ca="1" t="shared" si="14"/>
        <v>132194.029809573</v>
      </c>
      <c r="L57" s="71">
        <f ca="1" t="shared" si="14"/>
        <v>123727.261457762</v>
      </c>
      <c r="M57" s="71">
        <f ca="1" t="shared" si="14"/>
        <v>115555.629248428</v>
      </c>
      <c r="N57" s="71">
        <f ca="1" t="shared" si="14"/>
        <v>107144.846854092</v>
      </c>
      <c r="O57" s="71">
        <f ca="1" t="shared" ref="O57:AE57" si="15">O58+O86</f>
        <v>98484.6308167992</v>
      </c>
      <c r="P57" s="71">
        <f ca="1" t="shared" si="15"/>
        <v>89564.2554899031</v>
      </c>
      <c r="Q57" s="71">
        <f ca="1" t="shared" si="15"/>
        <v>80372.5340239504</v>
      </c>
      <c r="R57" s="71">
        <f ca="1" t="shared" si="15"/>
        <v>70897.7985349619</v>
      </c>
      <c r="S57" s="71">
        <f ca="1" t="shared" si="15"/>
        <v>61127.8794199468</v>
      </c>
      <c r="T57" s="71">
        <f ca="1" t="shared" si="15"/>
        <v>53650.083782986</v>
      </c>
      <c r="U57" s="71">
        <f ca="1" t="shared" si="15"/>
        <v>45851.1729336359</v>
      </c>
      <c r="V57" s="71">
        <f ca="1" t="shared" si="15"/>
        <v>37717.3389177638</v>
      </c>
      <c r="W57" s="71">
        <f ca="1" t="shared" si="15"/>
        <v>29234.1800392092</v>
      </c>
      <c r="X57" s="71">
        <f ca="1" t="shared" si="15"/>
        <v>20386.6753288767</v>
      </c>
      <c r="Y57" s="71">
        <f ca="1" t="shared" si="15"/>
        <v>11159.157916</v>
      </c>
      <c r="Z57" s="71">
        <f ca="1" t="shared" si="15"/>
        <v>11149.157916</v>
      </c>
      <c r="AA57" s="71">
        <f ca="1" t="shared" si="15"/>
        <v>29.9999999999842</v>
      </c>
      <c r="AB57" s="71">
        <f ca="1" t="shared" si="15"/>
        <v>19.9999999999835</v>
      </c>
      <c r="AC57" s="71">
        <f ca="1" t="shared" si="15"/>
        <v>9.99999999998283</v>
      </c>
      <c r="AD57" s="71">
        <f ca="1" t="shared" si="15"/>
        <v>-1.79625203600153e-11</v>
      </c>
      <c r="AE57" s="71">
        <f ca="1" t="shared" si="15"/>
        <v>-1.81545483189524e-11</v>
      </c>
    </row>
    <row r="58" spans="2:31">
      <c r="B58" s="15">
        <v>2.1</v>
      </c>
      <c r="C58" s="16" t="s">
        <v>510</v>
      </c>
      <c r="D58" s="18" t="s">
        <v>24</v>
      </c>
      <c r="E58" s="17">
        <f t="shared" ref="E58:M58" si="16">SUM(E59:E73)+E77+E79+SUM(E81:E85)</f>
        <v>0</v>
      </c>
      <c r="F58" s="17">
        <f t="shared" si="16"/>
        <v>0</v>
      </c>
      <c r="G58" s="17">
        <f t="shared" si="16"/>
        <v>0</v>
      </c>
      <c r="H58" s="17">
        <f t="shared" si="16"/>
        <v>12762.5414</v>
      </c>
      <c r="I58" s="17">
        <f ca="1" t="shared" si="16"/>
        <v>14905.902968</v>
      </c>
      <c r="J58" s="17">
        <f ca="1" t="shared" si="16"/>
        <v>20426.0886019203</v>
      </c>
      <c r="K58" s="17">
        <f ca="1" t="shared" si="16"/>
        <v>20625.9262678108</v>
      </c>
      <c r="L58" s="17">
        <f ca="1" t="shared" si="16"/>
        <v>19830.7901253347</v>
      </c>
      <c r="M58" s="17">
        <f ca="1" t="shared" si="16"/>
        <v>20069.9403103361</v>
      </c>
      <c r="N58" s="17">
        <f ca="1" t="shared" ref="N58:AE58" si="17">SUM(N59:N73)+N77+N79+SUM(N81:N85)</f>
        <v>20319.3739532925</v>
      </c>
      <c r="O58" s="17">
        <f ca="1" t="shared" si="17"/>
        <v>20579.5332428961</v>
      </c>
      <c r="P58" s="17">
        <f ca="1" t="shared" si="17"/>
        <v>20850.8793819526</v>
      </c>
      <c r="Q58" s="17">
        <f ca="1" t="shared" si="17"/>
        <v>21133.8934049886</v>
      </c>
      <c r="R58" s="17">
        <f ca="1" t="shared" si="17"/>
        <v>21429.0770310151</v>
      </c>
      <c r="S58" s="17">
        <f ca="1" t="shared" si="17"/>
        <v>19136.9535529608</v>
      </c>
      <c r="T58" s="17">
        <f ca="1" t="shared" si="17"/>
        <v>19458.0687653501</v>
      </c>
      <c r="U58" s="17">
        <f ca="1" t="shared" si="17"/>
        <v>19792.9919318721</v>
      </c>
      <c r="V58" s="17">
        <f ca="1" t="shared" si="17"/>
        <v>20142.3167945546</v>
      </c>
      <c r="W58" s="17">
        <f ca="1" t="shared" si="17"/>
        <v>20506.6626263325</v>
      </c>
      <c r="X58" s="17">
        <f ca="1" t="shared" si="17"/>
        <v>20886.6753288768</v>
      </c>
      <c r="Y58" s="17">
        <f ca="1" t="shared" si="17"/>
        <v>11669.157916</v>
      </c>
      <c r="Z58" s="17">
        <f ca="1" t="shared" si="17"/>
        <v>22778.315832</v>
      </c>
      <c r="AA58" s="17">
        <f ca="1" t="shared" si="17"/>
        <v>560.000000000001</v>
      </c>
      <c r="AB58" s="17">
        <f ca="1" t="shared" si="17"/>
        <v>560.000000000001</v>
      </c>
      <c r="AC58" s="17">
        <f ca="1" t="shared" si="17"/>
        <v>560.000000000001</v>
      </c>
      <c r="AD58" s="17">
        <f ca="1" t="shared" si="17"/>
        <v>560</v>
      </c>
      <c r="AE58" s="17">
        <f t="shared" si="17"/>
        <v>0</v>
      </c>
    </row>
    <row r="59" spans="2:31">
      <c r="B59" s="20"/>
      <c r="C59" s="25" t="s">
        <v>1047</v>
      </c>
      <c r="D59" s="18" t="s">
        <v>24</v>
      </c>
      <c r="E59" s="23"/>
      <c r="F59" s="23"/>
      <c r="G59" s="23"/>
      <c r="H59" s="23">
        <v>11109.157916</v>
      </c>
      <c r="I59" s="22">
        <f>'表1-资金筹措及还本付息表'!J85</f>
        <v>11609.157916</v>
      </c>
      <c r="J59" s="22">
        <f>'表1-资金筹措及还本付息表'!K85</f>
        <v>11609.157916</v>
      </c>
      <c r="K59" s="22">
        <f>'表1-资金筹措及还本付息表'!L85</f>
        <v>11609.157916</v>
      </c>
      <c r="L59" s="22">
        <f>'表1-资金筹措及还本付息表'!M85</f>
        <v>11109.157916</v>
      </c>
      <c r="M59" s="22">
        <f>'表1-资金筹措及还本付息表'!N85</f>
        <v>11109.157916</v>
      </c>
      <c r="N59" s="22">
        <f>'表1-资金筹措及还本付息表'!O85</f>
        <v>11109.157916</v>
      </c>
      <c r="O59" s="22">
        <f>'表1-资金筹措及还本付息表'!P85</f>
        <v>11109.157916</v>
      </c>
      <c r="P59" s="22">
        <f>'表1-资金筹措及还本付息表'!Q85</f>
        <v>11109.157916</v>
      </c>
      <c r="Q59" s="22">
        <f>'表1-资金筹措及还本付息表'!R85</f>
        <v>11109.157916</v>
      </c>
      <c r="R59" s="22">
        <f>'表1-资金筹措及还本付息表'!S85</f>
        <v>11109.157916</v>
      </c>
      <c r="S59" s="22">
        <f>'表1-资金筹措及还本付息表'!T85</f>
        <v>11109.157916</v>
      </c>
      <c r="T59" s="22">
        <f>'表1-资金筹措及还本付息表'!U85</f>
        <v>11109.157916</v>
      </c>
      <c r="U59" s="22">
        <f>'表1-资金筹措及还本付息表'!V85</f>
        <v>11109.157916</v>
      </c>
      <c r="V59" s="22">
        <f>'表1-资金筹措及还本付息表'!W85</f>
        <v>11109.157916</v>
      </c>
      <c r="W59" s="22">
        <f>'表1-资金筹措及还本付息表'!X85</f>
        <v>11109.157916</v>
      </c>
      <c r="X59" s="22">
        <f>'表1-资金筹措及还本付息表'!Y85</f>
        <v>11109.157916</v>
      </c>
      <c r="Y59" s="22">
        <f>'表1-资金筹措及还本付息表'!Z85</f>
        <v>11109.157916</v>
      </c>
      <c r="Z59" s="22">
        <f>'表1-资金筹措及还本付息表'!AA85</f>
        <v>11109.157916</v>
      </c>
      <c r="AA59" s="22">
        <f>'表1-资金筹措及还本付息表'!AB85</f>
        <v>0</v>
      </c>
      <c r="AB59" s="22">
        <f>'表1-资金筹措及还本付息表'!AC85</f>
        <v>0</v>
      </c>
      <c r="AC59" s="22">
        <f>'表1-资金筹措及还本付息表'!AD85</f>
        <v>0</v>
      </c>
      <c r="AD59" s="22">
        <f>'表1-资金筹措及还本付息表'!AE85</f>
        <v>0</v>
      </c>
      <c r="AE59" s="22">
        <f>'表1-资金筹措及还本付息表'!AF85</f>
        <v>0</v>
      </c>
    </row>
    <row r="60" spans="2:31">
      <c r="B60" s="20"/>
      <c r="C60" s="25" t="s">
        <v>1048</v>
      </c>
      <c r="D60" s="18" t="s">
        <v>24</v>
      </c>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row>
    <row r="61" spans="2:31">
      <c r="B61" s="20"/>
      <c r="C61" s="25" t="s">
        <v>1049</v>
      </c>
      <c r="D61" s="18" t="s">
        <v>24</v>
      </c>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row>
    <row r="62" spans="2:31">
      <c r="B62" s="20"/>
      <c r="C62" s="25" t="s">
        <v>965</v>
      </c>
      <c r="D62" s="18" t="s">
        <v>24</v>
      </c>
      <c r="E62" s="22"/>
      <c r="F62" s="22"/>
      <c r="G62" s="22"/>
      <c r="H62" s="22"/>
      <c r="I62" s="79">
        <f t="shared" ref="I62:AE62" si="18">H62</f>
        <v>0</v>
      </c>
      <c r="J62" s="79">
        <f t="shared" si="18"/>
        <v>0</v>
      </c>
      <c r="K62" s="79">
        <f t="shared" si="18"/>
        <v>0</v>
      </c>
      <c r="L62" s="79">
        <f t="shared" si="18"/>
        <v>0</v>
      </c>
      <c r="M62" s="79">
        <f t="shared" si="18"/>
        <v>0</v>
      </c>
      <c r="N62" s="79">
        <f t="shared" si="18"/>
        <v>0</v>
      </c>
      <c r="O62" s="79">
        <f t="shared" si="18"/>
        <v>0</v>
      </c>
      <c r="P62" s="79">
        <f t="shared" si="18"/>
        <v>0</v>
      </c>
      <c r="Q62" s="79">
        <f t="shared" si="18"/>
        <v>0</v>
      </c>
      <c r="R62" s="79">
        <f t="shared" si="18"/>
        <v>0</v>
      </c>
      <c r="S62" s="79">
        <f t="shared" si="18"/>
        <v>0</v>
      </c>
      <c r="T62" s="79">
        <f t="shared" si="18"/>
        <v>0</v>
      </c>
      <c r="U62" s="79">
        <f t="shared" si="18"/>
        <v>0</v>
      </c>
      <c r="V62" s="79">
        <f t="shared" si="18"/>
        <v>0</v>
      </c>
      <c r="W62" s="79">
        <f t="shared" si="18"/>
        <v>0</v>
      </c>
      <c r="X62" s="79">
        <f t="shared" si="18"/>
        <v>0</v>
      </c>
      <c r="Y62" s="79">
        <f t="shared" si="18"/>
        <v>0</v>
      </c>
      <c r="Z62" s="79">
        <f t="shared" si="18"/>
        <v>0</v>
      </c>
      <c r="AA62" s="79">
        <f t="shared" si="18"/>
        <v>0</v>
      </c>
      <c r="AB62" s="79">
        <f t="shared" si="18"/>
        <v>0</v>
      </c>
      <c r="AC62" s="79">
        <f t="shared" si="18"/>
        <v>0</v>
      </c>
      <c r="AD62" s="79">
        <f t="shared" si="18"/>
        <v>0</v>
      </c>
      <c r="AE62" s="79">
        <f t="shared" si="18"/>
        <v>0</v>
      </c>
    </row>
    <row r="63" spans="2:31">
      <c r="B63" s="20"/>
      <c r="C63" s="25" t="s">
        <v>1050</v>
      </c>
      <c r="D63" s="18" t="s">
        <v>24</v>
      </c>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row>
    <row r="64" spans="2:31">
      <c r="B64" s="20"/>
      <c r="C64" s="25" t="s">
        <v>966</v>
      </c>
      <c r="D64" s="18" t="s">
        <v>24</v>
      </c>
      <c r="E64" s="22"/>
      <c r="F64" s="22"/>
      <c r="G64" s="22"/>
      <c r="H64" s="22"/>
      <c r="I64" s="79">
        <f t="shared" ref="I64:AE64" si="19">H64</f>
        <v>0</v>
      </c>
      <c r="J64" s="79">
        <f t="shared" si="19"/>
        <v>0</v>
      </c>
      <c r="K64" s="79">
        <f t="shared" si="19"/>
        <v>0</v>
      </c>
      <c r="L64" s="79">
        <f t="shared" si="19"/>
        <v>0</v>
      </c>
      <c r="M64" s="79">
        <f t="shared" si="19"/>
        <v>0</v>
      </c>
      <c r="N64" s="79">
        <f t="shared" si="19"/>
        <v>0</v>
      </c>
      <c r="O64" s="79">
        <f t="shared" si="19"/>
        <v>0</v>
      </c>
      <c r="P64" s="79">
        <f t="shared" si="19"/>
        <v>0</v>
      </c>
      <c r="Q64" s="79">
        <f t="shared" si="19"/>
        <v>0</v>
      </c>
      <c r="R64" s="79">
        <f t="shared" si="19"/>
        <v>0</v>
      </c>
      <c r="S64" s="79">
        <f t="shared" si="19"/>
        <v>0</v>
      </c>
      <c r="T64" s="79">
        <f t="shared" si="19"/>
        <v>0</v>
      </c>
      <c r="U64" s="79">
        <f t="shared" si="19"/>
        <v>0</v>
      </c>
      <c r="V64" s="79">
        <f t="shared" si="19"/>
        <v>0</v>
      </c>
      <c r="W64" s="79">
        <f t="shared" si="19"/>
        <v>0</v>
      </c>
      <c r="X64" s="79">
        <f t="shared" si="19"/>
        <v>0</v>
      </c>
      <c r="Y64" s="79">
        <f t="shared" si="19"/>
        <v>0</v>
      </c>
      <c r="Z64" s="79">
        <f t="shared" si="19"/>
        <v>0</v>
      </c>
      <c r="AA64" s="79">
        <f t="shared" si="19"/>
        <v>0</v>
      </c>
      <c r="AB64" s="79">
        <f t="shared" si="19"/>
        <v>0</v>
      </c>
      <c r="AC64" s="79">
        <f t="shared" si="19"/>
        <v>0</v>
      </c>
      <c r="AD64" s="79">
        <f t="shared" si="19"/>
        <v>0</v>
      </c>
      <c r="AE64" s="79">
        <f t="shared" si="19"/>
        <v>0</v>
      </c>
    </row>
    <row r="65" spans="2:31">
      <c r="B65" s="20"/>
      <c r="C65" s="25" t="s">
        <v>967</v>
      </c>
      <c r="D65" s="18" t="s">
        <v>24</v>
      </c>
      <c r="E65" s="22"/>
      <c r="F65" s="22"/>
      <c r="G65" s="22"/>
      <c r="H65" s="22">
        <v>0</v>
      </c>
      <c r="I65" s="80">
        <f>IF(参数输入表!$I$721="手动输入",基准日往来账处理!J38,基准日往来账处理!J116)+折现率、非经营、长投计算表!$E$43</f>
        <v>0</v>
      </c>
      <c r="J65" s="80">
        <f>IF(参数输入表!$I$721="手动输入",基准日往来账处理!K38,基准日往来账处理!K116)+折现率、非经营、长投计算表!$E$43</f>
        <v>0</v>
      </c>
      <c r="K65" s="80">
        <f>IF(参数输入表!$I$721="手动输入",基准日往来账处理!L38,基准日往来账处理!L116)+折现率、非经营、长投计算表!$E$43</f>
        <v>0</v>
      </c>
      <c r="L65" s="80">
        <f>IF(参数输入表!$I$721="手动输入",基准日往来账处理!M38,基准日往来账处理!M116)+折现率、非经营、长投计算表!$E$43</f>
        <v>0</v>
      </c>
      <c r="M65" s="80">
        <f>IF(参数输入表!$I$721="手动输入",基准日往来账处理!N38,基准日往来账处理!N116)+折现率、非经营、长投计算表!$E$43</f>
        <v>0</v>
      </c>
      <c r="N65" s="80">
        <f>IF(参数输入表!$I$721="手动输入",基准日往来账处理!O38,基准日往来账处理!O116)+折现率、非经营、长投计算表!$E$43</f>
        <v>0</v>
      </c>
      <c r="O65" s="80">
        <f>IF(参数输入表!$I$721="手动输入",基准日往来账处理!P38,基准日往来账处理!P116)+折现率、非经营、长投计算表!$E$43</f>
        <v>0</v>
      </c>
      <c r="P65" s="80">
        <f>IF(参数输入表!$I$721="手动输入",基准日往来账处理!Q38,基准日往来账处理!Q116)+折现率、非经营、长投计算表!$E$43</f>
        <v>0</v>
      </c>
      <c r="Q65" s="80">
        <f>IF(参数输入表!$I$721="手动输入",基准日往来账处理!R38,基准日往来账处理!R116)+折现率、非经营、长投计算表!$E$43</f>
        <v>0</v>
      </c>
      <c r="R65" s="80">
        <f>IF(参数输入表!$I$721="手动输入",基准日往来账处理!S38,基准日往来账处理!S116)+折现率、非经营、长投计算表!$E$43</f>
        <v>0</v>
      </c>
      <c r="S65" s="80">
        <f>IF(参数输入表!$I$721="手动输入",基准日往来账处理!T38,基准日往来账处理!T116)+折现率、非经营、长投计算表!$E$43</f>
        <v>0</v>
      </c>
      <c r="T65" s="80">
        <f>IF(参数输入表!$I$721="手动输入",基准日往来账处理!U38,基准日往来账处理!U116)+折现率、非经营、长投计算表!$E$43</f>
        <v>0</v>
      </c>
      <c r="U65" s="80">
        <f>IF(参数输入表!$I$721="手动输入",基准日往来账处理!V38,基准日往来账处理!V116)+折现率、非经营、长投计算表!$E$43</f>
        <v>0</v>
      </c>
      <c r="V65" s="80">
        <f>IF(参数输入表!$I$721="手动输入",基准日往来账处理!W38,基准日往来账处理!W116)+折现率、非经营、长投计算表!$E$43</f>
        <v>0</v>
      </c>
      <c r="W65" s="80">
        <f>IF(参数输入表!$I$721="手动输入",基准日往来账处理!X38,基准日往来账处理!X116)+折现率、非经营、长投计算表!$E$43</f>
        <v>0</v>
      </c>
      <c r="X65" s="80">
        <f>IF(参数输入表!$I$721="手动输入",基准日往来账处理!Y38,基准日往来账处理!Y116)+折现率、非经营、长投计算表!$E$43</f>
        <v>0</v>
      </c>
      <c r="Y65" s="80">
        <f>IF(参数输入表!$I$721="手动输入",基准日往来账处理!Z38,基准日往来账处理!Z116)+折现率、非经营、长投计算表!$E$43</f>
        <v>0</v>
      </c>
      <c r="Z65" s="80">
        <f>IF(参数输入表!$I$721="手动输入",基准日往来账处理!AA38,基准日往来账处理!AA116)+折现率、非经营、长投计算表!$E$43</f>
        <v>0</v>
      </c>
      <c r="AA65" s="80">
        <f>IF(参数输入表!$I$721="手动输入",基准日往来账处理!AB38,基准日往来账处理!AB116)+折现率、非经营、长投计算表!$E$43</f>
        <v>0</v>
      </c>
      <c r="AB65" s="80">
        <f>IF(参数输入表!$I$721="手动输入",基准日往来账处理!AC38,基准日往来账处理!AC116)+折现率、非经营、长投计算表!$E$43</f>
        <v>0</v>
      </c>
      <c r="AC65" s="80">
        <f>IF(参数输入表!$I$721="手动输入",基准日往来账处理!AD38,基准日往来账处理!AD116)+折现率、非经营、长投计算表!$E$43</f>
        <v>0</v>
      </c>
      <c r="AD65" s="80">
        <f>IF(参数输入表!$I$721="手动输入",基准日往来账处理!AE38,基准日往来账处理!AE116)+折现率、非经营、长投计算表!$E$43</f>
        <v>0</v>
      </c>
      <c r="AE65" s="80">
        <f>IF(参数输入表!$I$721="手动输入",基准日往来账处理!AF38,基准日往来账处理!AF116)+折现率、非经营、长投计算表!$E$43</f>
        <v>0</v>
      </c>
    </row>
    <row r="66" spans="2:31">
      <c r="B66" s="20"/>
      <c r="C66" s="25" t="s">
        <v>968</v>
      </c>
      <c r="D66" s="18" t="s">
        <v>24</v>
      </c>
      <c r="E66" s="22"/>
      <c r="F66" s="22"/>
      <c r="G66" s="22"/>
      <c r="H66" s="22">
        <v>232.318224</v>
      </c>
      <c r="I66" s="80">
        <f>IF(参数输入表!$I$721="手动输入",基准日往来账处理!J42,基准日往来账处理!J120)+折现率、非经营、长投计算表!$E$44</f>
        <v>132.318224</v>
      </c>
      <c r="J66" s="80">
        <f>IF(参数输入表!$I$721="手动输入",基准日往来账处理!K42,基准日往来账处理!K120)+折现率、非经营、长投计算表!$E$44</f>
        <v>0</v>
      </c>
      <c r="K66" s="80">
        <f>IF(参数输入表!$I$721="手动输入",基准日往来账处理!L42,基准日往来账处理!L120)+折现率、非经营、长投计算表!$E$44</f>
        <v>0</v>
      </c>
      <c r="L66" s="80">
        <f>IF(参数输入表!$I$721="手动输入",基准日往来账处理!M42,基准日往来账处理!M120)+折现率、非经营、长投计算表!$E$44</f>
        <v>0</v>
      </c>
      <c r="M66" s="80">
        <f>IF(参数输入表!$I$721="手动输入",基准日往来账处理!N42,基准日往来账处理!N120)+折现率、非经营、长投计算表!$E$44</f>
        <v>0</v>
      </c>
      <c r="N66" s="80">
        <f>IF(参数输入表!$I$721="手动输入",基准日往来账处理!O42,基准日往来账处理!O120)+折现率、非经营、长投计算表!$E$44</f>
        <v>0</v>
      </c>
      <c r="O66" s="80">
        <f>IF(参数输入表!$I$721="手动输入",基准日往来账处理!P42,基准日往来账处理!P120)+折现率、非经营、长投计算表!$E$44</f>
        <v>0</v>
      </c>
      <c r="P66" s="80">
        <f>IF(参数输入表!$I$721="手动输入",基准日往来账处理!Q42,基准日往来账处理!Q120)+折现率、非经营、长投计算表!$E$44</f>
        <v>0</v>
      </c>
      <c r="Q66" s="80">
        <f>IF(参数输入表!$I$721="手动输入",基准日往来账处理!R42,基准日往来账处理!R120)+折现率、非经营、长投计算表!$E$44</f>
        <v>0</v>
      </c>
      <c r="R66" s="80">
        <f>IF(参数输入表!$I$721="手动输入",基准日往来账处理!S42,基准日往来账处理!S120)+折现率、非经营、长投计算表!$E$44</f>
        <v>0</v>
      </c>
      <c r="S66" s="80">
        <f>IF(参数输入表!$I$721="手动输入",基准日往来账处理!T42,基准日往来账处理!T120)+折现率、非经营、长投计算表!$E$44</f>
        <v>0</v>
      </c>
      <c r="T66" s="80">
        <f>IF(参数输入表!$I$721="手动输入",基准日往来账处理!U42,基准日往来账处理!U120)+折现率、非经营、长投计算表!$E$44</f>
        <v>0</v>
      </c>
      <c r="U66" s="80">
        <f>IF(参数输入表!$I$721="手动输入",基准日往来账处理!V42,基准日往来账处理!V120)+折现率、非经营、长投计算表!$E$44</f>
        <v>0</v>
      </c>
      <c r="V66" s="80">
        <f>IF(参数输入表!$I$721="手动输入",基准日往来账处理!W42,基准日往来账处理!W120)+折现率、非经营、长投计算表!$E$44</f>
        <v>0</v>
      </c>
      <c r="W66" s="80">
        <f>IF(参数输入表!$I$721="手动输入",基准日往来账处理!X42,基准日往来账处理!X120)+折现率、非经营、长投计算表!$E$44</f>
        <v>0</v>
      </c>
      <c r="X66" s="80">
        <f>IF(参数输入表!$I$721="手动输入",基准日往来账处理!Y42,基准日往来账处理!Y120)+折现率、非经营、长投计算表!$E$44</f>
        <v>0</v>
      </c>
      <c r="Y66" s="80">
        <f>IF(参数输入表!$I$721="手动输入",基准日往来账处理!Z42,基准日往来账处理!Z120)+折现率、非经营、长投计算表!$E$44</f>
        <v>0</v>
      </c>
      <c r="Z66" s="80">
        <f>IF(参数输入表!$I$721="手动输入",基准日往来账处理!AA42,基准日往来账处理!AA120)+折现率、非经营、长投计算表!$E$44</f>
        <v>0</v>
      </c>
      <c r="AA66" s="80">
        <f>IF(参数输入表!$I$721="手动输入",基准日往来账处理!AB42,基准日往来账处理!AB120)+折现率、非经营、长投计算表!$E$44</f>
        <v>0</v>
      </c>
      <c r="AB66" s="80">
        <f>IF(参数输入表!$I$721="手动输入",基准日往来账处理!AC42,基准日往来账处理!AC120)+折现率、非经营、长投计算表!$E$44</f>
        <v>0</v>
      </c>
      <c r="AC66" s="80">
        <f>IF(参数输入表!$I$721="手动输入",基准日往来账处理!AD42,基准日往来账处理!AD120)+折现率、非经营、长投计算表!$E$44</f>
        <v>0</v>
      </c>
      <c r="AD66" s="80">
        <f>IF(参数输入表!$I$721="手动输入",基准日往来账处理!AE42,基准日往来账处理!AE120)+折现率、非经营、长投计算表!$E$44</f>
        <v>0</v>
      </c>
      <c r="AE66" s="80">
        <f>IF(参数输入表!$I$721="手动输入",基准日往来账处理!AF42,基准日往来账处理!AF120)+折现率、非经营、长投计算表!$E$44</f>
        <v>0</v>
      </c>
    </row>
    <row r="67" spans="2:31">
      <c r="B67" s="20"/>
      <c r="C67" s="25" t="s">
        <v>969</v>
      </c>
      <c r="D67" s="18" t="s">
        <v>24</v>
      </c>
      <c r="E67" s="22"/>
      <c r="F67" s="22"/>
      <c r="G67" s="22"/>
      <c r="H67" s="22">
        <v>0</v>
      </c>
      <c r="I67" s="80">
        <f>IF(参数输入表!$I$721="手动输入",基准日往来账处理!J46,基准日往来账处理!J124)+折现率、非经营、长投计算表!$E$45</f>
        <v>0</v>
      </c>
      <c r="J67" s="80">
        <f>IF(参数输入表!$I$721="手动输入",基准日往来账处理!K46,基准日往来账处理!K124)+折现率、非经营、长投计算表!$E$45</f>
        <v>0</v>
      </c>
      <c r="K67" s="80">
        <f>IF(参数输入表!$I$721="手动输入",基准日往来账处理!L46,基准日往来账处理!L124)+折现率、非经营、长投计算表!$E$45</f>
        <v>0</v>
      </c>
      <c r="L67" s="80">
        <f>IF(参数输入表!$I$721="手动输入",基准日往来账处理!M46,基准日往来账处理!M124)+折现率、非经营、长投计算表!$E$45</f>
        <v>0</v>
      </c>
      <c r="M67" s="80">
        <f>IF(参数输入表!$I$721="手动输入",基准日往来账处理!N46,基准日往来账处理!N124)+折现率、非经营、长投计算表!$E$45</f>
        <v>0</v>
      </c>
      <c r="N67" s="80">
        <f>IF(参数输入表!$I$721="手动输入",基准日往来账处理!O46,基准日往来账处理!O124)+折现率、非经营、长投计算表!$E$45</f>
        <v>0</v>
      </c>
      <c r="O67" s="80">
        <f>IF(参数输入表!$I$721="手动输入",基准日往来账处理!P46,基准日往来账处理!P124)+折现率、非经营、长投计算表!$E$45</f>
        <v>0</v>
      </c>
      <c r="P67" s="80">
        <f>IF(参数输入表!$I$721="手动输入",基准日往来账处理!Q46,基准日往来账处理!Q124)+折现率、非经营、长投计算表!$E$45</f>
        <v>0</v>
      </c>
      <c r="Q67" s="80">
        <f>IF(参数输入表!$I$721="手动输入",基准日往来账处理!R46,基准日往来账处理!R124)+折现率、非经营、长投计算表!$E$45</f>
        <v>0</v>
      </c>
      <c r="R67" s="80">
        <f>IF(参数输入表!$I$721="手动输入",基准日往来账处理!S46,基准日往来账处理!S124)+折现率、非经营、长投计算表!$E$45</f>
        <v>0</v>
      </c>
      <c r="S67" s="80">
        <f>IF(参数输入表!$I$721="手动输入",基准日往来账处理!T46,基准日往来账处理!T124)+折现率、非经营、长投计算表!$E$45</f>
        <v>0</v>
      </c>
      <c r="T67" s="80">
        <f>IF(参数输入表!$I$721="手动输入",基准日往来账处理!U46,基准日往来账处理!U124)+折现率、非经营、长投计算表!$E$45</f>
        <v>0</v>
      </c>
      <c r="U67" s="80">
        <f>IF(参数输入表!$I$721="手动输入",基准日往来账处理!V46,基准日往来账处理!V124)+折现率、非经营、长投计算表!$E$45</f>
        <v>0</v>
      </c>
      <c r="V67" s="80">
        <f>IF(参数输入表!$I$721="手动输入",基准日往来账处理!W46,基准日往来账处理!W124)+折现率、非经营、长投计算表!$E$45</f>
        <v>0</v>
      </c>
      <c r="W67" s="80">
        <f>IF(参数输入表!$I$721="手动输入",基准日往来账处理!X46,基准日往来账处理!X124)+折现率、非经营、长投计算表!$E$45</f>
        <v>0</v>
      </c>
      <c r="X67" s="80">
        <f>IF(参数输入表!$I$721="手动输入",基准日往来账处理!Y46,基准日往来账处理!Y124)+折现率、非经营、长投计算表!$E$45</f>
        <v>0</v>
      </c>
      <c r="Y67" s="80">
        <f>IF(参数输入表!$I$721="手动输入",基准日往来账处理!Z46,基准日往来账处理!Z124)+折现率、非经营、长投计算表!$E$45</f>
        <v>0</v>
      </c>
      <c r="Z67" s="80">
        <f>IF(参数输入表!$I$721="手动输入",基准日往来账处理!AA46,基准日往来账处理!AA124)+折现率、非经营、长投计算表!$E$45</f>
        <v>0</v>
      </c>
      <c r="AA67" s="80">
        <f>IF(参数输入表!$I$721="手动输入",基准日往来账处理!AB46,基准日往来账处理!AB124)+折现率、非经营、长投计算表!$E$45</f>
        <v>0</v>
      </c>
      <c r="AB67" s="80">
        <f>IF(参数输入表!$I$721="手动输入",基准日往来账处理!AC46,基准日往来账处理!AC124)+折现率、非经营、长投计算表!$E$45</f>
        <v>0</v>
      </c>
      <c r="AC67" s="80">
        <f>IF(参数输入表!$I$721="手动输入",基准日往来账处理!AD46,基准日往来账处理!AD124)+折现率、非经营、长投计算表!$E$45</f>
        <v>0</v>
      </c>
      <c r="AD67" s="80">
        <f>IF(参数输入表!$I$721="手动输入",基准日往来账处理!AE46,基准日往来账处理!AE124)+折现率、非经营、长投计算表!$E$45</f>
        <v>0</v>
      </c>
      <c r="AE67" s="80">
        <f>IF(参数输入表!$I$721="手动输入",基准日往来账处理!AF46,基准日往来账处理!AF124)+折现率、非经营、长投计算表!$E$45</f>
        <v>0</v>
      </c>
    </row>
    <row r="68" spans="2:31">
      <c r="B68" s="20"/>
      <c r="C68" s="25" t="s">
        <v>1051</v>
      </c>
      <c r="D68" s="18" t="s">
        <v>24</v>
      </c>
      <c r="E68" s="22"/>
      <c r="F68" s="22"/>
      <c r="G68" s="22"/>
      <c r="H68" s="22"/>
      <c r="I68" s="80">
        <f>IF(参数输入表!$I$721="手动输入",基准日往来账处理!J66,基准日往来账处理!J144)+折现率、非经营、长投计算表!$E$46</f>
        <v>0</v>
      </c>
      <c r="J68" s="80">
        <f>IF(参数输入表!$I$721="手动输入",基准日往来账处理!K66,基准日往来账处理!K144)+折现率、非经营、长投计算表!$E$46</f>
        <v>0</v>
      </c>
      <c r="K68" s="80">
        <f>IF(参数输入表!$I$721="手动输入",基准日往来账处理!L66,基准日往来账处理!L144)+折现率、非经营、长投计算表!$E$46</f>
        <v>0</v>
      </c>
      <c r="L68" s="80">
        <f>IF(参数输入表!$I$721="手动输入",基准日往来账处理!M66,基准日往来账处理!M144)+折现率、非经营、长投计算表!$E$46</f>
        <v>0</v>
      </c>
      <c r="M68" s="80">
        <f>IF(参数输入表!$I$721="手动输入",基准日往来账处理!N66,基准日往来账处理!N144)+折现率、非经营、长投计算表!$E$46</f>
        <v>0</v>
      </c>
      <c r="N68" s="80">
        <f>IF(参数输入表!$I$721="手动输入",基准日往来账处理!O66,基准日往来账处理!O144)+折现率、非经营、长投计算表!$E$46</f>
        <v>0</v>
      </c>
      <c r="O68" s="80">
        <f>IF(参数输入表!$I$721="手动输入",基准日往来账处理!P66,基准日往来账处理!P144)+折现率、非经营、长投计算表!$E$46</f>
        <v>0</v>
      </c>
      <c r="P68" s="80">
        <f>IF(参数输入表!$I$721="手动输入",基准日往来账处理!Q66,基准日往来账处理!Q144)+折现率、非经营、长投计算表!$E$46</f>
        <v>0</v>
      </c>
      <c r="Q68" s="80">
        <f>IF(参数输入表!$I$721="手动输入",基准日往来账处理!R66,基准日往来账处理!R144)+折现率、非经营、长投计算表!$E$46</f>
        <v>0</v>
      </c>
      <c r="R68" s="80">
        <f>IF(参数输入表!$I$721="手动输入",基准日往来账处理!S66,基准日往来账处理!S144)+折现率、非经营、长投计算表!$E$46</f>
        <v>0</v>
      </c>
      <c r="S68" s="80">
        <f>IF(参数输入表!$I$721="手动输入",基准日往来账处理!T66,基准日往来账处理!T144)+折现率、非经营、长投计算表!$E$46</f>
        <v>0</v>
      </c>
      <c r="T68" s="80">
        <f>IF(参数输入表!$I$721="手动输入",基准日往来账处理!U66,基准日往来账处理!U144)+折现率、非经营、长投计算表!$E$46</f>
        <v>0</v>
      </c>
      <c r="U68" s="80">
        <f>IF(参数输入表!$I$721="手动输入",基准日往来账处理!V66,基准日往来账处理!V144)+折现率、非经营、长投计算表!$E$46</f>
        <v>0</v>
      </c>
      <c r="V68" s="80">
        <f>IF(参数输入表!$I$721="手动输入",基准日往来账处理!W66,基准日往来账处理!W144)+折现率、非经营、长投计算表!$E$46</f>
        <v>0</v>
      </c>
      <c r="W68" s="80">
        <f>IF(参数输入表!$I$721="手动输入",基准日往来账处理!X66,基准日往来账处理!X144)+折现率、非经营、长投计算表!$E$46</f>
        <v>0</v>
      </c>
      <c r="X68" s="80">
        <f>IF(参数输入表!$I$721="手动输入",基准日往来账处理!Y66,基准日往来账处理!Y144)+折现率、非经营、长投计算表!$E$46</f>
        <v>0</v>
      </c>
      <c r="Y68" s="80">
        <f>IF(参数输入表!$I$721="手动输入",基准日往来账处理!Z66,基准日往来账处理!Z144)+折现率、非经营、长投计算表!$E$46</f>
        <v>0</v>
      </c>
      <c r="Z68" s="80">
        <f>IF(参数输入表!$I$721="手动输入",基准日往来账处理!AA66,基准日往来账处理!AA144)+折现率、非经营、长投计算表!$E$46</f>
        <v>0</v>
      </c>
      <c r="AA68" s="80">
        <f>IF(参数输入表!$I$721="手动输入",基准日往来账处理!AB66,基准日往来账处理!AB144)+折现率、非经营、长投计算表!$E$46</f>
        <v>0</v>
      </c>
      <c r="AB68" s="80">
        <f>IF(参数输入表!$I$721="手动输入",基准日往来账处理!AC66,基准日往来账处理!AC144)+折现率、非经营、长投计算表!$E$46</f>
        <v>0</v>
      </c>
      <c r="AC68" s="80">
        <f>IF(参数输入表!$I$721="手动输入",基准日往来账处理!AD66,基准日往来账处理!AD144)+折现率、非经营、长投计算表!$E$46</f>
        <v>0</v>
      </c>
      <c r="AD68" s="80">
        <f>IF(参数输入表!$I$721="手动输入",基准日往来账处理!AE66,基准日往来账处理!AE144)+折现率、非经营、长投计算表!$E$46</f>
        <v>0</v>
      </c>
      <c r="AE68" s="80">
        <f>IF(参数输入表!$I$721="手动输入",基准日往来账处理!AF66,基准日往来账处理!AF144)+折现率、非经营、长投计算表!$E$46</f>
        <v>0</v>
      </c>
    </row>
    <row r="69" spans="2:31">
      <c r="B69" s="20"/>
      <c r="C69" s="25" t="s">
        <v>1052</v>
      </c>
      <c r="D69" s="18" t="s">
        <v>24</v>
      </c>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row>
    <row r="70" spans="2:31">
      <c r="B70" s="20"/>
      <c r="C70" s="25" t="s">
        <v>1053</v>
      </c>
      <c r="D70" s="18" t="s">
        <v>24</v>
      </c>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row>
    <row r="71" spans="2:31">
      <c r="B71" s="20"/>
      <c r="C71" s="25" t="s">
        <v>1054</v>
      </c>
      <c r="D71" s="18" t="s">
        <v>24</v>
      </c>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row>
    <row r="72" spans="2:31">
      <c r="B72" s="20"/>
      <c r="C72" s="25" t="s">
        <v>1055</v>
      </c>
      <c r="D72" s="18" t="s">
        <v>24</v>
      </c>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row>
    <row r="73" spans="2:31">
      <c r="B73" s="20"/>
      <c r="C73" s="25" t="s">
        <v>970</v>
      </c>
      <c r="D73" s="18" t="s">
        <v>24</v>
      </c>
      <c r="E73" s="22"/>
      <c r="F73" s="22"/>
      <c r="G73" s="22"/>
      <c r="H73" s="22">
        <v>0.616196</v>
      </c>
      <c r="I73" s="80">
        <f>IF(参数输入表!$I$721="手动输入",基准日往来账处理!J50,基准日往来账处理!J128)+折现率、非经营、长投计算表!$E$47</f>
        <v>0</v>
      </c>
      <c r="J73" s="80">
        <f>IF(参数输入表!$I$721="手动输入",基准日往来账处理!K50,基准日往来账处理!K128)+折现率、非经营、长投计算表!$E$47</f>
        <v>0</v>
      </c>
      <c r="K73" s="80">
        <f>IF(参数输入表!$I$721="手动输入",基准日往来账处理!L50,基准日往来账处理!L128)+折现率、非经营、长投计算表!$E$47</f>
        <v>0</v>
      </c>
      <c r="L73" s="80">
        <f>IF(参数输入表!$I$721="手动输入",基准日往来账处理!M50,基准日往来账处理!M128)+折现率、非经营、长投计算表!$E$47</f>
        <v>0</v>
      </c>
      <c r="M73" s="80">
        <f>IF(参数输入表!$I$721="手动输入",基准日往来账处理!N50,基准日往来账处理!N128)+折现率、非经营、长投计算表!$E$47</f>
        <v>0</v>
      </c>
      <c r="N73" s="80">
        <f>IF(参数输入表!$I$721="手动输入",基准日往来账处理!O50,基准日往来账处理!O128)+折现率、非经营、长投计算表!$E$47</f>
        <v>0</v>
      </c>
      <c r="O73" s="80">
        <f>IF(参数输入表!$I$721="手动输入",基准日往来账处理!P50,基准日往来账处理!P128)+折现率、非经营、长投计算表!$E$47</f>
        <v>0</v>
      </c>
      <c r="P73" s="80">
        <f>IF(参数输入表!$I$721="手动输入",基准日往来账处理!Q50,基准日往来账处理!Q128)+折现率、非经营、长投计算表!$E$47</f>
        <v>0</v>
      </c>
      <c r="Q73" s="80">
        <f>IF(参数输入表!$I$721="手动输入",基准日往来账处理!R50,基准日往来账处理!R128)+折现率、非经营、长投计算表!$E$47</f>
        <v>0</v>
      </c>
      <c r="R73" s="80">
        <f>IF(参数输入表!$I$721="手动输入",基准日往来账处理!S50,基准日往来账处理!S128)+折现率、非经营、长投计算表!$E$47</f>
        <v>0</v>
      </c>
      <c r="S73" s="80">
        <f>IF(参数输入表!$I$721="手动输入",基准日往来账处理!T50,基准日往来账处理!T128)+折现率、非经营、长投计算表!$E$47</f>
        <v>0</v>
      </c>
      <c r="T73" s="80">
        <f>IF(参数输入表!$I$721="手动输入",基准日往来账处理!U50,基准日往来账处理!U128)+折现率、非经营、长投计算表!$E$47</f>
        <v>0</v>
      </c>
      <c r="U73" s="80">
        <f>IF(参数输入表!$I$721="手动输入",基准日往来账处理!V50,基准日往来账处理!V128)+折现率、非经营、长投计算表!$E$47</f>
        <v>0</v>
      </c>
      <c r="V73" s="80">
        <f>IF(参数输入表!$I$721="手动输入",基准日往来账处理!W50,基准日往来账处理!W128)+折现率、非经营、长投计算表!$E$47</f>
        <v>0</v>
      </c>
      <c r="W73" s="80">
        <f>IF(参数输入表!$I$721="手动输入",基准日往来账处理!X50,基准日往来账处理!X128)+折现率、非经营、长投计算表!$E$47</f>
        <v>0</v>
      </c>
      <c r="X73" s="80">
        <f>IF(参数输入表!$I$721="手动输入",基准日往来账处理!Y50,基准日往来账处理!Y128)+折现率、非经营、长投计算表!$E$47</f>
        <v>0</v>
      </c>
      <c r="Y73" s="80">
        <f>IF(参数输入表!$I$721="手动输入",基准日往来账处理!Z50,基准日往来账处理!Z128)+折现率、非经营、长投计算表!$E$47</f>
        <v>0</v>
      </c>
      <c r="Z73" s="80">
        <f>IF(参数输入表!$I$721="手动输入",基准日往来账处理!AA50,基准日往来账处理!AA128)+折现率、非经营、长投计算表!$E$47</f>
        <v>0</v>
      </c>
      <c r="AA73" s="80">
        <f>IF(参数输入表!$I$721="手动输入",基准日往来账处理!AB50,基准日往来账处理!AB128)+折现率、非经营、长投计算表!$E$47</f>
        <v>0</v>
      </c>
      <c r="AB73" s="80">
        <f>IF(参数输入表!$I$721="手动输入",基准日往来账处理!AC50,基准日往来账处理!AC128)+折现率、非经营、长投计算表!$E$47</f>
        <v>0</v>
      </c>
      <c r="AC73" s="80">
        <f>IF(参数输入表!$I$721="手动输入",基准日往来账处理!AD50,基准日往来账处理!AD128)+折现率、非经营、长投计算表!$E$47</f>
        <v>0</v>
      </c>
      <c r="AD73" s="80">
        <f>IF(参数输入表!$I$721="手动输入",基准日往来账处理!AE50,基准日往来账处理!AE128)+折现率、非经营、长投计算表!$E$47</f>
        <v>0</v>
      </c>
      <c r="AE73" s="80">
        <f>IF(参数输入表!$I$721="手动输入",基准日往来账处理!AF50,基准日往来账处理!AF128)+折现率、非经营、长投计算表!$E$47</f>
        <v>0</v>
      </c>
    </row>
    <row r="74" spans="2:31">
      <c r="B74" s="20"/>
      <c r="C74" s="76" t="s">
        <v>1056</v>
      </c>
      <c r="D74" s="18" t="s">
        <v>24</v>
      </c>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row>
    <row r="75" spans="2:31">
      <c r="B75" s="20"/>
      <c r="C75" s="76" t="s">
        <v>1057</v>
      </c>
      <c r="D75" s="18" t="s">
        <v>24</v>
      </c>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row>
    <row r="76" spans="2:31">
      <c r="B76" s="20"/>
      <c r="C76" s="27" t="s">
        <v>1058</v>
      </c>
      <c r="D76" s="18" t="s">
        <v>24</v>
      </c>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row>
    <row r="77" spans="2:31">
      <c r="B77" s="20"/>
      <c r="C77" s="25" t="s">
        <v>971</v>
      </c>
      <c r="D77" s="18" t="s">
        <v>24</v>
      </c>
      <c r="E77" s="22"/>
      <c r="F77" s="22"/>
      <c r="G77" s="22"/>
      <c r="H77" s="22">
        <v>0.950986</v>
      </c>
      <c r="I77" s="80">
        <f>IF(参数输入表!$I$721="手动输入",基准日往来账处理!J54,基准日往来账处理!J132)+折现率、非经营、长投计算表!$E$48</f>
        <v>0</v>
      </c>
      <c r="J77" s="80">
        <f>IF(参数输入表!$I$721="手动输入",基准日往来账处理!K54,基准日往来账处理!K132)+折现率、非经营、长投计算表!$E$48</f>
        <v>0</v>
      </c>
      <c r="K77" s="80">
        <f>IF(参数输入表!$I$721="手动输入",基准日往来账处理!L54,基准日往来账处理!L132)+折现率、非经营、长投计算表!$E$48</f>
        <v>0</v>
      </c>
      <c r="L77" s="80">
        <f>IF(参数输入表!$I$721="手动输入",基准日往来账处理!M54,基准日往来账处理!M132)+折现率、非经营、长投计算表!$E$48</f>
        <v>0</v>
      </c>
      <c r="M77" s="80">
        <f>IF(参数输入表!$I$721="手动输入",基准日往来账处理!N54,基准日往来账处理!N132)+折现率、非经营、长投计算表!$E$48</f>
        <v>0</v>
      </c>
      <c r="N77" s="80">
        <f>IF(参数输入表!$I$721="手动输入",基准日往来账处理!O54,基准日往来账处理!O132)+折现率、非经营、长投计算表!$E$48</f>
        <v>0</v>
      </c>
      <c r="O77" s="80">
        <f>IF(参数输入表!$I$721="手动输入",基准日往来账处理!P54,基准日往来账处理!P132)+折现率、非经营、长投计算表!$E$48</f>
        <v>0</v>
      </c>
      <c r="P77" s="80">
        <f>IF(参数输入表!$I$721="手动输入",基准日往来账处理!Q54,基准日往来账处理!Q132)+折现率、非经营、长投计算表!$E$48</f>
        <v>0</v>
      </c>
      <c r="Q77" s="80">
        <f>IF(参数输入表!$I$721="手动输入",基准日往来账处理!R54,基准日往来账处理!R132)+折现率、非经营、长投计算表!$E$48</f>
        <v>0</v>
      </c>
      <c r="R77" s="80">
        <f>IF(参数输入表!$I$721="手动输入",基准日往来账处理!S54,基准日往来账处理!S132)+折现率、非经营、长投计算表!$E$48</f>
        <v>0</v>
      </c>
      <c r="S77" s="80">
        <f>IF(参数输入表!$I$721="手动输入",基准日往来账处理!T54,基准日往来账处理!T132)+折现率、非经营、长投计算表!$E$48</f>
        <v>0</v>
      </c>
      <c r="T77" s="80">
        <f>IF(参数输入表!$I$721="手动输入",基准日往来账处理!U54,基准日往来账处理!U132)+折现率、非经营、长投计算表!$E$48</f>
        <v>0</v>
      </c>
      <c r="U77" s="80">
        <f>IF(参数输入表!$I$721="手动输入",基准日往来账处理!V54,基准日往来账处理!V132)+折现率、非经营、长投计算表!$E$48</f>
        <v>0</v>
      </c>
      <c r="V77" s="80">
        <f>IF(参数输入表!$I$721="手动输入",基准日往来账处理!W54,基准日往来账处理!W132)+折现率、非经营、长投计算表!$E$48</f>
        <v>0</v>
      </c>
      <c r="W77" s="80">
        <f>IF(参数输入表!$I$721="手动输入",基准日往来账处理!X54,基准日往来账处理!X132)+折现率、非经营、长投计算表!$E$48</f>
        <v>0</v>
      </c>
      <c r="X77" s="80">
        <f>IF(参数输入表!$I$721="手动输入",基准日往来账处理!Y54,基准日往来账处理!Y132)+折现率、非经营、长投计算表!$E$48</f>
        <v>0</v>
      </c>
      <c r="Y77" s="80">
        <f>IF(参数输入表!$I$721="手动输入",基准日往来账处理!Z54,基准日往来账处理!Z132)+折现率、非经营、长投计算表!$E$48</f>
        <v>0</v>
      </c>
      <c r="Z77" s="80">
        <f>IF(参数输入表!$I$721="手动输入",基准日往来账处理!AA54,基准日往来账处理!AA132)+折现率、非经营、长投计算表!$E$48</f>
        <v>0</v>
      </c>
      <c r="AA77" s="80">
        <f>IF(参数输入表!$I$721="手动输入",基准日往来账处理!AB54,基准日往来账处理!AB132)+折现率、非经营、长投计算表!$E$48</f>
        <v>0</v>
      </c>
      <c r="AB77" s="80">
        <f>IF(参数输入表!$I$721="手动输入",基准日往来账处理!AC54,基准日往来账处理!AC132)+折现率、非经营、长投计算表!$E$48</f>
        <v>0</v>
      </c>
      <c r="AC77" s="80">
        <f>IF(参数输入表!$I$721="手动输入",基准日往来账处理!AD54,基准日往来账处理!AD132)+折现率、非经营、长投计算表!$E$48</f>
        <v>0</v>
      </c>
      <c r="AD77" s="80">
        <f>IF(参数输入表!$I$721="手动输入",基准日往来账处理!AE54,基准日往来账处理!AE132)+折现率、非经营、长投计算表!$E$48</f>
        <v>0</v>
      </c>
      <c r="AE77" s="80">
        <f>IF(参数输入表!$I$721="手动输入",基准日往来账处理!AF54,基准日往来账处理!AF132)+折现率、非经营、长投计算表!$E$48</f>
        <v>0</v>
      </c>
    </row>
    <row r="78" spans="2:31">
      <c r="B78" s="20"/>
      <c r="C78" s="76" t="s">
        <v>1059</v>
      </c>
      <c r="D78" s="18" t="s">
        <v>24</v>
      </c>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row>
    <row r="79" spans="2:31">
      <c r="B79" s="20"/>
      <c r="C79" s="25" t="s">
        <v>972</v>
      </c>
      <c r="D79" s="18" t="s">
        <v>24</v>
      </c>
      <c r="E79" s="22"/>
      <c r="F79" s="22"/>
      <c r="G79" s="22"/>
      <c r="H79" s="22">
        <v>84.426828</v>
      </c>
      <c r="I79" s="80">
        <f>IF(参数输入表!$I$721="手动输入",基准日往来账处理!J58,基准日往来账处理!J136)+折现率、非经营、长投计算表!$E$49</f>
        <v>64.426828</v>
      </c>
      <c r="J79" s="80">
        <f>IF(参数输入表!$I$721="手动输入",基准日往来账处理!K58,基准日往来账处理!K136)+折现率、非经营、长投计算表!$E$49</f>
        <v>44.426828</v>
      </c>
      <c r="K79" s="80">
        <f>IF(参数输入表!$I$721="手动输入",基准日往来账处理!L58,基准日往来账处理!L136)+折现率、非经营、长投计算表!$E$49</f>
        <v>24.426828</v>
      </c>
      <c r="L79" s="80">
        <f>IF(参数输入表!$I$721="手动输入",基准日往来账处理!M58,基准日往来账处理!M136)+折现率、非经营、长投计算表!$E$49</f>
        <v>0</v>
      </c>
      <c r="M79" s="80">
        <f>IF(参数输入表!$I$721="手动输入",基准日往来账处理!N58,基准日往来账处理!N136)+折现率、非经营、长投计算表!$E$49</f>
        <v>0</v>
      </c>
      <c r="N79" s="80">
        <f>IF(参数输入表!$I$721="手动输入",基准日往来账处理!O58,基准日往来账处理!O136)+折现率、非经营、长投计算表!$E$49</f>
        <v>0</v>
      </c>
      <c r="O79" s="80">
        <f>IF(参数输入表!$I$721="手动输入",基准日往来账处理!P58,基准日往来账处理!P136)+折现率、非经营、长投计算表!$E$49</f>
        <v>0</v>
      </c>
      <c r="P79" s="80">
        <f>IF(参数输入表!$I$721="手动输入",基准日往来账处理!Q58,基准日往来账处理!Q136)+折现率、非经营、长投计算表!$E$49</f>
        <v>0</v>
      </c>
      <c r="Q79" s="80">
        <f>IF(参数输入表!$I$721="手动输入",基准日往来账处理!R58,基准日往来账处理!R136)+折现率、非经营、长投计算表!$E$49</f>
        <v>0</v>
      </c>
      <c r="R79" s="80">
        <f>IF(参数输入表!$I$721="手动输入",基准日往来账处理!S58,基准日往来账处理!S136)+折现率、非经营、长投计算表!$E$49</f>
        <v>0</v>
      </c>
      <c r="S79" s="80">
        <f>IF(参数输入表!$I$721="手动输入",基准日往来账处理!T58,基准日往来账处理!T136)+折现率、非经营、长投计算表!$E$49</f>
        <v>0</v>
      </c>
      <c r="T79" s="80">
        <f>IF(参数输入表!$I$721="手动输入",基准日往来账处理!U58,基准日往来账处理!U136)+折现率、非经营、长投计算表!$E$49</f>
        <v>0</v>
      </c>
      <c r="U79" s="80">
        <f>IF(参数输入表!$I$721="手动输入",基准日往来账处理!V58,基准日往来账处理!V136)+折现率、非经营、长投计算表!$E$49</f>
        <v>0</v>
      </c>
      <c r="V79" s="80">
        <f>IF(参数输入表!$I$721="手动输入",基准日往来账处理!W58,基准日往来账处理!W136)+折现率、非经营、长投计算表!$E$49</f>
        <v>0</v>
      </c>
      <c r="W79" s="80">
        <f>IF(参数输入表!$I$721="手动输入",基准日往来账处理!X58,基准日往来账处理!X136)+折现率、非经营、长投计算表!$E$49</f>
        <v>0</v>
      </c>
      <c r="X79" s="80">
        <f>IF(参数输入表!$I$721="手动输入",基准日往来账处理!Y58,基准日往来账处理!Y136)+折现率、非经营、长投计算表!$E$49</f>
        <v>0</v>
      </c>
      <c r="Y79" s="80">
        <f>IF(参数输入表!$I$721="手动输入",基准日往来账处理!Z58,基准日往来账处理!Z136)+折现率、非经营、长投计算表!$E$49</f>
        <v>0</v>
      </c>
      <c r="Z79" s="80">
        <f>IF(参数输入表!$I$721="手动输入",基准日往来账处理!AA58,基准日往来账处理!AA136)+折现率、非经营、长投计算表!$E$49</f>
        <v>0</v>
      </c>
      <c r="AA79" s="80">
        <f>IF(参数输入表!$I$721="手动输入",基准日往来账处理!AB58,基准日往来账处理!AB136)+折现率、非经营、长投计算表!$E$49</f>
        <v>0</v>
      </c>
      <c r="AB79" s="80">
        <f>IF(参数输入表!$I$721="手动输入",基准日往来账处理!AC58,基准日往来账处理!AC136)+折现率、非经营、长投计算表!$E$49</f>
        <v>0</v>
      </c>
      <c r="AC79" s="80">
        <f>IF(参数输入表!$I$721="手动输入",基准日往来账处理!AD58,基准日往来账处理!AD136)+折现率、非经营、长投计算表!$E$49</f>
        <v>0</v>
      </c>
      <c r="AD79" s="80">
        <f>IF(参数输入表!$I$721="手动输入",基准日往来账处理!AE58,基准日往来账处理!AE136)+折现率、非经营、长投计算表!$E$49</f>
        <v>0</v>
      </c>
      <c r="AE79" s="80">
        <f>IF(参数输入表!$I$721="手动输入",基准日往来账处理!AF58,基准日往来账处理!AF136)+折现率、非经营、长投计算表!$E$49</f>
        <v>0</v>
      </c>
    </row>
    <row r="80" spans="2:31">
      <c r="B80" s="20"/>
      <c r="C80" s="76" t="s">
        <v>1060</v>
      </c>
      <c r="D80" s="18" t="s">
        <v>24</v>
      </c>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row>
    <row r="81" spans="2:31">
      <c r="B81" s="20"/>
      <c r="C81" s="25" t="s">
        <v>1061</v>
      </c>
      <c r="D81" s="18" t="s">
        <v>24</v>
      </c>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row>
    <row r="82" spans="2:31">
      <c r="B82" s="20"/>
      <c r="C82" s="25" t="s">
        <v>1062</v>
      </c>
      <c r="D82" s="18" t="s">
        <v>24</v>
      </c>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row>
    <row r="83" spans="2:31">
      <c r="B83" s="20"/>
      <c r="C83" s="25" t="s">
        <v>973</v>
      </c>
      <c r="D83" s="18" t="s">
        <v>24</v>
      </c>
      <c r="E83" s="22"/>
      <c r="F83" s="22"/>
      <c r="G83" s="22"/>
      <c r="H83" s="22"/>
      <c r="I83" s="79">
        <f t="shared" ref="I83:AE83" si="20">H83</f>
        <v>0</v>
      </c>
      <c r="J83" s="79">
        <f t="shared" si="20"/>
        <v>0</v>
      </c>
      <c r="K83" s="79">
        <f t="shared" si="20"/>
        <v>0</v>
      </c>
      <c r="L83" s="79">
        <f t="shared" si="20"/>
        <v>0</v>
      </c>
      <c r="M83" s="79">
        <f t="shared" si="20"/>
        <v>0</v>
      </c>
      <c r="N83" s="79">
        <f t="shared" si="20"/>
        <v>0</v>
      </c>
      <c r="O83" s="79">
        <f t="shared" si="20"/>
        <v>0</v>
      </c>
      <c r="P83" s="79">
        <f t="shared" si="20"/>
        <v>0</v>
      </c>
      <c r="Q83" s="79">
        <f t="shared" si="20"/>
        <v>0</v>
      </c>
      <c r="R83" s="79">
        <f t="shared" si="20"/>
        <v>0</v>
      </c>
      <c r="S83" s="79">
        <f t="shared" si="20"/>
        <v>0</v>
      </c>
      <c r="T83" s="79">
        <f t="shared" si="20"/>
        <v>0</v>
      </c>
      <c r="U83" s="79">
        <f t="shared" si="20"/>
        <v>0</v>
      </c>
      <c r="V83" s="79">
        <f t="shared" si="20"/>
        <v>0</v>
      </c>
      <c r="W83" s="79">
        <f t="shared" si="20"/>
        <v>0</v>
      </c>
      <c r="X83" s="79">
        <f t="shared" si="20"/>
        <v>0</v>
      </c>
      <c r="Y83" s="79">
        <f t="shared" si="20"/>
        <v>0</v>
      </c>
      <c r="Z83" s="79">
        <f t="shared" si="20"/>
        <v>0</v>
      </c>
      <c r="AA83" s="79">
        <f t="shared" si="20"/>
        <v>0</v>
      </c>
      <c r="AB83" s="79">
        <f t="shared" si="20"/>
        <v>0</v>
      </c>
      <c r="AC83" s="79">
        <f t="shared" si="20"/>
        <v>0</v>
      </c>
      <c r="AD83" s="79">
        <f t="shared" si="20"/>
        <v>0</v>
      </c>
      <c r="AE83" s="79">
        <f t="shared" si="20"/>
        <v>0</v>
      </c>
    </row>
    <row r="84" spans="2:31">
      <c r="B84" s="20"/>
      <c r="C84" s="25" t="s">
        <v>1063</v>
      </c>
      <c r="D84" s="18" t="s">
        <v>24</v>
      </c>
      <c r="E84" s="22"/>
      <c r="F84" s="22"/>
      <c r="G84" s="22"/>
      <c r="H84" s="22">
        <v>1335.07125</v>
      </c>
      <c r="I84" s="72">
        <f ca="1">'表1-资金筹措及还本付息表'!K93</f>
        <v>3100</v>
      </c>
      <c r="J84" s="72">
        <f ca="1">'表1-资金筹措及还本付息表'!L93</f>
        <v>8772.50385792025</v>
      </c>
      <c r="K84" s="72">
        <f ca="1">'表1-资金筹措及还本付息表'!M93</f>
        <v>8992.34152381082</v>
      </c>
      <c r="L84" s="72">
        <f ca="1">'表1-资金筹措及还本付息表'!N93</f>
        <v>8721.63220933469</v>
      </c>
      <c r="M84" s="72">
        <f ca="1">'表1-资金筹措及还本付息表'!O93</f>
        <v>8960.78239433608</v>
      </c>
      <c r="N84" s="72">
        <f ca="1">'表1-资金筹措及还本付息表'!P93</f>
        <v>9210.21603729253</v>
      </c>
      <c r="O84" s="72">
        <f ca="1">'表1-资金筹措及还本付息表'!Q93</f>
        <v>9470.37532689611</v>
      </c>
      <c r="P84" s="72">
        <f ca="1">'表1-资金筹措及还本付息表'!R93</f>
        <v>9741.72146595264</v>
      </c>
      <c r="Q84" s="72">
        <f ca="1">'表1-资金筹措及还本付息表'!S93</f>
        <v>10024.7354889886</v>
      </c>
      <c r="R84" s="72">
        <f ca="1">'表1-资金筹措及还本付息表'!T93</f>
        <v>10319.9191150151</v>
      </c>
      <c r="S84" s="72">
        <f ca="1">'表1-资金筹措及还本付息表'!U93</f>
        <v>8027.79563696076</v>
      </c>
      <c r="T84" s="72">
        <f ca="1">'表1-资金筹措及还本付息表'!V93</f>
        <v>8348.91084935007</v>
      </c>
      <c r="U84" s="72">
        <f ca="1">'表1-资金筹措及还本付息表'!W93</f>
        <v>8683.83401587213</v>
      </c>
      <c r="V84" s="72">
        <f ca="1">'表1-资金筹措及还本付息表'!X93</f>
        <v>9033.15887855463</v>
      </c>
      <c r="W84" s="72">
        <f ca="1">'表1-资金筹措及还本付息表'!Y93</f>
        <v>9397.50471033247</v>
      </c>
      <c r="X84" s="72">
        <f ca="1">'表1-资金筹措及还本付息表'!Z93</f>
        <v>9777.51741287677</v>
      </c>
      <c r="Y84" s="72">
        <f ca="1">'表1-资金筹措及还本付息表'!AA93</f>
        <v>560.000000000001</v>
      </c>
      <c r="Z84" s="72">
        <f ca="1">'表1-资金筹措及还本付息表'!AB93</f>
        <v>11669.157916</v>
      </c>
      <c r="AA84" s="72">
        <f ca="1">'表1-资金筹措及还本付息表'!AC93</f>
        <v>560.000000000001</v>
      </c>
      <c r="AB84" s="72">
        <f ca="1">'表1-资金筹措及还本付息表'!AD93</f>
        <v>560.000000000001</v>
      </c>
      <c r="AC84" s="72">
        <f ca="1">'表1-资金筹措及还本付息表'!AE93</f>
        <v>560.000000000001</v>
      </c>
      <c r="AD84" s="72">
        <f ca="1">'表1-资金筹措及还本付息表'!AF93</f>
        <v>560</v>
      </c>
      <c r="AE84" s="72">
        <f>'表1-资金筹措及还本付息表'!AG93</f>
        <v>0</v>
      </c>
    </row>
    <row r="85" spans="2:31">
      <c r="B85" s="20"/>
      <c r="C85" s="25" t="s">
        <v>974</v>
      </c>
      <c r="D85" s="18" t="s">
        <v>24</v>
      </c>
      <c r="E85" s="22"/>
      <c r="F85" s="22"/>
      <c r="G85" s="22"/>
      <c r="H85" s="22"/>
      <c r="I85" s="79">
        <f t="shared" ref="I85:AE85" si="21">H85</f>
        <v>0</v>
      </c>
      <c r="J85" s="79">
        <f t="shared" si="21"/>
        <v>0</v>
      </c>
      <c r="K85" s="79">
        <f t="shared" si="21"/>
        <v>0</v>
      </c>
      <c r="L85" s="79">
        <f t="shared" si="21"/>
        <v>0</v>
      </c>
      <c r="M85" s="79">
        <f t="shared" si="21"/>
        <v>0</v>
      </c>
      <c r="N85" s="79">
        <f t="shared" si="21"/>
        <v>0</v>
      </c>
      <c r="O85" s="79">
        <f t="shared" si="21"/>
        <v>0</v>
      </c>
      <c r="P85" s="79">
        <f t="shared" si="21"/>
        <v>0</v>
      </c>
      <c r="Q85" s="79">
        <f t="shared" si="21"/>
        <v>0</v>
      </c>
      <c r="R85" s="79">
        <f t="shared" si="21"/>
        <v>0</v>
      </c>
      <c r="S85" s="79">
        <f t="shared" si="21"/>
        <v>0</v>
      </c>
      <c r="T85" s="79">
        <f t="shared" si="21"/>
        <v>0</v>
      </c>
      <c r="U85" s="79">
        <f t="shared" si="21"/>
        <v>0</v>
      </c>
      <c r="V85" s="79">
        <f t="shared" si="21"/>
        <v>0</v>
      </c>
      <c r="W85" s="79">
        <f t="shared" si="21"/>
        <v>0</v>
      </c>
      <c r="X85" s="79">
        <f t="shared" si="21"/>
        <v>0</v>
      </c>
      <c r="Y85" s="79">
        <f t="shared" si="21"/>
        <v>0</v>
      </c>
      <c r="Z85" s="79">
        <f t="shared" si="21"/>
        <v>0</v>
      </c>
      <c r="AA85" s="79">
        <f t="shared" si="21"/>
        <v>0</v>
      </c>
      <c r="AB85" s="79">
        <f t="shared" si="21"/>
        <v>0</v>
      </c>
      <c r="AC85" s="79">
        <f t="shared" si="21"/>
        <v>0</v>
      </c>
      <c r="AD85" s="79">
        <f t="shared" si="21"/>
        <v>0</v>
      </c>
      <c r="AE85" s="79">
        <f t="shared" si="21"/>
        <v>0</v>
      </c>
    </row>
    <row r="86" spans="2:31">
      <c r="B86" s="15">
        <v>2.2</v>
      </c>
      <c r="C86" s="16" t="s">
        <v>1064</v>
      </c>
      <c r="D86" s="18" t="s">
        <v>24</v>
      </c>
      <c r="E86" s="17">
        <f t="shared" ref="E86:M86" si="22">SUM(E87:E89)+SUM(E92:E96)+E100+E101</f>
        <v>0</v>
      </c>
      <c r="F86" s="17">
        <f t="shared" si="22"/>
        <v>0</v>
      </c>
      <c r="G86" s="17">
        <f t="shared" si="22"/>
        <v>0</v>
      </c>
      <c r="H86" s="17">
        <f t="shared" si="22"/>
        <v>26000</v>
      </c>
      <c r="I86" s="17">
        <f ca="1" t="shared" si="22"/>
        <v>54388.842986802</v>
      </c>
      <c r="J86" s="17">
        <f ca="1" t="shared" si="22"/>
        <v>119510.445065573</v>
      </c>
      <c r="K86" s="17">
        <f ca="1" t="shared" si="22"/>
        <v>111568.103541762</v>
      </c>
      <c r="L86" s="17">
        <f ca="1" t="shared" si="22"/>
        <v>103896.471332428</v>
      </c>
      <c r="M86" s="17">
        <f ca="1" t="shared" si="22"/>
        <v>95485.6889380917</v>
      </c>
      <c r="N86" s="17">
        <f ca="1" t="shared" ref="N86:AE86" si="23">SUM(N87:N89)+SUM(N92:N96)+N100+N101</f>
        <v>86825.4729007992</v>
      </c>
      <c r="O86" s="17">
        <f ca="1" t="shared" si="23"/>
        <v>77905.0975739031</v>
      </c>
      <c r="P86" s="17">
        <f ca="1" t="shared" si="23"/>
        <v>68713.3761079504</v>
      </c>
      <c r="Q86" s="17">
        <f ca="1" t="shared" si="23"/>
        <v>59238.6406189618</v>
      </c>
      <c r="R86" s="17">
        <f ca="1" t="shared" si="23"/>
        <v>49468.7215039467</v>
      </c>
      <c r="S86" s="17">
        <f ca="1" t="shared" si="23"/>
        <v>41990.925866986</v>
      </c>
      <c r="T86" s="17">
        <f ca="1" t="shared" si="23"/>
        <v>34192.0150176359</v>
      </c>
      <c r="U86" s="17">
        <f ca="1" t="shared" si="23"/>
        <v>26058.1810017638</v>
      </c>
      <c r="V86" s="17">
        <f ca="1" t="shared" si="23"/>
        <v>17575.0221232092</v>
      </c>
      <c r="W86" s="17">
        <f ca="1" t="shared" si="23"/>
        <v>8727.51741287672</v>
      </c>
      <c r="X86" s="17">
        <f ca="1" t="shared" si="23"/>
        <v>-500.000000000036</v>
      </c>
      <c r="Y86" s="17">
        <f ca="1" t="shared" si="23"/>
        <v>-510.000000000026</v>
      </c>
      <c r="Z86" s="17">
        <f ca="1" t="shared" si="23"/>
        <v>-11629.157916</v>
      </c>
      <c r="AA86" s="17">
        <f ca="1" t="shared" si="23"/>
        <v>-530.000000000016</v>
      </c>
      <c r="AB86" s="17">
        <f ca="1" t="shared" si="23"/>
        <v>-540.000000000017</v>
      </c>
      <c r="AC86" s="17">
        <f ca="1" t="shared" si="23"/>
        <v>-550.000000000018</v>
      </c>
      <c r="AD86" s="17">
        <f ca="1" t="shared" si="23"/>
        <v>-560.000000000018</v>
      </c>
      <c r="AE86" s="17">
        <f ca="1" t="shared" si="23"/>
        <v>-1.81545483189524e-11</v>
      </c>
    </row>
    <row r="87" spans="2:31">
      <c r="B87" s="20"/>
      <c r="C87" s="25" t="s">
        <v>1065</v>
      </c>
      <c r="D87" s="18" t="s">
        <v>24</v>
      </c>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row>
    <row r="88" spans="2:31">
      <c r="B88" s="20"/>
      <c r="C88" s="25" t="s">
        <v>1066</v>
      </c>
      <c r="D88" s="18" t="s">
        <v>24</v>
      </c>
      <c r="E88" s="23"/>
      <c r="F88" s="23"/>
      <c r="G88" s="23"/>
      <c r="H88" s="23">
        <v>26000</v>
      </c>
      <c r="I88" s="72">
        <f ca="1">'表1-资金筹措及还本付息表'!J75+'表1-资金筹措及还本付息表'!J45-I84</f>
        <v>54388.842986802</v>
      </c>
      <c r="J88" s="72">
        <f ca="1">'表1-资金筹措及还本付息表'!K75+'表1-资金筹措及还本付息表'!K45-J84</f>
        <v>119310.445065573</v>
      </c>
      <c r="K88" s="72">
        <f ca="1">'表1-资金筹措及还本付息表'!L75+'表1-资金筹措及还本付息表'!L45-K84</f>
        <v>111378.103541762</v>
      </c>
      <c r="L88" s="72">
        <f ca="1">'表1-资金筹措及还本付息表'!M75+'表1-资金筹措及还本付息表'!M45-L84</f>
        <v>103716.471332428</v>
      </c>
      <c r="M88" s="72">
        <f ca="1">'表1-资金筹措及还本付息表'!N75+'表1-资金筹措及还本付息表'!N45-M84</f>
        <v>95315.6889380917</v>
      </c>
      <c r="N88" s="72">
        <f ca="1">'表1-资金筹措及还本付息表'!O75+'表1-资金筹措及还本付息表'!O45-N84</f>
        <v>86665.4729007991</v>
      </c>
      <c r="O88" s="72">
        <f ca="1">'表1-资金筹措及还本付息表'!P75+'表1-资金筹措及还本付息表'!P45-O84</f>
        <v>77755.0975739031</v>
      </c>
      <c r="P88" s="72">
        <f ca="1">'表1-资金筹措及还本付息表'!Q75+'表1-资金筹措及还本付息表'!Q45-P84</f>
        <v>68573.3761079504</v>
      </c>
      <c r="Q88" s="72">
        <f ca="1">'表1-资金筹措及还本付息表'!R75+'表1-资金筹措及还本付息表'!R45-Q84</f>
        <v>59108.6406189618</v>
      </c>
      <c r="R88" s="72">
        <f ca="1">'表1-资金筹措及还本付息表'!S75+'表1-资金筹措及还本付息表'!S45-R84</f>
        <v>49348.7215039467</v>
      </c>
      <c r="S88" s="72">
        <f ca="1">'表1-资金筹措及还本付息表'!T75+'表1-资金筹措及还本付息表'!T45-S84</f>
        <v>41880.925866986</v>
      </c>
      <c r="T88" s="72">
        <f ca="1">'表1-资金筹措及还本付息表'!U75+'表1-资金筹措及还本付息表'!U45-T84</f>
        <v>34092.0150176359</v>
      </c>
      <c r="U88" s="72">
        <f ca="1">'表1-资金筹措及还本付息表'!V75+'表1-资金筹措及还本付息表'!V45-U84</f>
        <v>25968.1810017638</v>
      </c>
      <c r="V88" s="72">
        <f ca="1">'表1-资金筹措及还本付息表'!W75+'表1-资金筹措及还本付息表'!W45-V84</f>
        <v>17495.0221232092</v>
      </c>
      <c r="W88" s="72">
        <f ca="1">'表1-资金筹措及还本付息表'!X75+'表1-资金筹措及还本付息表'!X45-W84</f>
        <v>8657.51741287671</v>
      </c>
      <c r="X88" s="72">
        <f ca="1">'表1-资金筹措及还本付息表'!Y75+'表1-资金筹措及还本付息表'!Y45-X84</f>
        <v>-560.000000000047</v>
      </c>
      <c r="Y88" s="72">
        <f ca="1">'表1-资金筹措及还本付息表'!Z75+'表1-资金筹措及还本付息表'!Z45-Y84</f>
        <v>-560.000000000037</v>
      </c>
      <c r="Z88" s="72">
        <f ca="1">'表1-资金筹措及还本付息表'!AA75+'表1-资金筹措及还本付息表'!AA45-Z84</f>
        <v>-11669.157916</v>
      </c>
      <c r="AA88" s="72">
        <f ca="1">'表1-资金筹措及还本付息表'!AB75+'表1-资金筹措及还本付息表'!AB45-AA84</f>
        <v>-560.000000000016</v>
      </c>
      <c r="AB88" s="72">
        <f ca="1">'表1-资金筹措及还本付息表'!AC75+'表1-资金筹措及还本付息表'!AC45-AB84</f>
        <v>-560.000000000017</v>
      </c>
      <c r="AC88" s="72">
        <f ca="1">'表1-资金筹措及还本付息表'!AD75+'表1-资金筹措及还本付息表'!AD45-AC84</f>
        <v>-560.000000000018</v>
      </c>
      <c r="AD88" s="72">
        <f ca="1">'表1-资金筹措及还本付息表'!AE75+'表1-资金筹措及还本付息表'!AE45-AD84</f>
        <v>-560.000000000018</v>
      </c>
      <c r="AE88" s="72">
        <f ca="1">'表1-资金筹措及还本付息表'!AF75+'表1-资金筹措及还本付息表'!AF45-AE84</f>
        <v>-1.81545483189524e-11</v>
      </c>
    </row>
    <row r="89" spans="2:31">
      <c r="B89" s="20"/>
      <c r="C89" s="25" t="s">
        <v>1067</v>
      </c>
      <c r="D89" s="18" t="s">
        <v>24</v>
      </c>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row>
    <row r="90" spans="2:31">
      <c r="B90" s="20"/>
      <c r="C90" s="76" t="s">
        <v>1068</v>
      </c>
      <c r="D90" s="18" t="s">
        <v>24</v>
      </c>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row>
    <row r="91" spans="2:31">
      <c r="B91" s="20"/>
      <c r="C91" s="76" t="s">
        <v>1069</v>
      </c>
      <c r="D91" s="18" t="s">
        <v>24</v>
      </c>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row>
    <row r="92" spans="2:31">
      <c r="B92" s="20"/>
      <c r="C92" s="25" t="s">
        <v>1070</v>
      </c>
      <c r="D92" s="18" t="s">
        <v>24</v>
      </c>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row>
    <row r="93" spans="2:31">
      <c r="B93" s="20"/>
      <c r="C93" s="25" t="s">
        <v>975</v>
      </c>
      <c r="D93" s="18" t="s">
        <v>24</v>
      </c>
      <c r="E93" s="22"/>
      <c r="F93" s="22"/>
      <c r="G93" s="22"/>
      <c r="H93" s="22"/>
      <c r="I93" s="80">
        <f>IF(参数输入表!$I$721="手动输入",基准日往来账处理!J62,基准日往来账处理!J140)+折现率、非经营、长投计算表!$E$52</f>
        <v>0</v>
      </c>
      <c r="J93" s="80">
        <f>IF(参数输入表!$I$721="手动输入",基准日往来账处理!K62,基准日往来账处理!K140)+折现率、非经营、长投计算表!$E$52</f>
        <v>0</v>
      </c>
      <c r="K93" s="80">
        <f>IF(参数输入表!$I$721="手动输入",基准日往来账处理!L62,基准日往来账处理!L140)+折现率、非经营、长投计算表!$E$52</f>
        <v>0</v>
      </c>
      <c r="L93" s="80">
        <f>IF(参数输入表!$I$721="手动输入",基准日往来账处理!M62,基准日往来账处理!M140)+折现率、非经营、长投计算表!$E$52</f>
        <v>0</v>
      </c>
      <c r="M93" s="80">
        <f>IF(参数输入表!$I$721="手动输入",基准日往来账处理!N62,基准日往来账处理!N140)+折现率、非经营、长投计算表!$E$52</f>
        <v>0</v>
      </c>
      <c r="N93" s="80">
        <f>IF(参数输入表!$I$721="手动输入",基准日往来账处理!O62,基准日往来账处理!O140)+折现率、非经营、长投计算表!$E$52</f>
        <v>0</v>
      </c>
      <c r="O93" s="80">
        <f>IF(参数输入表!$I$721="手动输入",基准日往来账处理!P62,基准日往来账处理!P140)+折现率、非经营、长投计算表!$E$52</f>
        <v>0</v>
      </c>
      <c r="P93" s="80">
        <f>IF(参数输入表!$I$721="手动输入",基准日往来账处理!Q62,基准日往来账处理!Q140)+折现率、非经营、长投计算表!$E$52</f>
        <v>0</v>
      </c>
      <c r="Q93" s="80">
        <f>IF(参数输入表!$I$721="手动输入",基准日往来账处理!R62,基准日往来账处理!R140)+折现率、非经营、长投计算表!$E$52</f>
        <v>0</v>
      </c>
      <c r="R93" s="80">
        <f>IF(参数输入表!$I$721="手动输入",基准日往来账处理!S62,基准日往来账处理!S140)+折现率、非经营、长投计算表!$E$52</f>
        <v>0</v>
      </c>
      <c r="S93" s="80">
        <f>IF(参数输入表!$I$721="手动输入",基准日往来账处理!T62,基准日往来账处理!T140)+折现率、非经营、长投计算表!$E$52</f>
        <v>0</v>
      </c>
      <c r="T93" s="80">
        <f>IF(参数输入表!$I$721="手动输入",基准日往来账处理!U62,基准日往来账处理!U140)+折现率、非经营、长投计算表!$E$52</f>
        <v>0</v>
      </c>
      <c r="U93" s="80">
        <f>IF(参数输入表!$I$721="手动输入",基准日往来账处理!V62,基准日往来账处理!V140)+折现率、非经营、长投计算表!$E$52</f>
        <v>0</v>
      </c>
      <c r="V93" s="80">
        <f>IF(参数输入表!$I$721="手动输入",基准日往来账处理!W62,基准日往来账处理!W140)+折现率、非经营、长投计算表!$E$52</f>
        <v>0</v>
      </c>
      <c r="W93" s="80">
        <f>IF(参数输入表!$I$721="手动输入",基准日往来账处理!X62,基准日往来账处理!X140)+折现率、非经营、长投计算表!$E$52</f>
        <v>0</v>
      </c>
      <c r="X93" s="80">
        <f>IF(参数输入表!$I$721="手动输入",基准日往来账处理!Y62,基准日往来账处理!Y140)+折现率、非经营、长投计算表!$E$52</f>
        <v>0</v>
      </c>
      <c r="Y93" s="80">
        <f>IF(参数输入表!$I$721="手动输入",基准日往来账处理!Z62,基准日往来账处理!Z140)+折现率、非经营、长投计算表!$E$52</f>
        <v>0</v>
      </c>
      <c r="Z93" s="80">
        <f>IF(参数输入表!$I$721="手动输入",基准日往来账处理!AA62,基准日往来账处理!AA140)+折现率、非经营、长投计算表!$E$52</f>
        <v>0</v>
      </c>
      <c r="AA93" s="80">
        <f>IF(参数输入表!$I$721="手动输入",基准日往来账处理!AB62,基准日往来账处理!AB140)+折现率、非经营、长投计算表!$E$52</f>
        <v>0</v>
      </c>
      <c r="AB93" s="80">
        <f>IF(参数输入表!$I$721="手动输入",基准日往来账处理!AC62,基准日往来账处理!AC140)+折现率、非经营、长投计算表!$E$52</f>
        <v>0</v>
      </c>
      <c r="AC93" s="80">
        <f>IF(参数输入表!$I$721="手动输入",基准日往来账处理!AD62,基准日往来账处理!AD140)+折现率、非经营、长投计算表!$E$52</f>
        <v>0</v>
      </c>
      <c r="AD93" s="80">
        <f>IF(参数输入表!$I$721="手动输入",基准日往来账处理!AE62,基准日往来账处理!AE140)+折现率、非经营、长投计算表!$E$52</f>
        <v>0</v>
      </c>
      <c r="AE93" s="80">
        <f>IF(参数输入表!$I$721="手动输入",基准日往来账处理!AF62,基准日往来账处理!AF140)+折现率、非经营、长投计算表!$E$52</f>
        <v>0</v>
      </c>
    </row>
    <row r="94" spans="2:31">
      <c r="B94" s="20"/>
      <c r="C94" s="25" t="s">
        <v>976</v>
      </c>
      <c r="D94" s="18" t="s">
        <v>24</v>
      </c>
      <c r="E94" s="22"/>
      <c r="F94" s="22"/>
      <c r="G94" s="22"/>
      <c r="H94" s="22"/>
      <c r="I94" s="79">
        <f t="shared" ref="I94:AE94" si="24">H94</f>
        <v>0</v>
      </c>
      <c r="J94" s="79">
        <f t="shared" si="24"/>
        <v>0</v>
      </c>
      <c r="K94" s="79">
        <f t="shared" si="24"/>
        <v>0</v>
      </c>
      <c r="L94" s="79">
        <f t="shared" si="24"/>
        <v>0</v>
      </c>
      <c r="M94" s="79">
        <f t="shared" si="24"/>
        <v>0</v>
      </c>
      <c r="N94" s="79">
        <f t="shared" si="24"/>
        <v>0</v>
      </c>
      <c r="O94" s="79">
        <f t="shared" si="24"/>
        <v>0</v>
      </c>
      <c r="P94" s="79">
        <f t="shared" si="24"/>
        <v>0</v>
      </c>
      <c r="Q94" s="79">
        <f t="shared" si="24"/>
        <v>0</v>
      </c>
      <c r="R94" s="79">
        <f t="shared" si="24"/>
        <v>0</v>
      </c>
      <c r="S94" s="79">
        <f t="shared" si="24"/>
        <v>0</v>
      </c>
      <c r="T94" s="79">
        <f t="shared" si="24"/>
        <v>0</v>
      </c>
      <c r="U94" s="79">
        <f t="shared" si="24"/>
        <v>0</v>
      </c>
      <c r="V94" s="79">
        <f t="shared" si="24"/>
        <v>0</v>
      </c>
      <c r="W94" s="79">
        <f t="shared" si="24"/>
        <v>0</v>
      </c>
      <c r="X94" s="79">
        <f t="shared" si="24"/>
        <v>0</v>
      </c>
      <c r="Y94" s="79">
        <f t="shared" si="24"/>
        <v>0</v>
      </c>
      <c r="Z94" s="79">
        <f t="shared" si="24"/>
        <v>0</v>
      </c>
      <c r="AA94" s="79">
        <f t="shared" si="24"/>
        <v>0</v>
      </c>
      <c r="AB94" s="79">
        <f t="shared" si="24"/>
        <v>0</v>
      </c>
      <c r="AC94" s="79">
        <f t="shared" si="24"/>
        <v>0</v>
      </c>
      <c r="AD94" s="79">
        <f t="shared" si="24"/>
        <v>0</v>
      </c>
      <c r="AE94" s="79">
        <f t="shared" si="24"/>
        <v>0</v>
      </c>
    </row>
    <row r="95" spans="2:31">
      <c r="B95" s="20"/>
      <c r="C95" s="25" t="s">
        <v>977</v>
      </c>
      <c r="D95" s="18" t="s">
        <v>24</v>
      </c>
      <c r="E95" s="22"/>
      <c r="F95" s="22"/>
      <c r="G95" s="22"/>
      <c r="H95" s="22"/>
      <c r="I95" s="79">
        <f t="shared" ref="I95:AE95" si="25">H95</f>
        <v>0</v>
      </c>
      <c r="J95" s="79">
        <f t="shared" si="25"/>
        <v>0</v>
      </c>
      <c r="K95" s="79">
        <f t="shared" si="25"/>
        <v>0</v>
      </c>
      <c r="L95" s="79">
        <f t="shared" si="25"/>
        <v>0</v>
      </c>
      <c r="M95" s="79">
        <f t="shared" si="25"/>
        <v>0</v>
      </c>
      <c r="N95" s="79">
        <f t="shared" si="25"/>
        <v>0</v>
      </c>
      <c r="O95" s="79">
        <f t="shared" si="25"/>
        <v>0</v>
      </c>
      <c r="P95" s="79">
        <f t="shared" si="25"/>
        <v>0</v>
      </c>
      <c r="Q95" s="79">
        <f t="shared" si="25"/>
        <v>0</v>
      </c>
      <c r="R95" s="79">
        <f t="shared" si="25"/>
        <v>0</v>
      </c>
      <c r="S95" s="79">
        <f t="shared" si="25"/>
        <v>0</v>
      </c>
      <c r="T95" s="79">
        <f t="shared" si="25"/>
        <v>0</v>
      </c>
      <c r="U95" s="79">
        <f t="shared" si="25"/>
        <v>0</v>
      </c>
      <c r="V95" s="79">
        <f t="shared" si="25"/>
        <v>0</v>
      </c>
      <c r="W95" s="79">
        <f t="shared" si="25"/>
        <v>0</v>
      </c>
      <c r="X95" s="79">
        <f t="shared" si="25"/>
        <v>0</v>
      </c>
      <c r="Y95" s="79">
        <f t="shared" si="25"/>
        <v>0</v>
      </c>
      <c r="Z95" s="79">
        <f t="shared" si="25"/>
        <v>0</v>
      </c>
      <c r="AA95" s="79">
        <f t="shared" si="25"/>
        <v>0</v>
      </c>
      <c r="AB95" s="79">
        <f t="shared" si="25"/>
        <v>0</v>
      </c>
      <c r="AC95" s="79">
        <f t="shared" si="25"/>
        <v>0</v>
      </c>
      <c r="AD95" s="79">
        <f t="shared" si="25"/>
        <v>0</v>
      </c>
      <c r="AE95" s="79">
        <f t="shared" si="25"/>
        <v>0</v>
      </c>
    </row>
    <row r="96" spans="2:31">
      <c r="B96" s="20"/>
      <c r="C96" s="25" t="s">
        <v>978</v>
      </c>
      <c r="D96" s="18" t="s">
        <v>24</v>
      </c>
      <c r="E96" s="23"/>
      <c r="F96" s="23"/>
      <c r="G96" s="23"/>
      <c r="H96" s="23"/>
      <c r="I96" s="22">
        <f>I97+I98-I99</f>
        <v>0</v>
      </c>
      <c r="J96" s="22">
        <f>J97+J98-J99</f>
        <v>200</v>
      </c>
      <c r="K96" s="22">
        <f>K97+K98-K99</f>
        <v>190</v>
      </c>
      <c r="L96" s="22">
        <f>L97+L98-L99</f>
        <v>180</v>
      </c>
      <c r="M96" s="22">
        <f>M97+M98-M99</f>
        <v>170</v>
      </c>
      <c r="N96" s="22">
        <f t="shared" ref="N96:AE96" si="26">N97+N98-N99</f>
        <v>160</v>
      </c>
      <c r="O96" s="22">
        <f t="shared" si="26"/>
        <v>150</v>
      </c>
      <c r="P96" s="22">
        <f t="shared" si="26"/>
        <v>140</v>
      </c>
      <c r="Q96" s="22">
        <f t="shared" si="26"/>
        <v>130</v>
      </c>
      <c r="R96" s="22">
        <f t="shared" si="26"/>
        <v>120</v>
      </c>
      <c r="S96" s="22">
        <f t="shared" si="26"/>
        <v>110</v>
      </c>
      <c r="T96" s="22">
        <f t="shared" si="26"/>
        <v>100</v>
      </c>
      <c r="U96" s="22">
        <f t="shared" si="26"/>
        <v>90</v>
      </c>
      <c r="V96" s="22">
        <f t="shared" si="26"/>
        <v>80</v>
      </c>
      <c r="W96" s="22">
        <f t="shared" si="26"/>
        <v>70</v>
      </c>
      <c r="X96" s="22">
        <f t="shared" si="26"/>
        <v>60</v>
      </c>
      <c r="Y96" s="22">
        <f t="shared" si="26"/>
        <v>50</v>
      </c>
      <c r="Z96" s="22">
        <f t="shared" si="26"/>
        <v>40</v>
      </c>
      <c r="AA96" s="22">
        <f t="shared" si="26"/>
        <v>30</v>
      </c>
      <c r="AB96" s="22">
        <f t="shared" si="26"/>
        <v>20</v>
      </c>
      <c r="AC96" s="22">
        <f t="shared" si="26"/>
        <v>10</v>
      </c>
      <c r="AD96" s="22">
        <f t="shared" si="26"/>
        <v>0</v>
      </c>
      <c r="AE96" s="22">
        <f t="shared" si="26"/>
        <v>0</v>
      </c>
    </row>
    <row r="97" spans="2:31">
      <c r="B97" s="20"/>
      <c r="C97" s="83" t="s">
        <v>1071</v>
      </c>
      <c r="D97" s="18" t="s">
        <v>24</v>
      </c>
      <c r="E97" s="23"/>
      <c r="F97" s="23"/>
      <c r="G97" s="23"/>
      <c r="H97" s="23"/>
      <c r="I97" s="22">
        <f t="shared" ref="I97:N97" si="27">H96</f>
        <v>0</v>
      </c>
      <c r="J97" s="22">
        <f t="shared" si="27"/>
        <v>0</v>
      </c>
      <c r="K97" s="22">
        <f t="shared" si="27"/>
        <v>200</v>
      </c>
      <c r="L97" s="22">
        <f t="shared" si="27"/>
        <v>190</v>
      </c>
      <c r="M97" s="22">
        <f t="shared" si="27"/>
        <v>180</v>
      </c>
      <c r="N97" s="22">
        <f t="shared" si="27"/>
        <v>170</v>
      </c>
      <c r="O97" s="22">
        <f t="shared" ref="O97:AE97" si="28">N96</f>
        <v>160</v>
      </c>
      <c r="P97" s="22">
        <f t="shared" si="28"/>
        <v>150</v>
      </c>
      <c r="Q97" s="22">
        <f t="shared" si="28"/>
        <v>140</v>
      </c>
      <c r="R97" s="22">
        <f t="shared" si="28"/>
        <v>130</v>
      </c>
      <c r="S97" s="22">
        <f t="shared" si="28"/>
        <v>120</v>
      </c>
      <c r="T97" s="22">
        <f t="shared" si="28"/>
        <v>110</v>
      </c>
      <c r="U97" s="22">
        <f t="shared" si="28"/>
        <v>100</v>
      </c>
      <c r="V97" s="22">
        <f t="shared" si="28"/>
        <v>90</v>
      </c>
      <c r="W97" s="22">
        <f t="shared" si="28"/>
        <v>80</v>
      </c>
      <c r="X97" s="22">
        <f t="shared" si="28"/>
        <v>70</v>
      </c>
      <c r="Y97" s="22">
        <f t="shared" si="28"/>
        <v>60</v>
      </c>
      <c r="Z97" s="22">
        <f t="shared" si="28"/>
        <v>50</v>
      </c>
      <c r="AA97" s="22">
        <f t="shared" si="28"/>
        <v>40</v>
      </c>
      <c r="AB97" s="22">
        <f t="shared" si="28"/>
        <v>30</v>
      </c>
      <c r="AC97" s="22">
        <f t="shared" si="28"/>
        <v>20</v>
      </c>
      <c r="AD97" s="22">
        <f t="shared" si="28"/>
        <v>10</v>
      </c>
      <c r="AE97" s="22">
        <f t="shared" si="28"/>
        <v>0</v>
      </c>
    </row>
    <row r="98" spans="2:31">
      <c r="B98" s="20"/>
      <c r="C98" s="83" t="s">
        <v>1072</v>
      </c>
      <c r="D98" s="18" t="s">
        <v>24</v>
      </c>
      <c r="E98" s="23"/>
      <c r="F98" s="23"/>
      <c r="G98" s="23"/>
      <c r="H98" s="23"/>
      <c r="I98" s="85">
        <f>'表6-现金流量表-资本金'!J15</f>
        <v>0</v>
      </c>
      <c r="J98" s="85">
        <f>'表6-现金流量表-资本金'!K15</f>
        <v>200</v>
      </c>
      <c r="K98" s="85">
        <f>'表6-现金流量表-资本金'!L15</f>
        <v>0</v>
      </c>
      <c r="L98" s="85">
        <f>'表6-现金流量表-资本金'!M15</f>
        <v>0</v>
      </c>
      <c r="M98" s="85">
        <f>'表6-现金流量表-资本金'!N15</f>
        <v>0</v>
      </c>
      <c r="N98" s="85">
        <f>'表6-现金流量表-资本金'!O15</f>
        <v>0</v>
      </c>
      <c r="O98" s="85">
        <f>'表6-现金流量表-资本金'!P15</f>
        <v>0</v>
      </c>
      <c r="P98" s="85">
        <f>'表6-现金流量表-资本金'!Q15</f>
        <v>0</v>
      </c>
      <c r="Q98" s="85">
        <f>'表6-现金流量表-资本金'!R15</f>
        <v>0</v>
      </c>
      <c r="R98" s="85">
        <f>'表6-现金流量表-资本金'!S15</f>
        <v>0</v>
      </c>
      <c r="S98" s="85">
        <f>'表6-现金流量表-资本金'!T15</f>
        <v>0</v>
      </c>
      <c r="T98" s="85">
        <f>'表6-现金流量表-资本金'!U15</f>
        <v>0</v>
      </c>
      <c r="U98" s="85">
        <f>'表6-现金流量表-资本金'!V15</f>
        <v>0</v>
      </c>
      <c r="V98" s="85">
        <f>'表6-现金流量表-资本金'!W15</f>
        <v>0</v>
      </c>
      <c r="W98" s="85">
        <f>'表6-现金流量表-资本金'!X15</f>
        <v>0</v>
      </c>
      <c r="X98" s="85">
        <f>'表6-现金流量表-资本金'!Y15</f>
        <v>0</v>
      </c>
      <c r="Y98" s="85">
        <f>'表6-现金流量表-资本金'!Z15</f>
        <v>0</v>
      </c>
      <c r="Z98" s="85">
        <f>'表6-现金流量表-资本金'!AA15</f>
        <v>0</v>
      </c>
      <c r="AA98" s="85">
        <f>'表6-现金流量表-资本金'!AB15</f>
        <v>0</v>
      </c>
      <c r="AB98" s="85">
        <f>'表6-现金流量表-资本金'!AC15</f>
        <v>0</v>
      </c>
      <c r="AC98" s="85">
        <f>'表6-现金流量表-资本金'!AD15</f>
        <v>0</v>
      </c>
      <c r="AD98" s="85">
        <f>'表6-现金流量表-资本金'!AE15</f>
        <v>0</v>
      </c>
      <c r="AE98" s="85">
        <f>'表6-现金流量表-资本金'!AF15</f>
        <v>0</v>
      </c>
    </row>
    <row r="99" spans="2:31">
      <c r="B99" s="20"/>
      <c r="C99" s="83" t="s">
        <v>1073</v>
      </c>
      <c r="D99" s="18" t="s">
        <v>24</v>
      </c>
      <c r="E99" s="23"/>
      <c r="F99" s="23"/>
      <c r="G99" s="23"/>
      <c r="H99" s="23"/>
      <c r="I99" s="85">
        <f>'表5-利润表-资本金(标准格式)'!J40</f>
        <v>0</v>
      </c>
      <c r="J99" s="85">
        <f>'表5-利润表-资本金(标准格式)'!K40</f>
        <v>0</v>
      </c>
      <c r="K99" s="85">
        <f>'表5-利润表-资本金(标准格式)'!L40</f>
        <v>10</v>
      </c>
      <c r="L99" s="85">
        <f>'表5-利润表-资本金(标准格式)'!M40</f>
        <v>10</v>
      </c>
      <c r="M99" s="85">
        <f>'表5-利润表-资本金(标准格式)'!N40</f>
        <v>10</v>
      </c>
      <c r="N99" s="85">
        <f>'表5-利润表-资本金(标准格式)'!O40</f>
        <v>10</v>
      </c>
      <c r="O99" s="85">
        <f>'表5-利润表-资本金(标准格式)'!P40</f>
        <v>10</v>
      </c>
      <c r="P99" s="85">
        <f>'表5-利润表-资本金(标准格式)'!Q40</f>
        <v>10</v>
      </c>
      <c r="Q99" s="85">
        <f>'表5-利润表-资本金(标准格式)'!R40</f>
        <v>10</v>
      </c>
      <c r="R99" s="85">
        <f>'表5-利润表-资本金(标准格式)'!S40</f>
        <v>10</v>
      </c>
      <c r="S99" s="85">
        <f>'表5-利润表-资本金(标准格式)'!T40</f>
        <v>10</v>
      </c>
      <c r="T99" s="85">
        <f>'表5-利润表-资本金(标准格式)'!U40</f>
        <v>10</v>
      </c>
      <c r="U99" s="85">
        <f>'表5-利润表-资本金(标准格式)'!V40</f>
        <v>10</v>
      </c>
      <c r="V99" s="85">
        <f>'表5-利润表-资本金(标准格式)'!W40</f>
        <v>10</v>
      </c>
      <c r="W99" s="85">
        <f>'表5-利润表-资本金(标准格式)'!X40</f>
        <v>10</v>
      </c>
      <c r="X99" s="85">
        <f>'表5-利润表-资本金(标准格式)'!Y40</f>
        <v>10</v>
      </c>
      <c r="Y99" s="85">
        <f>'表5-利润表-资本金(标准格式)'!Z40</f>
        <v>10</v>
      </c>
      <c r="Z99" s="85">
        <f>'表5-利润表-资本金(标准格式)'!AA40</f>
        <v>10</v>
      </c>
      <c r="AA99" s="85">
        <f>'表5-利润表-资本金(标准格式)'!AB40</f>
        <v>10</v>
      </c>
      <c r="AB99" s="85">
        <f>'表5-利润表-资本金(标准格式)'!AC40</f>
        <v>10</v>
      </c>
      <c r="AC99" s="85">
        <f>'表5-利润表-资本金(标准格式)'!AD40</f>
        <v>10</v>
      </c>
      <c r="AD99" s="85">
        <f>'表5-利润表-资本金(标准格式)'!AE40</f>
        <v>10</v>
      </c>
      <c r="AE99" s="85">
        <f>'表5-利润表-资本金(标准格式)'!AF40</f>
        <v>0</v>
      </c>
    </row>
    <row r="100" spans="2:31">
      <c r="B100" s="20"/>
      <c r="C100" s="25" t="s">
        <v>979</v>
      </c>
      <c r="D100" s="18" t="s">
        <v>24</v>
      </c>
      <c r="E100" s="22"/>
      <c r="F100" s="22"/>
      <c r="G100" s="22"/>
      <c r="H100" s="22"/>
      <c r="I100" s="79">
        <f t="shared" ref="I100:AE100" si="29">H100</f>
        <v>0</v>
      </c>
      <c r="J100" s="79">
        <f t="shared" si="29"/>
        <v>0</v>
      </c>
      <c r="K100" s="79">
        <f t="shared" si="29"/>
        <v>0</v>
      </c>
      <c r="L100" s="79">
        <f t="shared" si="29"/>
        <v>0</v>
      </c>
      <c r="M100" s="79">
        <f t="shared" si="29"/>
        <v>0</v>
      </c>
      <c r="N100" s="79">
        <f t="shared" si="29"/>
        <v>0</v>
      </c>
      <c r="O100" s="79">
        <f t="shared" si="29"/>
        <v>0</v>
      </c>
      <c r="P100" s="79">
        <f t="shared" si="29"/>
        <v>0</v>
      </c>
      <c r="Q100" s="79">
        <f t="shared" si="29"/>
        <v>0</v>
      </c>
      <c r="R100" s="79">
        <f t="shared" si="29"/>
        <v>0</v>
      </c>
      <c r="S100" s="79">
        <f t="shared" si="29"/>
        <v>0</v>
      </c>
      <c r="T100" s="79">
        <f t="shared" si="29"/>
        <v>0</v>
      </c>
      <c r="U100" s="79">
        <f t="shared" si="29"/>
        <v>0</v>
      </c>
      <c r="V100" s="79">
        <f t="shared" si="29"/>
        <v>0</v>
      </c>
      <c r="W100" s="79">
        <f t="shared" si="29"/>
        <v>0</v>
      </c>
      <c r="X100" s="79">
        <f t="shared" si="29"/>
        <v>0</v>
      </c>
      <c r="Y100" s="79">
        <f t="shared" si="29"/>
        <v>0</v>
      </c>
      <c r="Z100" s="79">
        <f t="shared" si="29"/>
        <v>0</v>
      </c>
      <c r="AA100" s="79">
        <f t="shared" si="29"/>
        <v>0</v>
      </c>
      <c r="AB100" s="79">
        <f t="shared" si="29"/>
        <v>0</v>
      </c>
      <c r="AC100" s="79">
        <f t="shared" si="29"/>
        <v>0</v>
      </c>
      <c r="AD100" s="79">
        <f t="shared" si="29"/>
        <v>0</v>
      </c>
      <c r="AE100" s="79">
        <f t="shared" si="29"/>
        <v>0</v>
      </c>
    </row>
    <row r="101" spans="2:31">
      <c r="B101" s="20"/>
      <c r="C101" s="25" t="s">
        <v>980</v>
      </c>
      <c r="D101" s="18" t="s">
        <v>24</v>
      </c>
      <c r="E101" s="22"/>
      <c r="F101" s="22"/>
      <c r="G101" s="22"/>
      <c r="H101" s="22"/>
      <c r="I101" s="79">
        <f t="shared" ref="I101:AE101" si="30">H101</f>
        <v>0</v>
      </c>
      <c r="J101" s="79">
        <f t="shared" si="30"/>
        <v>0</v>
      </c>
      <c r="K101" s="79">
        <f t="shared" si="30"/>
        <v>0</v>
      </c>
      <c r="L101" s="79">
        <f t="shared" si="30"/>
        <v>0</v>
      </c>
      <c r="M101" s="79">
        <f t="shared" si="30"/>
        <v>0</v>
      </c>
      <c r="N101" s="79">
        <f t="shared" si="30"/>
        <v>0</v>
      </c>
      <c r="O101" s="79">
        <f t="shared" si="30"/>
        <v>0</v>
      </c>
      <c r="P101" s="79">
        <f t="shared" si="30"/>
        <v>0</v>
      </c>
      <c r="Q101" s="79">
        <f t="shared" si="30"/>
        <v>0</v>
      </c>
      <c r="R101" s="79">
        <f t="shared" si="30"/>
        <v>0</v>
      </c>
      <c r="S101" s="79">
        <f t="shared" si="30"/>
        <v>0</v>
      </c>
      <c r="T101" s="79">
        <f t="shared" si="30"/>
        <v>0</v>
      </c>
      <c r="U101" s="79">
        <f t="shared" si="30"/>
        <v>0</v>
      </c>
      <c r="V101" s="79">
        <f t="shared" si="30"/>
        <v>0</v>
      </c>
      <c r="W101" s="79">
        <f t="shared" si="30"/>
        <v>0</v>
      </c>
      <c r="X101" s="79">
        <f t="shared" si="30"/>
        <v>0</v>
      </c>
      <c r="Y101" s="79">
        <f t="shared" si="30"/>
        <v>0</v>
      </c>
      <c r="Z101" s="79">
        <f t="shared" si="30"/>
        <v>0</v>
      </c>
      <c r="AA101" s="79">
        <f t="shared" si="30"/>
        <v>0</v>
      </c>
      <c r="AB101" s="79">
        <f t="shared" si="30"/>
        <v>0</v>
      </c>
      <c r="AC101" s="79">
        <f t="shared" si="30"/>
        <v>0</v>
      </c>
      <c r="AD101" s="79">
        <f t="shared" si="30"/>
        <v>0</v>
      </c>
      <c r="AE101" s="79">
        <f t="shared" si="30"/>
        <v>0</v>
      </c>
    </row>
    <row r="102" spans="2:31">
      <c r="B102" s="20"/>
      <c r="C102" s="76" t="s">
        <v>1074</v>
      </c>
      <c r="D102" s="18" t="s">
        <v>24</v>
      </c>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row>
    <row r="103" ht="23.4" customHeight="1" spans="2:31">
      <c r="B103" s="68">
        <v>3</v>
      </c>
      <c r="C103" s="69" t="s">
        <v>1075</v>
      </c>
      <c r="D103" s="84" t="s">
        <v>24</v>
      </c>
      <c r="E103" s="71">
        <f>E111+E112+E115-E116+E117+E119+E120+E126+E127</f>
        <v>0</v>
      </c>
      <c r="F103" s="71">
        <f>F111+F112+F115-F116+F117+F119+F120+F126+F127</f>
        <v>0</v>
      </c>
      <c r="G103" s="71">
        <f>G111+G112+G115-G116+G117+G119+G120+G126+G127</f>
        <v>0</v>
      </c>
      <c r="H103" s="71">
        <f>H111+H112+H115-H116+H117+H119+H120+H126+H127</f>
        <v>8115.18722</v>
      </c>
      <c r="I103" s="71">
        <f ca="1" t="shared" ref="I103:AE103" si="31">I111+I112+I115-I116+I117+I119+I120+I126+I127</f>
        <v>19211.6555596007</v>
      </c>
      <c r="J103" s="71">
        <f ca="1" t="shared" si="31"/>
        <v>43648.2879995855</v>
      </c>
      <c r="K103" s="71">
        <f ca="1" t="shared" si="31"/>
        <v>44068.7750130935</v>
      </c>
      <c r="L103" s="71">
        <f ca="1" t="shared" si="31"/>
        <v>44215.7214044248</v>
      </c>
      <c r="M103" s="71">
        <f ca="1" t="shared" si="31"/>
        <v>44380.6499545566</v>
      </c>
      <c r="N103" s="71">
        <f ca="1" t="shared" si="31"/>
        <v>44562.8474709446</v>
      </c>
      <c r="O103" s="71">
        <f ca="1" t="shared" si="31"/>
        <v>44763.187821851</v>
      </c>
      <c r="P103" s="71">
        <f ca="1" t="shared" si="31"/>
        <v>44982.5829129048</v>
      </c>
      <c r="Q103" s="71">
        <f ca="1" t="shared" si="31"/>
        <v>45159.5021445221</v>
      </c>
      <c r="R103" s="71">
        <f ca="1" t="shared" si="31"/>
        <v>45354.1164745141</v>
      </c>
      <c r="S103" s="71">
        <f ca="1" t="shared" si="31"/>
        <v>45568.3261107851</v>
      </c>
      <c r="T103" s="71">
        <f ca="1" t="shared" si="31"/>
        <v>45803.0828245203</v>
      </c>
      <c r="U103" s="71">
        <f ca="1" t="shared" si="31"/>
        <v>46053.4739059517</v>
      </c>
      <c r="V103" s="71">
        <f ca="1" t="shared" si="31"/>
        <v>46307.1413888517</v>
      </c>
      <c r="W103" s="71">
        <f ca="1" t="shared" si="31"/>
        <v>46656.8514308003</v>
      </c>
      <c r="X103" s="71">
        <f ca="1" t="shared" si="31"/>
        <v>47104.1021641128</v>
      </c>
      <c r="Y103" s="71">
        <f ca="1" t="shared" si="31"/>
        <v>47381.4432393233</v>
      </c>
      <c r="Z103" s="71">
        <f ca="1" t="shared" si="31"/>
        <v>47573.471322781</v>
      </c>
      <c r="AA103" s="71">
        <f ca="1" t="shared" si="31"/>
        <v>47823.4623304447</v>
      </c>
      <c r="AB103" s="71">
        <f ca="1" t="shared" si="31"/>
        <v>48488.2356394378</v>
      </c>
      <c r="AC103" s="71">
        <f ca="1" t="shared" si="31"/>
        <v>48824.5663078312</v>
      </c>
      <c r="AD103" s="71">
        <f ca="1" t="shared" si="31"/>
        <v>48824.5663078312</v>
      </c>
      <c r="AE103" s="71">
        <f ca="1" t="shared" si="31"/>
        <v>48824.5663078312</v>
      </c>
    </row>
    <row r="104" spans="2:31">
      <c r="B104" s="20"/>
      <c r="C104" s="25" t="s">
        <v>1076</v>
      </c>
      <c r="D104" s="18" t="s">
        <v>24</v>
      </c>
      <c r="E104" s="23"/>
      <c r="F104" s="23"/>
      <c r="G104" s="23"/>
      <c r="H104" s="23">
        <v>8690.25</v>
      </c>
      <c r="I104" s="23">
        <f ca="1">H104+'表1-资金筹措及还本付息表'!J12</f>
        <v>19186.5309956007</v>
      </c>
      <c r="J104" s="23">
        <f ca="1">I104+'表1-资金筹措及还本付息表'!K12</f>
        <v>43584.5663078312</v>
      </c>
      <c r="K104" s="23">
        <f ca="1">J104+'表1-资金筹措及还本付息表'!L12</f>
        <v>43824.5663078312</v>
      </c>
      <c r="L104" s="23">
        <f ca="1">K104+'表1-资金筹措及还本付息表'!M12</f>
        <v>43824.5663078312</v>
      </c>
      <c r="M104" s="23">
        <f ca="1">L104+'表1-资金筹措及还本付息表'!N12</f>
        <v>43824.5663078312</v>
      </c>
      <c r="N104" s="23">
        <f ca="1">M104+'表1-资金筹措及还本付息表'!O12</f>
        <v>43824.5663078312</v>
      </c>
      <c r="O104" s="23">
        <f ca="1">N104+'表1-资金筹措及还本付息表'!P12</f>
        <v>43824.5663078312</v>
      </c>
      <c r="P104" s="23">
        <f ca="1">O104+'表1-资金筹措及还本付息表'!Q12</f>
        <v>43824.5663078312</v>
      </c>
      <c r="Q104" s="23">
        <f ca="1">P104+'表1-资金筹措及还本付息表'!R12</f>
        <v>43824.5663078312</v>
      </c>
      <c r="R104" s="23">
        <f ca="1">Q104+'表1-资金筹措及还本付息表'!S12</f>
        <v>43824.5663078312</v>
      </c>
      <c r="S104" s="23">
        <f ca="1">R104+'表1-资金筹措及还本付息表'!T12</f>
        <v>43824.5663078312</v>
      </c>
      <c r="T104" s="23">
        <f ca="1">S104+'表1-资金筹措及还本付息表'!U12</f>
        <v>43824.5663078312</v>
      </c>
      <c r="U104" s="23">
        <f ca="1">T104+'表1-资金筹措及还本付息表'!V12</f>
        <v>43824.5663078312</v>
      </c>
      <c r="V104" s="23">
        <f ca="1">U104+'表1-资金筹措及还本付息表'!W12</f>
        <v>43824.5663078312</v>
      </c>
      <c r="W104" s="23">
        <f ca="1">V104+'表1-资金筹措及还本付息表'!X12</f>
        <v>43824.5663078312</v>
      </c>
      <c r="X104" s="23">
        <f ca="1">W104+'表1-资金筹措及还本付息表'!Y12</f>
        <v>43824.5663078312</v>
      </c>
      <c r="Y104" s="23">
        <f ca="1">X104+'表1-资金筹措及还本付息表'!Z12</f>
        <v>43824.5663078312</v>
      </c>
      <c r="Z104" s="23">
        <f ca="1">Y104+'表1-资金筹措及还本付息表'!AA12</f>
        <v>43824.5663078312</v>
      </c>
      <c r="AA104" s="23">
        <f ca="1">Z104+'表1-资金筹措及还本付息表'!AB12</f>
        <v>43824.5663078312</v>
      </c>
      <c r="AB104" s="23">
        <f ca="1">AA104+'表1-资金筹措及还本付息表'!AC12</f>
        <v>43824.5663078312</v>
      </c>
      <c r="AC104" s="23">
        <f ca="1">AB104+'表1-资金筹措及还本付息表'!AD12</f>
        <v>43824.5663078312</v>
      </c>
      <c r="AD104" s="23">
        <f ca="1">AC104+'表1-资金筹措及还本付息表'!AE12</f>
        <v>43824.5663078312</v>
      </c>
      <c r="AE104" s="23">
        <f ca="1">AD104+'表1-资金筹措及还本付息表'!AF12</f>
        <v>43824.5663078312</v>
      </c>
    </row>
    <row r="105" spans="2:31">
      <c r="B105" s="20"/>
      <c r="C105" s="76" t="s">
        <v>1077</v>
      </c>
      <c r="D105" s="18" t="s">
        <v>24</v>
      </c>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row>
    <row r="106" spans="2:31">
      <c r="B106" s="20"/>
      <c r="C106" s="76" t="s">
        <v>1078</v>
      </c>
      <c r="D106" s="18" t="s">
        <v>24</v>
      </c>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row>
    <row r="107" spans="2:31">
      <c r="B107" s="20"/>
      <c r="C107" s="76" t="s">
        <v>1079</v>
      </c>
      <c r="D107" s="18" t="s">
        <v>24</v>
      </c>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row>
    <row r="108" spans="2:31">
      <c r="B108" s="20"/>
      <c r="C108" s="76" t="s">
        <v>1080</v>
      </c>
      <c r="D108" s="18" t="s">
        <v>24</v>
      </c>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row>
    <row r="109" spans="2:31">
      <c r="B109" s="20"/>
      <c r="C109" s="76" t="s">
        <v>1081</v>
      </c>
      <c r="D109" s="18" t="s">
        <v>24</v>
      </c>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row>
    <row r="110" spans="2:31">
      <c r="B110" s="20"/>
      <c r="C110" s="25" t="s">
        <v>1082</v>
      </c>
      <c r="D110" s="18" t="s">
        <v>24</v>
      </c>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row>
    <row r="111" spans="2:31">
      <c r="B111" s="20"/>
      <c r="C111" s="25" t="s">
        <v>1083</v>
      </c>
      <c r="D111" s="18" t="s">
        <v>24</v>
      </c>
      <c r="E111" s="23"/>
      <c r="F111" s="23"/>
      <c r="G111" s="23"/>
      <c r="H111" s="23">
        <v>8690.25</v>
      </c>
      <c r="I111" s="22">
        <f ca="1">I104-I110</f>
        <v>19186.5309956007</v>
      </c>
      <c r="J111" s="22">
        <f ca="1">J104-J110</f>
        <v>43584.5663078312</v>
      </c>
      <c r="K111" s="22">
        <f ca="1">K104-K110</f>
        <v>43824.5663078312</v>
      </c>
      <c r="L111" s="22">
        <f ca="1">L104-L110</f>
        <v>43824.5663078312</v>
      </c>
      <c r="M111" s="22">
        <f ca="1" t="shared" ref="M111:AE111" si="32">M104-M110</f>
        <v>43824.5663078312</v>
      </c>
      <c r="N111" s="22">
        <f ca="1" t="shared" si="32"/>
        <v>43824.5663078312</v>
      </c>
      <c r="O111" s="22">
        <f ca="1" t="shared" si="32"/>
        <v>43824.5663078312</v>
      </c>
      <c r="P111" s="22">
        <f ca="1" t="shared" si="32"/>
        <v>43824.5663078312</v>
      </c>
      <c r="Q111" s="22">
        <f ca="1" t="shared" si="32"/>
        <v>43824.5663078312</v>
      </c>
      <c r="R111" s="22">
        <f ca="1" t="shared" si="32"/>
        <v>43824.5663078312</v>
      </c>
      <c r="S111" s="22">
        <f ca="1" t="shared" si="32"/>
        <v>43824.5663078312</v>
      </c>
      <c r="T111" s="22">
        <f ca="1" t="shared" si="32"/>
        <v>43824.5663078312</v>
      </c>
      <c r="U111" s="22">
        <f ca="1" t="shared" si="32"/>
        <v>43824.5663078312</v>
      </c>
      <c r="V111" s="22">
        <f ca="1" t="shared" si="32"/>
        <v>43824.5663078312</v>
      </c>
      <c r="W111" s="22">
        <f ca="1" t="shared" si="32"/>
        <v>43824.5663078312</v>
      </c>
      <c r="X111" s="22">
        <f ca="1" t="shared" si="32"/>
        <v>43824.5663078312</v>
      </c>
      <c r="Y111" s="22">
        <f ca="1" t="shared" si="32"/>
        <v>43824.5663078312</v>
      </c>
      <c r="Z111" s="22">
        <f ca="1" t="shared" si="32"/>
        <v>43824.5663078312</v>
      </c>
      <c r="AA111" s="22">
        <f ca="1" t="shared" si="32"/>
        <v>43824.5663078312</v>
      </c>
      <c r="AB111" s="22">
        <f ca="1" t="shared" si="32"/>
        <v>43824.5663078312</v>
      </c>
      <c r="AC111" s="22">
        <f ca="1" t="shared" si="32"/>
        <v>43824.5663078312</v>
      </c>
      <c r="AD111" s="22">
        <f ca="1" t="shared" si="32"/>
        <v>43824.5663078312</v>
      </c>
      <c r="AE111" s="22">
        <f ca="1" t="shared" si="32"/>
        <v>43824.5663078312</v>
      </c>
    </row>
    <row r="112" spans="2:31">
      <c r="B112" s="20"/>
      <c r="C112" s="25" t="s">
        <v>1084</v>
      </c>
      <c r="D112" s="18" t="s">
        <v>24</v>
      </c>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row>
    <row r="113" spans="2:31">
      <c r="B113" s="20"/>
      <c r="C113" s="76" t="s">
        <v>1068</v>
      </c>
      <c r="D113" s="18" t="s">
        <v>24</v>
      </c>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row>
    <row r="114" spans="2:31">
      <c r="B114" s="20"/>
      <c r="C114" s="76" t="s">
        <v>1069</v>
      </c>
      <c r="D114" s="18" t="s">
        <v>24</v>
      </c>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row>
    <row r="115" spans="2:31">
      <c r="B115" s="20"/>
      <c r="C115" s="25" t="s">
        <v>1085</v>
      </c>
      <c r="D115" s="18" t="s">
        <v>24</v>
      </c>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row>
    <row r="116" spans="2:31">
      <c r="B116" s="20"/>
      <c r="C116" s="25" t="s">
        <v>1086</v>
      </c>
      <c r="D116" s="18" t="s">
        <v>24</v>
      </c>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row>
    <row r="117" spans="2:31">
      <c r="B117" s="20"/>
      <c r="C117" s="25" t="s">
        <v>1087</v>
      </c>
      <c r="D117" s="18" t="s">
        <v>24</v>
      </c>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row>
    <row r="118" spans="2:31">
      <c r="B118" s="20"/>
      <c r="C118" s="76" t="s">
        <v>1088</v>
      </c>
      <c r="D118" s="18" t="s">
        <v>24</v>
      </c>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row>
    <row r="119" spans="2:31">
      <c r="B119" s="20"/>
      <c r="C119" s="25" t="s">
        <v>1089</v>
      </c>
      <c r="D119" s="18" t="s">
        <v>24</v>
      </c>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row>
    <row r="120" spans="2:31">
      <c r="B120" s="20"/>
      <c r="C120" s="25" t="s">
        <v>1090</v>
      </c>
      <c r="D120" s="18" t="s">
        <v>24</v>
      </c>
      <c r="E120" s="23"/>
      <c r="F120" s="23"/>
      <c r="G120" s="23"/>
      <c r="H120" s="23">
        <v>25.124564</v>
      </c>
      <c r="I120" s="22">
        <f ca="1">SUM(I121:I125)</f>
        <v>25.124564</v>
      </c>
      <c r="J120" s="22">
        <f ca="1">SUM(J121:J125)</f>
        <v>63.7216917542962</v>
      </c>
      <c r="K120" s="22">
        <f ca="1">SUM(K121:K125)</f>
        <v>244.208705262351</v>
      </c>
      <c r="L120" s="22">
        <f ca="1">SUM(L121:L125)</f>
        <v>391.155096593665</v>
      </c>
      <c r="M120" s="22">
        <f ca="1">SUM(M121:M125)</f>
        <v>556.083646725482</v>
      </c>
      <c r="N120" s="22">
        <f ca="1" t="shared" ref="N120:AE120" si="33">SUM(N121:N125)</f>
        <v>738.28116311339</v>
      </c>
      <c r="O120" s="22">
        <f ca="1" t="shared" si="33"/>
        <v>938.621514019853</v>
      </c>
      <c r="P120" s="22">
        <f ca="1" t="shared" si="33"/>
        <v>1158.01660507359</v>
      </c>
      <c r="Q120" s="22">
        <f ca="1" t="shared" si="33"/>
        <v>1334.93583669096</v>
      </c>
      <c r="R120" s="22">
        <f ca="1" t="shared" si="33"/>
        <v>1529.55016668291</v>
      </c>
      <c r="S120" s="22">
        <f ca="1" t="shared" si="33"/>
        <v>1743.75980295393</v>
      </c>
      <c r="T120" s="22">
        <f ca="1" t="shared" si="33"/>
        <v>1978.5165166891</v>
      </c>
      <c r="U120" s="22">
        <f ca="1" t="shared" si="33"/>
        <v>2228.90759812055</v>
      </c>
      <c r="V120" s="22">
        <f ca="1" t="shared" si="33"/>
        <v>2482.57508102055</v>
      </c>
      <c r="W120" s="22">
        <f ca="1" t="shared" si="33"/>
        <v>2832.28512296918</v>
      </c>
      <c r="X120" s="22">
        <f ca="1" t="shared" si="33"/>
        <v>3279.53585628162</v>
      </c>
      <c r="Y120" s="22">
        <f ca="1" t="shared" si="33"/>
        <v>3556.87693149214</v>
      </c>
      <c r="Z120" s="22">
        <f ca="1" t="shared" si="33"/>
        <v>3748.90501494981</v>
      </c>
      <c r="AA120" s="22">
        <f ca="1" t="shared" si="33"/>
        <v>3998.8960226135</v>
      </c>
      <c r="AB120" s="22">
        <f ca="1" t="shared" si="33"/>
        <v>4663.66933160668</v>
      </c>
      <c r="AC120" s="22">
        <f ca="1" t="shared" si="33"/>
        <v>5000</v>
      </c>
      <c r="AD120" s="22">
        <f ca="1" t="shared" si="33"/>
        <v>5000</v>
      </c>
      <c r="AE120" s="22">
        <f ca="1" t="shared" si="33"/>
        <v>5000</v>
      </c>
    </row>
    <row r="121" spans="2:31">
      <c r="B121" s="20"/>
      <c r="C121" s="76" t="s">
        <v>1091</v>
      </c>
      <c r="D121" s="18" t="s">
        <v>24</v>
      </c>
      <c r="E121" s="23"/>
      <c r="F121" s="23"/>
      <c r="G121" s="23"/>
      <c r="H121" s="23">
        <v>25.124564</v>
      </c>
      <c r="I121" s="22">
        <f ca="1">'表5-利润表-资本金(标准格式)'!J56</f>
        <v>25.124564</v>
      </c>
      <c r="J121" s="22">
        <f ca="1">'表5-利润表-资本金(标准格式)'!K56</f>
        <v>63.7216917542962</v>
      </c>
      <c r="K121" s="22">
        <f ca="1">'表5-利润表-资本金(标准格式)'!L56</f>
        <v>244.208705262351</v>
      </c>
      <c r="L121" s="22">
        <f ca="1">'表5-利润表-资本金(标准格式)'!M56</f>
        <v>391.155096593665</v>
      </c>
      <c r="M121" s="22">
        <f ca="1">'表5-利润表-资本金(标准格式)'!N56</f>
        <v>556.083646725482</v>
      </c>
      <c r="N121" s="22">
        <f ca="1">'表5-利润表-资本金(标准格式)'!O56</f>
        <v>738.28116311339</v>
      </c>
      <c r="O121" s="22">
        <f ca="1">'表5-利润表-资本金(标准格式)'!P56</f>
        <v>938.621514019853</v>
      </c>
      <c r="P121" s="22">
        <f ca="1">'表5-利润表-资本金(标准格式)'!Q56</f>
        <v>1158.01660507359</v>
      </c>
      <c r="Q121" s="22">
        <f ca="1">'表5-利润表-资本金(标准格式)'!R56</f>
        <v>1334.93583669096</v>
      </c>
      <c r="R121" s="22">
        <f ca="1">'表5-利润表-资本金(标准格式)'!S56</f>
        <v>1529.55016668291</v>
      </c>
      <c r="S121" s="22">
        <f ca="1">'表5-利润表-资本金(标准格式)'!T56</f>
        <v>1743.75980295393</v>
      </c>
      <c r="T121" s="22">
        <f ca="1">'表5-利润表-资本金(标准格式)'!U56</f>
        <v>1978.5165166891</v>
      </c>
      <c r="U121" s="22">
        <f ca="1">'表5-利润表-资本金(标准格式)'!V56</f>
        <v>2228.90759812055</v>
      </c>
      <c r="V121" s="22">
        <f ca="1">'表5-利润表-资本金(标准格式)'!W56</f>
        <v>2482.57508102055</v>
      </c>
      <c r="W121" s="22">
        <f ca="1">'表5-利润表-资本金(标准格式)'!X56</f>
        <v>2832.28512296918</v>
      </c>
      <c r="X121" s="22">
        <f ca="1">'表5-利润表-资本金(标准格式)'!Y56</f>
        <v>3279.53585628162</v>
      </c>
      <c r="Y121" s="22">
        <f ca="1">'表5-利润表-资本金(标准格式)'!Z56</f>
        <v>3556.87693149214</v>
      </c>
      <c r="Z121" s="22">
        <f ca="1">'表5-利润表-资本金(标准格式)'!AA56</f>
        <v>3748.90501494981</v>
      </c>
      <c r="AA121" s="22">
        <f ca="1">'表5-利润表-资本金(标准格式)'!AB56</f>
        <v>3998.8960226135</v>
      </c>
      <c r="AB121" s="22">
        <f ca="1">'表5-利润表-资本金(标准格式)'!AC56</f>
        <v>4663.66933160668</v>
      </c>
      <c r="AC121" s="22">
        <f ca="1">'表5-利润表-资本金(标准格式)'!AD56</f>
        <v>5000</v>
      </c>
      <c r="AD121" s="22">
        <f ca="1">'表5-利润表-资本金(标准格式)'!AE56</f>
        <v>5000</v>
      </c>
      <c r="AE121" s="22">
        <f ca="1">'表5-利润表-资本金(标准格式)'!AF56</f>
        <v>5000</v>
      </c>
    </row>
    <row r="122" spans="2:31">
      <c r="B122" s="20"/>
      <c r="C122" s="76" t="s">
        <v>1092</v>
      </c>
      <c r="D122" s="18" t="s">
        <v>24</v>
      </c>
      <c r="E122" s="23"/>
      <c r="F122" s="23"/>
      <c r="G122" s="23"/>
      <c r="H122" s="23"/>
      <c r="I122" s="22">
        <f ca="1">'表5-利润表-资本金(标准格式)'!J59</f>
        <v>0</v>
      </c>
      <c r="J122" s="22">
        <f ca="1">'表5-利润表-资本金(标准格式)'!K59</f>
        <v>0</v>
      </c>
      <c r="K122" s="22">
        <f ca="1">'表5-利润表-资本金(标准格式)'!L59</f>
        <v>0</v>
      </c>
      <c r="L122" s="22">
        <f ca="1">'表5-利润表-资本金(标准格式)'!M59</f>
        <v>0</v>
      </c>
      <c r="M122" s="22">
        <f ca="1">'表5-利润表-资本金(标准格式)'!N59</f>
        <v>0</v>
      </c>
      <c r="N122" s="22">
        <f ca="1">'表5-利润表-资本金(标准格式)'!O59</f>
        <v>0</v>
      </c>
      <c r="O122" s="22">
        <f ca="1">'表5-利润表-资本金(标准格式)'!P59</f>
        <v>0</v>
      </c>
      <c r="P122" s="22">
        <f ca="1">'表5-利润表-资本金(标准格式)'!Q59</f>
        <v>0</v>
      </c>
      <c r="Q122" s="22">
        <f ca="1">'表5-利润表-资本金(标准格式)'!R59</f>
        <v>0</v>
      </c>
      <c r="R122" s="22">
        <f ca="1">'表5-利润表-资本金(标准格式)'!S59</f>
        <v>0</v>
      </c>
      <c r="S122" s="22">
        <f ca="1">'表5-利润表-资本金(标准格式)'!T59</f>
        <v>0</v>
      </c>
      <c r="T122" s="22">
        <f ca="1">'表5-利润表-资本金(标准格式)'!U59</f>
        <v>0</v>
      </c>
      <c r="U122" s="22">
        <f ca="1">'表5-利润表-资本金(标准格式)'!V59</f>
        <v>0</v>
      </c>
      <c r="V122" s="22">
        <f ca="1">'表5-利润表-资本金(标准格式)'!W59</f>
        <v>0</v>
      </c>
      <c r="W122" s="22">
        <f ca="1">'表5-利润表-资本金(标准格式)'!X59</f>
        <v>0</v>
      </c>
      <c r="X122" s="22">
        <f ca="1">'表5-利润表-资本金(标准格式)'!Y59</f>
        <v>0</v>
      </c>
      <c r="Y122" s="22">
        <f ca="1">'表5-利润表-资本金(标准格式)'!Z59</f>
        <v>0</v>
      </c>
      <c r="Z122" s="22">
        <f ca="1">'表5-利润表-资本金(标准格式)'!AA59</f>
        <v>0</v>
      </c>
      <c r="AA122" s="22">
        <f ca="1">'表5-利润表-资本金(标准格式)'!AB59</f>
        <v>0</v>
      </c>
      <c r="AB122" s="22">
        <f ca="1">'表5-利润表-资本金(标准格式)'!AC59</f>
        <v>0</v>
      </c>
      <c r="AC122" s="22">
        <f ca="1">'表5-利润表-资本金(标准格式)'!AD59</f>
        <v>0</v>
      </c>
      <c r="AD122" s="22">
        <f ca="1">'表5-利润表-资本金(标准格式)'!AE59</f>
        <v>0</v>
      </c>
      <c r="AE122" s="22">
        <f ca="1">'表5-利润表-资本金(标准格式)'!AF59</f>
        <v>0</v>
      </c>
    </row>
    <row r="123" spans="2:31">
      <c r="B123" s="20"/>
      <c r="C123" s="76" t="s">
        <v>1093</v>
      </c>
      <c r="D123" s="18" t="s">
        <v>24</v>
      </c>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row>
    <row r="124" spans="2:31">
      <c r="B124" s="20"/>
      <c r="C124" s="76" t="s">
        <v>1094</v>
      </c>
      <c r="D124" s="18" t="s">
        <v>24</v>
      </c>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row>
    <row r="125" spans="2:31">
      <c r="B125" s="20"/>
      <c r="C125" s="76" t="s">
        <v>1095</v>
      </c>
      <c r="D125" s="18" t="s">
        <v>24</v>
      </c>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row>
    <row r="126" spans="2:31">
      <c r="B126" s="20"/>
      <c r="C126" s="25" t="s">
        <v>1096</v>
      </c>
      <c r="D126" s="18" t="s">
        <v>24</v>
      </c>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row>
    <row r="127" spans="2:31">
      <c r="B127" s="20"/>
      <c r="C127" s="25" t="s">
        <v>1097</v>
      </c>
      <c r="D127" s="18" t="s">
        <v>24</v>
      </c>
      <c r="E127" s="23"/>
      <c r="F127" s="23"/>
      <c r="G127" s="23"/>
      <c r="H127" s="23">
        <v>-600.187344</v>
      </c>
      <c r="I127" s="22">
        <f ca="1">'表5-利润表-资本金(标准格式)'!J62</f>
        <v>0</v>
      </c>
      <c r="J127" s="22">
        <f ca="1">'表5-利润表-资本金(标准格式)'!K62</f>
        <v>0</v>
      </c>
      <c r="K127" s="22">
        <f ca="1">'表5-利润表-资本金(标准格式)'!L62</f>
        <v>0</v>
      </c>
      <c r="L127" s="22">
        <f ca="1">'表5-利润表-资本金(标准格式)'!M62</f>
        <v>0</v>
      </c>
      <c r="M127" s="22">
        <f ca="1">'表5-利润表-资本金(标准格式)'!N62</f>
        <v>0</v>
      </c>
      <c r="N127" s="22">
        <f ca="1">'表5-利润表-资本金(标准格式)'!O62</f>
        <v>0</v>
      </c>
      <c r="O127" s="22">
        <f ca="1">'表5-利润表-资本金(标准格式)'!P62</f>
        <v>0</v>
      </c>
      <c r="P127" s="22">
        <f ca="1">'表5-利润表-资本金(标准格式)'!Q62</f>
        <v>0</v>
      </c>
      <c r="Q127" s="22">
        <f ca="1">'表5-利润表-资本金(标准格式)'!R62</f>
        <v>0</v>
      </c>
      <c r="R127" s="22">
        <f ca="1">'表5-利润表-资本金(标准格式)'!S62</f>
        <v>0</v>
      </c>
      <c r="S127" s="22">
        <f ca="1">'表5-利润表-资本金(标准格式)'!T62</f>
        <v>0</v>
      </c>
      <c r="T127" s="22">
        <f ca="1">'表5-利润表-资本金(标准格式)'!U62</f>
        <v>0</v>
      </c>
      <c r="U127" s="22">
        <f ca="1">'表5-利润表-资本金(标准格式)'!V62</f>
        <v>0</v>
      </c>
      <c r="V127" s="22">
        <f ca="1">'表5-利润表-资本金(标准格式)'!W62</f>
        <v>0</v>
      </c>
      <c r="W127" s="22">
        <f ca="1">'表5-利润表-资本金(标准格式)'!X62</f>
        <v>0</v>
      </c>
      <c r="X127" s="22">
        <f ca="1">'表5-利润表-资本金(标准格式)'!Y62</f>
        <v>0</v>
      </c>
      <c r="Y127" s="22">
        <f ca="1">'表5-利润表-资本金(标准格式)'!Z62</f>
        <v>0</v>
      </c>
      <c r="Z127" s="22">
        <f ca="1">'表5-利润表-资本金(标准格式)'!AA62</f>
        <v>0</v>
      </c>
      <c r="AA127" s="22">
        <f ca="1">'表5-利润表-资本金(标准格式)'!AB62</f>
        <v>0</v>
      </c>
      <c r="AB127" s="22">
        <f ca="1">'表5-利润表-资本金(标准格式)'!AC62</f>
        <v>0</v>
      </c>
      <c r="AC127" s="22">
        <f ca="1">'表5-利润表-资本金(标准格式)'!AD62</f>
        <v>0</v>
      </c>
      <c r="AD127" s="22">
        <f ca="1">'表5-利润表-资本金(标准格式)'!AE62</f>
        <v>0</v>
      </c>
      <c r="AE127" s="22">
        <f ca="1">'表5-利润表-资本金(标准格式)'!AF62</f>
        <v>0</v>
      </c>
    </row>
    <row r="128" s="2" customFormat="1" spans="2:31">
      <c r="B128" s="48"/>
      <c r="C128" s="73" t="s">
        <v>1098</v>
      </c>
      <c r="D128" s="54" t="s">
        <v>24</v>
      </c>
      <c r="E128" s="78"/>
      <c r="F128" s="78"/>
      <c r="G128" s="78"/>
      <c r="H128" s="78">
        <f>H103-H129</f>
        <v>8115.18722</v>
      </c>
      <c r="I128" s="49">
        <f ca="1" t="shared" ref="I128:AE128" si="34">I103-I129</f>
        <v>19211.6555596007</v>
      </c>
      <c r="J128" s="49">
        <f ca="1" t="shared" si="34"/>
        <v>43648.2879995855</v>
      </c>
      <c r="K128" s="49">
        <f ca="1" t="shared" si="34"/>
        <v>44068.7750130935</v>
      </c>
      <c r="L128" s="49">
        <f ca="1" t="shared" si="34"/>
        <v>44215.7214044248</v>
      </c>
      <c r="M128" s="49">
        <f ca="1" t="shared" si="34"/>
        <v>44380.6499545566</v>
      </c>
      <c r="N128" s="49">
        <f ca="1" t="shared" si="34"/>
        <v>44562.8474709446</v>
      </c>
      <c r="O128" s="49">
        <f ca="1" t="shared" si="34"/>
        <v>44763.187821851</v>
      </c>
      <c r="P128" s="49">
        <f ca="1" t="shared" si="34"/>
        <v>44982.5829129048</v>
      </c>
      <c r="Q128" s="49">
        <f ca="1" t="shared" si="34"/>
        <v>45159.5021445221</v>
      </c>
      <c r="R128" s="49">
        <f ca="1" t="shared" si="34"/>
        <v>45354.1164745141</v>
      </c>
      <c r="S128" s="49">
        <f ca="1" t="shared" si="34"/>
        <v>45568.3261107851</v>
      </c>
      <c r="T128" s="49">
        <f ca="1" t="shared" si="34"/>
        <v>45803.0828245203</v>
      </c>
      <c r="U128" s="49">
        <f ca="1" t="shared" si="34"/>
        <v>46053.4739059517</v>
      </c>
      <c r="V128" s="49">
        <f ca="1" t="shared" si="34"/>
        <v>46307.1413888517</v>
      </c>
      <c r="W128" s="49">
        <f ca="1" t="shared" si="34"/>
        <v>46656.8514308003</v>
      </c>
      <c r="X128" s="49">
        <f ca="1" t="shared" si="34"/>
        <v>47104.1021641128</v>
      </c>
      <c r="Y128" s="49">
        <f ca="1" t="shared" si="34"/>
        <v>47381.4432393233</v>
      </c>
      <c r="Z128" s="49">
        <f ca="1" t="shared" si="34"/>
        <v>47573.471322781</v>
      </c>
      <c r="AA128" s="49">
        <f ca="1" t="shared" si="34"/>
        <v>47823.4623304447</v>
      </c>
      <c r="AB128" s="49">
        <f ca="1" t="shared" si="34"/>
        <v>48488.2356394378</v>
      </c>
      <c r="AC128" s="49">
        <f ca="1" t="shared" si="34"/>
        <v>48824.5663078312</v>
      </c>
      <c r="AD128" s="49">
        <f ca="1" t="shared" si="34"/>
        <v>48824.5663078312</v>
      </c>
      <c r="AE128" s="49">
        <f ca="1" t="shared" si="34"/>
        <v>48824.5663078312</v>
      </c>
    </row>
    <row r="129" spans="2:31">
      <c r="B129" s="20"/>
      <c r="C129" s="25" t="s">
        <v>1099</v>
      </c>
      <c r="D129" s="18" t="s">
        <v>24</v>
      </c>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c r="AE129" s="22"/>
    </row>
    <row r="130" ht="23.4" customHeight="1" spans="2:31">
      <c r="B130" s="86">
        <v>4</v>
      </c>
      <c r="C130" s="87" t="s">
        <v>1100</v>
      </c>
      <c r="D130" s="88" t="s">
        <v>24</v>
      </c>
      <c r="E130" s="89">
        <f t="shared" ref="E130:M130" si="35">E103+E57</f>
        <v>0</v>
      </c>
      <c r="F130" s="89">
        <f t="shared" si="35"/>
        <v>0</v>
      </c>
      <c r="G130" s="89">
        <f t="shared" si="35"/>
        <v>0</v>
      </c>
      <c r="H130" s="89">
        <f t="shared" si="35"/>
        <v>46877.72862</v>
      </c>
      <c r="I130" s="89">
        <f ca="1" t="shared" si="35"/>
        <v>88506.4015144027</v>
      </c>
      <c r="J130" s="89">
        <f ca="1" t="shared" si="35"/>
        <v>183584.821667079</v>
      </c>
      <c r="K130" s="89">
        <f ca="1" t="shared" si="35"/>
        <v>176262.804822667</v>
      </c>
      <c r="L130" s="89">
        <f ca="1" t="shared" si="35"/>
        <v>167942.982862187</v>
      </c>
      <c r="M130" s="89">
        <f ca="1" t="shared" si="35"/>
        <v>159936.279202984</v>
      </c>
      <c r="N130" s="89">
        <f ca="1" t="shared" ref="N130:W130" si="36">N103+N57</f>
        <v>151707.694325036</v>
      </c>
      <c r="O130" s="89">
        <f ca="1" t="shared" si="36"/>
        <v>143247.81863865</v>
      </c>
      <c r="P130" s="89">
        <f ca="1" t="shared" si="36"/>
        <v>134546.838402808</v>
      </c>
      <c r="Q130" s="89">
        <f ca="1" t="shared" si="36"/>
        <v>125532.036168473</v>
      </c>
      <c r="R130" s="89">
        <f ca="1" t="shared" si="36"/>
        <v>116251.915009476</v>
      </c>
      <c r="S130" s="89">
        <f ca="1" t="shared" si="36"/>
        <v>106696.205530732</v>
      </c>
      <c r="T130" s="89">
        <f ca="1" t="shared" si="36"/>
        <v>99453.1666075063</v>
      </c>
      <c r="U130" s="89">
        <f ca="1" t="shared" si="36"/>
        <v>91904.6468395877</v>
      </c>
      <c r="V130" s="89">
        <f ca="1" t="shared" si="36"/>
        <v>84024.4803066155</v>
      </c>
      <c r="W130" s="89">
        <f ca="1" t="shared" si="36"/>
        <v>75891.0314700096</v>
      </c>
      <c r="X130" s="89">
        <f ca="1" t="shared" ref="X130:AE130" si="37">X103+X57</f>
        <v>67490.7774929895</v>
      </c>
      <c r="Y130" s="89">
        <f ca="1" t="shared" si="37"/>
        <v>58540.6011553233</v>
      </c>
      <c r="Z130" s="89">
        <f ca="1" t="shared" si="37"/>
        <v>58722.629238781</v>
      </c>
      <c r="AA130" s="89">
        <f ca="1" t="shared" si="37"/>
        <v>47853.4623304447</v>
      </c>
      <c r="AB130" s="89">
        <f ca="1" t="shared" si="37"/>
        <v>48508.2356394378</v>
      </c>
      <c r="AC130" s="89">
        <f ca="1" t="shared" si="37"/>
        <v>48834.5663078311</v>
      </c>
      <c r="AD130" s="89">
        <f ca="1" t="shared" si="37"/>
        <v>48824.5663078311</v>
      </c>
      <c r="AE130" s="89">
        <f ca="1" t="shared" si="37"/>
        <v>48824.5663078311</v>
      </c>
    </row>
    <row r="131" s="67" customFormat="1" ht="27.6" customHeight="1" spans="2:31">
      <c r="B131" s="90"/>
      <c r="C131" s="91" t="s">
        <v>1101</v>
      </c>
      <c r="D131" s="90"/>
      <c r="E131" s="92">
        <f t="shared" ref="E131:M131" si="38">E5-E130</f>
        <v>0</v>
      </c>
      <c r="F131" s="92">
        <f t="shared" si="38"/>
        <v>0</v>
      </c>
      <c r="G131" s="92">
        <f t="shared" si="38"/>
        <v>30016</v>
      </c>
      <c r="H131" s="92">
        <f t="shared" si="38"/>
        <v>0</v>
      </c>
      <c r="I131" s="92">
        <f ca="1" t="shared" si="38"/>
        <v>0</v>
      </c>
      <c r="J131" s="92">
        <f ca="1" t="shared" si="38"/>
        <v>0</v>
      </c>
      <c r="K131" s="92">
        <f ca="1" t="shared" si="38"/>
        <v>0</v>
      </c>
      <c r="L131" s="92">
        <f ca="1" t="shared" si="38"/>
        <v>0</v>
      </c>
      <c r="M131" s="92">
        <f ca="1" t="shared" si="38"/>
        <v>0</v>
      </c>
      <c r="N131" s="92">
        <f ca="1" t="shared" ref="N131:W131" si="39">N5-N130</f>
        <v>0</v>
      </c>
      <c r="O131" s="92">
        <f ca="1" t="shared" si="39"/>
        <v>0</v>
      </c>
      <c r="P131" s="92">
        <f ca="1" t="shared" si="39"/>
        <v>0</v>
      </c>
      <c r="Q131" s="92">
        <f ca="1" t="shared" si="39"/>
        <v>0</v>
      </c>
      <c r="R131" s="92">
        <f ca="1" t="shared" si="39"/>
        <v>0</v>
      </c>
      <c r="S131" s="92">
        <f ca="1" t="shared" si="39"/>
        <v>0</v>
      </c>
      <c r="T131" s="92">
        <f ca="1" t="shared" si="39"/>
        <v>0</v>
      </c>
      <c r="U131" s="92">
        <f ca="1" t="shared" si="39"/>
        <v>0</v>
      </c>
      <c r="V131" s="92">
        <f ca="1" t="shared" si="39"/>
        <v>0</v>
      </c>
      <c r="W131" s="92">
        <f ca="1" t="shared" si="39"/>
        <v>0</v>
      </c>
      <c r="X131" s="92">
        <f ca="1" t="shared" ref="X131:AE131" si="40">X5-X130</f>
        <v>0</v>
      </c>
      <c r="Y131" s="92">
        <f ca="1" t="shared" si="40"/>
        <v>-5.82076609134674e-11</v>
      </c>
      <c r="Z131" s="92">
        <f ca="1" t="shared" si="40"/>
        <v>-6.54836185276508e-11</v>
      </c>
      <c r="AA131" s="92">
        <f ca="1" t="shared" si="40"/>
        <v>-8.00355337560177e-11</v>
      </c>
      <c r="AB131" s="92">
        <f ca="1" t="shared" si="40"/>
        <v>0</v>
      </c>
      <c r="AC131" s="92">
        <f ca="1" t="shared" si="40"/>
        <v>0</v>
      </c>
      <c r="AD131" s="92">
        <f ca="1" t="shared" si="40"/>
        <v>0</v>
      </c>
      <c r="AE131" s="92">
        <f ca="1" t="shared" si="40"/>
        <v>0</v>
      </c>
    </row>
    <row r="134" ht="22.5" spans="3:3">
      <c r="C134" s="93" t="s">
        <v>1102</v>
      </c>
    </row>
  </sheetData>
  <mergeCells count="3">
    <mergeCell ref="B3:B4"/>
    <mergeCell ref="C3:C4"/>
    <mergeCell ref="D3:D4"/>
  </mergeCells>
  <conditionalFormatting sqref="E131:AE131">
    <cfRule type="cellIs" dxfId="2" priority="1" operator="notEqual">
      <formula>0</formula>
    </cfRule>
  </conditionalFormatting>
  <pageMargins left="0.7" right="0.7" top="0.75" bottom="0.75" header="0.3" footer="0.3"/>
  <pageSetup paperSize="9" orientation="portrait"/>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tabColor theme="0" tint="-0.149998474074526"/>
  </sheetPr>
  <dimension ref="B1:AF104"/>
  <sheetViews>
    <sheetView showGridLines="0" zoomScale="70" zoomScaleNormal="70" topLeftCell="A16" workbookViewId="0">
      <selection activeCell="D103" sqref="D103:E103"/>
    </sheetView>
  </sheetViews>
  <sheetFormatPr defaultColWidth="9" defaultRowHeight="16.5"/>
  <cols>
    <col min="1" max="1" width="2.89090909090909" style="4" customWidth="1"/>
    <col min="2" max="2" width="7.10909090909091" style="5" customWidth="1"/>
    <col min="3" max="3" width="56.6636363636364" style="4" customWidth="1"/>
    <col min="4" max="4" width="17.7818181818182" style="5"/>
    <col min="5" max="5" width="9" style="5"/>
    <col min="6" max="7" width="10.5545454545455" style="4" customWidth="1"/>
    <col min="8" max="9" width="12.8909090909091" style="4" customWidth="1"/>
    <col min="10" max="10" width="14.7818181818182" style="4" customWidth="1"/>
    <col min="11" max="32" width="12.8909090909091" style="4" customWidth="1"/>
    <col min="33" max="16384" width="9" style="4"/>
  </cols>
  <sheetData>
    <row r="1" ht="7.95" customHeight="1"/>
    <row r="2" ht="24" customHeight="1" spans="2:2">
      <c r="B2" s="6" t="s">
        <v>1103</v>
      </c>
    </row>
    <row r="3" spans="2:32">
      <c r="B3" s="7" t="s">
        <v>15</v>
      </c>
      <c r="C3" s="8" t="s">
        <v>463</v>
      </c>
      <c r="D3" s="9" t="s">
        <v>17</v>
      </c>
      <c r="E3" s="9" t="s">
        <v>18</v>
      </c>
      <c r="F3" s="10" t="s">
        <v>464</v>
      </c>
      <c r="G3" s="10" t="s">
        <v>465</v>
      </c>
      <c r="H3" s="10" t="s">
        <v>466</v>
      </c>
      <c r="I3" s="37">
        <v>45107</v>
      </c>
      <c r="J3" s="37">
        <v>45261</v>
      </c>
      <c r="K3" s="10" t="s">
        <v>20</v>
      </c>
      <c r="L3" s="10" t="s">
        <v>467</v>
      </c>
      <c r="M3" s="10" t="s">
        <v>468</v>
      </c>
      <c r="N3" s="10" t="s">
        <v>469</v>
      </c>
      <c r="O3" s="10" t="s">
        <v>470</v>
      </c>
      <c r="P3" s="10" t="s">
        <v>471</v>
      </c>
      <c r="Q3" s="10" t="s">
        <v>472</v>
      </c>
      <c r="R3" s="10" t="s">
        <v>473</v>
      </c>
      <c r="S3" s="10" t="s">
        <v>474</v>
      </c>
      <c r="T3" s="10" t="s">
        <v>475</v>
      </c>
      <c r="U3" s="10" t="s">
        <v>476</v>
      </c>
      <c r="V3" s="10" t="s">
        <v>477</v>
      </c>
      <c r="W3" s="10" t="s">
        <v>478</v>
      </c>
      <c r="X3" s="10" t="s">
        <v>479</v>
      </c>
      <c r="Y3" s="10" t="s">
        <v>480</v>
      </c>
      <c r="Z3" s="10" t="s">
        <v>481</v>
      </c>
      <c r="AA3" s="10" t="s">
        <v>482</v>
      </c>
      <c r="AB3" s="10" t="s">
        <v>483</v>
      </c>
      <c r="AC3" s="10" t="s">
        <v>484</v>
      </c>
      <c r="AD3" s="10" t="s">
        <v>485</v>
      </c>
      <c r="AE3" s="10" t="s">
        <v>486</v>
      </c>
      <c r="AF3" s="37">
        <v>53051</v>
      </c>
    </row>
    <row r="4" spans="2:32">
      <c r="B4" s="11"/>
      <c r="C4" s="12"/>
      <c r="D4" s="13"/>
      <c r="E4" s="13"/>
      <c r="F4" s="14">
        <v>1</v>
      </c>
      <c r="G4" s="14">
        <v>2</v>
      </c>
      <c r="H4" s="14">
        <v>3</v>
      </c>
      <c r="I4" s="14">
        <v>4</v>
      </c>
      <c r="J4" s="38">
        <v>5</v>
      </c>
      <c r="K4" s="38">
        <v>6</v>
      </c>
      <c r="L4" s="38">
        <v>7</v>
      </c>
      <c r="M4" s="38">
        <v>8</v>
      </c>
      <c r="N4" s="38">
        <v>9</v>
      </c>
      <c r="O4" s="38">
        <v>10</v>
      </c>
      <c r="P4" s="38">
        <v>11</v>
      </c>
      <c r="Q4" s="38">
        <v>12</v>
      </c>
      <c r="R4" s="38">
        <v>13</v>
      </c>
      <c r="S4" s="38">
        <v>14</v>
      </c>
      <c r="T4" s="38">
        <v>15</v>
      </c>
      <c r="U4" s="38">
        <v>16</v>
      </c>
      <c r="V4" s="38">
        <v>17</v>
      </c>
      <c r="W4" s="38">
        <v>18</v>
      </c>
      <c r="X4" s="38">
        <v>19</v>
      </c>
      <c r="Y4" s="38">
        <v>20</v>
      </c>
      <c r="Z4" s="38">
        <v>21</v>
      </c>
      <c r="AA4" s="38">
        <v>22</v>
      </c>
      <c r="AB4" s="38">
        <v>23</v>
      </c>
      <c r="AC4" s="38">
        <v>24</v>
      </c>
      <c r="AD4" s="38">
        <v>25</v>
      </c>
      <c r="AE4" s="38">
        <v>26</v>
      </c>
      <c r="AF4" s="38">
        <v>27</v>
      </c>
    </row>
    <row r="5" s="1" customFormat="1" spans="2:32">
      <c r="B5" s="15" t="s">
        <v>724</v>
      </c>
      <c r="C5" s="16" t="s">
        <v>725</v>
      </c>
      <c r="D5" s="17">
        <f t="shared" ref="D5:D60" si="0">SUM(F5:AF5)</f>
        <v>352199.740125664</v>
      </c>
      <c r="E5" s="18" t="s">
        <v>24</v>
      </c>
      <c r="F5" s="19">
        <f t="shared" ref="F5:AF5" si="1">SUM(F6:F9)</f>
        <v>0</v>
      </c>
      <c r="G5" s="19">
        <f t="shared" si="1"/>
        <v>0</v>
      </c>
      <c r="H5" s="19">
        <f t="shared" si="1"/>
        <v>0</v>
      </c>
      <c r="I5" s="19">
        <f t="shared" si="1"/>
        <v>0</v>
      </c>
      <c r="J5" s="39">
        <f t="shared" si="1"/>
        <v>1656.15906039823</v>
      </c>
      <c r="K5" s="39">
        <f t="shared" si="1"/>
        <v>14152.0508528761</v>
      </c>
      <c r="L5" s="39">
        <f t="shared" si="1"/>
        <v>18589.6865840708</v>
      </c>
      <c r="M5" s="39">
        <f t="shared" si="1"/>
        <v>18504.4980530973</v>
      </c>
      <c r="N5" s="39">
        <f t="shared" si="1"/>
        <v>18419.3121769912</v>
      </c>
      <c r="O5" s="39">
        <f t="shared" si="1"/>
        <v>18334.126300885</v>
      </c>
      <c r="P5" s="39">
        <f t="shared" si="1"/>
        <v>18248.9377699115</v>
      </c>
      <c r="Q5" s="39">
        <f t="shared" si="1"/>
        <v>18163.7518938053</v>
      </c>
      <c r="R5" s="39">
        <f t="shared" si="1"/>
        <v>18078.5633628319</v>
      </c>
      <c r="S5" s="39">
        <f t="shared" si="1"/>
        <v>17993.3774867257</v>
      </c>
      <c r="T5" s="39">
        <f t="shared" si="1"/>
        <v>17908.1916106195</v>
      </c>
      <c r="U5" s="39">
        <f t="shared" si="1"/>
        <v>17823.003079646</v>
      </c>
      <c r="V5" s="39">
        <f t="shared" si="1"/>
        <v>17737.8172035398</v>
      </c>
      <c r="W5" s="39">
        <f t="shared" si="1"/>
        <v>17652.6286725664</v>
      </c>
      <c r="X5" s="39">
        <f t="shared" si="1"/>
        <v>17567.4427964602</v>
      </c>
      <c r="Y5" s="39">
        <f t="shared" si="1"/>
        <v>17482.256920354</v>
      </c>
      <c r="Z5" s="39">
        <f t="shared" si="1"/>
        <v>14824.1150973451</v>
      </c>
      <c r="AA5" s="39">
        <f t="shared" si="1"/>
        <v>13295.2042831858</v>
      </c>
      <c r="AB5" s="39">
        <f t="shared" si="1"/>
        <v>13229.7807079646</v>
      </c>
      <c r="AC5" s="39">
        <f t="shared" si="1"/>
        <v>13164.3597876106</v>
      </c>
      <c r="AD5" s="39">
        <f t="shared" si="1"/>
        <v>13098.9388672566</v>
      </c>
      <c r="AE5" s="39">
        <f t="shared" si="1"/>
        <v>13033.5152920354</v>
      </c>
      <c r="AF5" s="39">
        <f t="shared" si="1"/>
        <v>3242.02226548672</v>
      </c>
    </row>
    <row r="6" spans="2:32">
      <c r="B6" s="20"/>
      <c r="C6" s="21" t="s">
        <v>726</v>
      </c>
      <c r="D6" s="22">
        <f t="shared" si="0"/>
        <v>352199.740125664</v>
      </c>
      <c r="E6" s="18" t="s">
        <v>24</v>
      </c>
      <c r="F6" s="23"/>
      <c r="G6" s="23"/>
      <c r="H6" s="23"/>
      <c r="I6" s="23"/>
      <c r="J6" s="22">
        <f>'表4-收入税金表'!J6</f>
        <v>1656.15906039823</v>
      </c>
      <c r="K6" s="22">
        <f>'表4-收入税金表'!K6</f>
        <v>14152.0508528761</v>
      </c>
      <c r="L6" s="22">
        <f>'表4-收入税金表'!L6</f>
        <v>18589.6865840708</v>
      </c>
      <c r="M6" s="22">
        <f>'表4-收入税金表'!M6</f>
        <v>18504.4980530973</v>
      </c>
      <c r="N6" s="22">
        <f>'表4-收入税金表'!N6</f>
        <v>18419.3121769912</v>
      </c>
      <c r="O6" s="22">
        <f>'表4-收入税金表'!O6</f>
        <v>18334.126300885</v>
      </c>
      <c r="P6" s="22">
        <f>'表4-收入税金表'!P6</f>
        <v>18248.9377699115</v>
      </c>
      <c r="Q6" s="22">
        <f>'表4-收入税金表'!Q6</f>
        <v>18163.7518938053</v>
      </c>
      <c r="R6" s="22">
        <f>'表4-收入税金表'!R6</f>
        <v>18078.5633628319</v>
      </c>
      <c r="S6" s="22">
        <f>'表4-收入税金表'!S6</f>
        <v>17993.3774867257</v>
      </c>
      <c r="T6" s="22">
        <f>'表4-收入税金表'!T6</f>
        <v>17908.1916106195</v>
      </c>
      <c r="U6" s="22">
        <f>'表4-收入税金表'!U6</f>
        <v>17823.003079646</v>
      </c>
      <c r="V6" s="22">
        <f>'表4-收入税金表'!V6</f>
        <v>17737.8172035398</v>
      </c>
      <c r="W6" s="22">
        <f>'表4-收入税金表'!W6</f>
        <v>17652.6286725664</v>
      </c>
      <c r="X6" s="22">
        <f>'表4-收入税金表'!X6</f>
        <v>17567.4427964602</v>
      </c>
      <c r="Y6" s="22">
        <f>'表4-收入税金表'!Y6</f>
        <v>17482.256920354</v>
      </c>
      <c r="Z6" s="22">
        <f>'表4-收入税金表'!Z6</f>
        <v>14824.1150973451</v>
      </c>
      <c r="AA6" s="22">
        <f>'表4-收入税金表'!AA6</f>
        <v>13295.2042831858</v>
      </c>
      <c r="AB6" s="22">
        <f>'表4-收入税金表'!AB6</f>
        <v>13229.7807079646</v>
      </c>
      <c r="AC6" s="22">
        <f>'表4-收入税金表'!AC6</f>
        <v>13164.3597876106</v>
      </c>
      <c r="AD6" s="22">
        <f>'表4-收入税金表'!AD6</f>
        <v>13098.9388672566</v>
      </c>
      <c r="AE6" s="22">
        <f>'表4-收入税金表'!AE6</f>
        <v>13033.5152920354</v>
      </c>
      <c r="AF6" s="22">
        <f>'表4-收入税金表'!AF6</f>
        <v>3242.02226548672</v>
      </c>
    </row>
    <row r="7" spans="2:32">
      <c r="B7" s="20"/>
      <c r="C7" s="24" t="s">
        <v>727</v>
      </c>
      <c r="D7" s="22">
        <f t="shared" si="0"/>
        <v>0</v>
      </c>
      <c r="E7" s="18" t="s">
        <v>24</v>
      </c>
      <c r="F7" s="23"/>
      <c r="G7" s="23"/>
      <c r="H7" s="23"/>
      <c r="I7" s="23"/>
      <c r="J7" s="22"/>
      <c r="K7" s="22"/>
      <c r="L7" s="22"/>
      <c r="M7" s="22"/>
      <c r="N7" s="22"/>
      <c r="O7" s="22"/>
      <c r="P7" s="22"/>
      <c r="Q7" s="22"/>
      <c r="R7" s="22"/>
      <c r="S7" s="22"/>
      <c r="T7" s="22"/>
      <c r="U7" s="22"/>
      <c r="V7" s="22"/>
      <c r="W7" s="22"/>
      <c r="X7" s="22"/>
      <c r="Y7" s="22"/>
      <c r="Z7" s="22"/>
      <c r="AA7" s="22"/>
      <c r="AB7" s="22"/>
      <c r="AC7" s="22"/>
      <c r="AD7" s="22"/>
      <c r="AE7" s="22"/>
      <c r="AF7" s="22"/>
    </row>
    <row r="8" spans="2:32">
      <c r="B8" s="20"/>
      <c r="C8" s="24" t="s">
        <v>728</v>
      </c>
      <c r="D8" s="22">
        <f t="shared" si="0"/>
        <v>0</v>
      </c>
      <c r="E8" s="18" t="s">
        <v>24</v>
      </c>
      <c r="F8" s="23"/>
      <c r="G8" s="23"/>
      <c r="H8" s="23"/>
      <c r="I8" s="23"/>
      <c r="J8" s="22"/>
      <c r="K8" s="22"/>
      <c r="L8" s="22"/>
      <c r="M8" s="22"/>
      <c r="N8" s="22"/>
      <c r="O8" s="22"/>
      <c r="P8" s="22"/>
      <c r="Q8" s="22"/>
      <c r="R8" s="22"/>
      <c r="S8" s="22"/>
      <c r="T8" s="22"/>
      <c r="U8" s="22"/>
      <c r="V8" s="22"/>
      <c r="W8" s="22"/>
      <c r="X8" s="22"/>
      <c r="Y8" s="22"/>
      <c r="Z8" s="22"/>
      <c r="AA8" s="22"/>
      <c r="AB8" s="22"/>
      <c r="AC8" s="22"/>
      <c r="AD8" s="22"/>
      <c r="AE8" s="22"/>
      <c r="AF8" s="22"/>
    </row>
    <row r="9" spans="2:32">
      <c r="B9" s="20"/>
      <c r="C9" s="24" t="s">
        <v>729</v>
      </c>
      <c r="D9" s="22">
        <f t="shared" si="0"/>
        <v>0</v>
      </c>
      <c r="E9" s="18" t="s">
        <v>24</v>
      </c>
      <c r="F9" s="23"/>
      <c r="G9" s="23"/>
      <c r="H9" s="23"/>
      <c r="I9" s="23"/>
      <c r="J9" s="22"/>
      <c r="K9" s="22"/>
      <c r="L9" s="22"/>
      <c r="M9" s="22"/>
      <c r="N9" s="22"/>
      <c r="O9" s="22"/>
      <c r="P9" s="22"/>
      <c r="Q9" s="22"/>
      <c r="R9" s="22"/>
      <c r="S9" s="22"/>
      <c r="T9" s="22"/>
      <c r="U9" s="22"/>
      <c r="V9" s="22"/>
      <c r="W9" s="22"/>
      <c r="X9" s="22"/>
      <c r="Y9" s="22"/>
      <c r="Z9" s="22"/>
      <c r="AA9" s="22"/>
      <c r="AB9" s="22"/>
      <c r="AC9" s="22"/>
      <c r="AD9" s="22"/>
      <c r="AE9" s="22"/>
      <c r="AF9" s="22"/>
    </row>
    <row r="10" s="1" customFormat="1" spans="2:32">
      <c r="B10" s="15" t="s">
        <v>730</v>
      </c>
      <c r="C10" s="16" t="s">
        <v>731</v>
      </c>
      <c r="D10" s="17">
        <f ca="1" t="shared" si="0"/>
        <v>282141.306764516</v>
      </c>
      <c r="E10" s="18" t="s">
        <v>24</v>
      </c>
      <c r="F10" s="19">
        <f t="shared" ref="F10:AF10" si="2">SUM(F11:F23)+F27</f>
        <v>0</v>
      </c>
      <c r="G10" s="19">
        <f t="shared" si="2"/>
        <v>0</v>
      </c>
      <c r="H10" s="19">
        <f t="shared" si="2"/>
        <v>0</v>
      </c>
      <c r="I10" s="19">
        <f t="shared" si="2"/>
        <v>0</v>
      </c>
      <c r="J10" s="39">
        <f ca="1" t="shared" si="2"/>
        <v>3055.49656742155</v>
      </c>
      <c r="K10" s="39">
        <f ca="1" t="shared" si="2"/>
        <v>13980.6813452446</v>
      </c>
      <c r="L10" s="39">
        <f ca="1" t="shared" si="2"/>
        <v>17011.7992703252</v>
      </c>
      <c r="M10" s="39">
        <f ca="1" t="shared" si="2"/>
        <v>17068.9028193193</v>
      </c>
      <c r="N10" s="39">
        <f ca="1" t="shared" si="2"/>
        <v>16772.1621337954</v>
      </c>
      <c r="O10" s="39">
        <f ca="1" t="shared" si="2"/>
        <v>16483.811948794</v>
      </c>
      <c r="P10" s="39">
        <f ca="1" t="shared" si="2"/>
        <v>16185.1783058376</v>
      </c>
      <c r="Q10" s="39">
        <f ca="1" t="shared" si="2"/>
        <v>15875.819016234</v>
      </c>
      <c r="R10" s="39">
        <f ca="1" t="shared" si="2"/>
        <v>16012.8261153083</v>
      </c>
      <c r="S10" s="39">
        <f ca="1" t="shared" si="2"/>
        <v>15691.7055942076</v>
      </c>
      <c r="T10" s="39">
        <f ca="1" t="shared" si="2"/>
        <v>15345.2489677139</v>
      </c>
      <c r="U10" s="39">
        <f ca="1" t="shared" si="2"/>
        <v>14986.099403885</v>
      </c>
      <c r="V10" s="39">
        <f ca="1" t="shared" si="2"/>
        <v>14692.4552918285</v>
      </c>
      <c r="W10" s="39">
        <f ca="1" t="shared" si="2"/>
        <v>14563.581407941</v>
      </c>
      <c r="X10" s="39">
        <f ca="1" t="shared" si="2"/>
        <v>13197.8280778531</v>
      </c>
      <c r="Y10" s="39">
        <f ca="1" t="shared" si="2"/>
        <v>11812.0996502294</v>
      </c>
      <c r="Z10" s="39">
        <f ca="1" t="shared" si="2"/>
        <v>11419.4199352462</v>
      </c>
      <c r="AA10" s="39">
        <f ca="1" t="shared" si="2"/>
        <v>11028.0156777916</v>
      </c>
      <c r="AB10" s="39">
        <f ca="1" t="shared" si="2"/>
        <v>10189.7531131567</v>
      </c>
      <c r="AC10" s="39">
        <f ca="1" t="shared" si="2"/>
        <v>4593.90150840957</v>
      </c>
      <c r="AD10" s="39">
        <f ca="1" t="shared" si="2"/>
        <v>3925.26748833258</v>
      </c>
      <c r="AE10" s="39">
        <f ca="1" t="shared" si="2"/>
        <v>3953.04688055913</v>
      </c>
      <c r="AF10" s="39">
        <f ca="1" t="shared" si="2"/>
        <v>4296.20624508206</v>
      </c>
    </row>
    <row r="11" spans="2:32">
      <c r="B11" s="20"/>
      <c r="C11" s="21" t="s">
        <v>732</v>
      </c>
      <c r="D11" s="22">
        <f ca="1" t="shared" si="0"/>
        <v>219338.953173349</v>
      </c>
      <c r="E11" s="18" t="s">
        <v>24</v>
      </c>
      <c r="F11" s="23"/>
      <c r="G11" s="23"/>
      <c r="H11" s="23"/>
      <c r="I11" s="23"/>
      <c r="J11" s="40">
        <f ca="1">'表3-成本费用表'!J7</f>
        <v>2381.58547755777</v>
      </c>
      <c r="K11" s="40">
        <f ca="1">'表3-成本费用表'!K7</f>
        <v>10114.8166774323</v>
      </c>
      <c r="L11" s="40">
        <f ca="1">'表3-成本费用表'!L7</f>
        <v>11326.7301311518</v>
      </c>
      <c r="M11" s="40">
        <f ca="1">'表3-成本费用表'!M7</f>
        <v>11664.8703068924</v>
      </c>
      <c r="N11" s="40">
        <f ca="1">'表3-成本费用表'!N7</f>
        <v>11693.6703068924</v>
      </c>
      <c r="O11" s="40">
        <f ca="1">'表3-成本费用表'!O7</f>
        <v>11722.4703068924</v>
      </c>
      <c r="P11" s="40">
        <f ca="1">'表3-成本费用表'!P7</f>
        <v>11751.2703068924</v>
      </c>
      <c r="Q11" s="40">
        <f ca="1">'表3-成本费用表'!Q7</f>
        <v>11780.0703068924</v>
      </c>
      <c r="R11" s="40">
        <f ca="1">'表3-成本费用表'!R7</f>
        <v>11992.4026590506</v>
      </c>
      <c r="S11" s="40">
        <f ca="1">'表3-成本费用表'!S7</f>
        <v>12021.2026590506</v>
      </c>
      <c r="T11" s="40">
        <f ca="1">'表3-成本费用表'!T7</f>
        <v>12049.2585582506</v>
      </c>
      <c r="U11" s="40">
        <f ca="1">'表3-成本费用表'!U7</f>
        <v>12077.3144574506</v>
      </c>
      <c r="V11" s="40">
        <f ca="1">'表3-成本费用表'!V7</f>
        <v>12106.1144574506</v>
      </c>
      <c r="W11" s="40">
        <f ca="1">'表3-成本费用表'!W7</f>
        <v>12318.4468096088</v>
      </c>
      <c r="X11" s="40">
        <f ca="1">'表3-成本费用表'!X7</f>
        <v>11298.3931134302</v>
      </c>
      <c r="Y11" s="40">
        <f ca="1">'表3-成本费用表'!Y7</f>
        <v>10278.3394172516</v>
      </c>
      <c r="Z11" s="40">
        <f ca="1">'表3-成本费用表'!Z7</f>
        <v>10307.1394172516</v>
      </c>
      <c r="AA11" s="40">
        <f ca="1">'表3-成本费用表'!AA7</f>
        <v>10335.9394172516</v>
      </c>
      <c r="AB11" s="40">
        <f ca="1">'表3-成本费用表'!AB7</f>
        <v>9503.65158883061</v>
      </c>
      <c r="AC11" s="40">
        <f ca="1">'表3-成本费用表'!AC7</f>
        <v>4309.3506859346</v>
      </c>
      <c r="AD11" s="40">
        <f>'表3-成本费用表'!AD7</f>
        <v>3641.73723221513</v>
      </c>
      <c r="AE11" s="40">
        <f>'表3-成本费用表'!AE7</f>
        <v>3670.53723221513</v>
      </c>
      <c r="AF11" s="40">
        <f>'表3-成本费用表'!AF7</f>
        <v>993.641647503324</v>
      </c>
    </row>
    <row r="12" spans="2:32">
      <c r="B12" s="20"/>
      <c r="C12" s="24" t="s">
        <v>733</v>
      </c>
      <c r="D12" s="22">
        <f t="shared" si="0"/>
        <v>0</v>
      </c>
      <c r="E12" s="18" t="s">
        <v>24</v>
      </c>
      <c r="F12" s="23"/>
      <c r="G12" s="23"/>
      <c r="H12" s="23"/>
      <c r="I12" s="23"/>
      <c r="J12" s="22"/>
      <c r="K12" s="22"/>
      <c r="L12" s="22"/>
      <c r="M12" s="22"/>
      <c r="N12" s="22"/>
      <c r="O12" s="22"/>
      <c r="P12" s="22"/>
      <c r="Q12" s="22"/>
      <c r="R12" s="22"/>
      <c r="S12" s="22"/>
      <c r="T12" s="22"/>
      <c r="U12" s="22"/>
      <c r="V12" s="22"/>
      <c r="W12" s="22"/>
      <c r="X12" s="22"/>
      <c r="Y12" s="22"/>
      <c r="Z12" s="22"/>
      <c r="AA12" s="22"/>
      <c r="AB12" s="22"/>
      <c r="AC12" s="22"/>
      <c r="AD12" s="22"/>
      <c r="AE12" s="22"/>
      <c r="AF12" s="22"/>
    </row>
    <row r="13" spans="2:32">
      <c r="B13" s="20"/>
      <c r="C13" s="24" t="s">
        <v>734</v>
      </c>
      <c r="D13" s="22">
        <f t="shared" si="0"/>
        <v>0</v>
      </c>
      <c r="E13" s="18" t="s">
        <v>24</v>
      </c>
      <c r="F13" s="23"/>
      <c r="G13" s="23"/>
      <c r="H13" s="23"/>
      <c r="I13" s="23"/>
      <c r="J13" s="22"/>
      <c r="K13" s="22"/>
      <c r="L13" s="22"/>
      <c r="M13" s="22"/>
      <c r="N13" s="22"/>
      <c r="O13" s="22"/>
      <c r="P13" s="22"/>
      <c r="Q13" s="22"/>
      <c r="R13" s="22"/>
      <c r="S13" s="22"/>
      <c r="T13" s="22"/>
      <c r="U13" s="22"/>
      <c r="V13" s="22"/>
      <c r="W13" s="22"/>
      <c r="X13" s="22"/>
      <c r="Y13" s="22"/>
      <c r="Z13" s="22"/>
      <c r="AA13" s="22"/>
      <c r="AB13" s="22"/>
      <c r="AC13" s="22"/>
      <c r="AD13" s="22"/>
      <c r="AE13" s="22"/>
      <c r="AF13" s="22"/>
    </row>
    <row r="14" spans="2:32">
      <c r="B14" s="20"/>
      <c r="C14" s="24" t="s">
        <v>735</v>
      </c>
      <c r="D14" s="22">
        <f t="shared" si="0"/>
        <v>0</v>
      </c>
      <c r="E14" s="18" t="s">
        <v>24</v>
      </c>
      <c r="F14" s="23"/>
      <c r="G14" s="23"/>
      <c r="H14" s="23"/>
      <c r="I14" s="23"/>
      <c r="J14" s="22"/>
      <c r="K14" s="22"/>
      <c r="L14" s="22"/>
      <c r="M14" s="22"/>
      <c r="N14" s="22"/>
      <c r="O14" s="22"/>
      <c r="P14" s="22"/>
      <c r="Q14" s="22"/>
      <c r="R14" s="22"/>
      <c r="S14" s="22"/>
      <c r="T14" s="22"/>
      <c r="U14" s="22"/>
      <c r="V14" s="22"/>
      <c r="W14" s="22"/>
      <c r="X14" s="22"/>
      <c r="Y14" s="22"/>
      <c r="Z14" s="22"/>
      <c r="AA14" s="22"/>
      <c r="AB14" s="22"/>
      <c r="AC14" s="22"/>
      <c r="AD14" s="22"/>
      <c r="AE14" s="22"/>
      <c r="AF14" s="22"/>
    </row>
    <row r="15" spans="2:32">
      <c r="B15" s="20"/>
      <c r="C15" s="24" t="s">
        <v>736</v>
      </c>
      <c r="D15" s="22">
        <f t="shared" si="0"/>
        <v>0</v>
      </c>
      <c r="E15" s="18" t="s">
        <v>24</v>
      </c>
      <c r="F15" s="23"/>
      <c r="G15" s="23"/>
      <c r="H15" s="23"/>
      <c r="I15" s="23"/>
      <c r="J15" s="22"/>
      <c r="K15" s="22"/>
      <c r="L15" s="22"/>
      <c r="M15" s="22"/>
      <c r="N15" s="22"/>
      <c r="O15" s="22"/>
      <c r="P15" s="22"/>
      <c r="Q15" s="22"/>
      <c r="R15" s="22"/>
      <c r="S15" s="22"/>
      <c r="T15" s="22"/>
      <c r="U15" s="22"/>
      <c r="V15" s="22"/>
      <c r="W15" s="22"/>
      <c r="X15" s="22"/>
      <c r="Y15" s="22"/>
      <c r="Z15" s="22"/>
      <c r="AA15" s="22"/>
      <c r="AB15" s="22"/>
      <c r="AC15" s="22"/>
      <c r="AD15" s="22"/>
      <c r="AE15" s="22"/>
      <c r="AF15" s="22"/>
    </row>
    <row r="16" spans="2:32">
      <c r="B16" s="20"/>
      <c r="C16" s="24" t="s">
        <v>737</v>
      </c>
      <c r="D16" s="22">
        <f t="shared" si="0"/>
        <v>0</v>
      </c>
      <c r="E16" s="18" t="s">
        <v>24</v>
      </c>
      <c r="F16" s="23"/>
      <c r="G16" s="23"/>
      <c r="H16" s="23"/>
      <c r="I16" s="23"/>
      <c r="J16" s="22"/>
      <c r="K16" s="22"/>
      <c r="L16" s="22"/>
      <c r="M16" s="22"/>
      <c r="N16" s="22"/>
      <c r="O16" s="22"/>
      <c r="P16" s="22"/>
      <c r="Q16" s="22"/>
      <c r="R16" s="22"/>
      <c r="S16" s="22"/>
      <c r="T16" s="22"/>
      <c r="U16" s="22"/>
      <c r="V16" s="22"/>
      <c r="W16" s="22"/>
      <c r="X16" s="22"/>
      <c r="Y16" s="22"/>
      <c r="Z16" s="22"/>
      <c r="AA16" s="22"/>
      <c r="AB16" s="22"/>
      <c r="AC16" s="22"/>
      <c r="AD16" s="22"/>
      <c r="AE16" s="22"/>
      <c r="AF16" s="22"/>
    </row>
    <row r="17" spans="2:32">
      <c r="B17" s="20"/>
      <c r="C17" s="24" t="s">
        <v>738</v>
      </c>
      <c r="D17" s="22">
        <f t="shared" si="0"/>
        <v>0</v>
      </c>
      <c r="E17" s="18" t="s">
        <v>24</v>
      </c>
      <c r="F17" s="23"/>
      <c r="G17" s="23"/>
      <c r="H17" s="23"/>
      <c r="I17" s="23"/>
      <c r="J17" s="22"/>
      <c r="K17" s="22"/>
      <c r="L17" s="22"/>
      <c r="M17" s="22"/>
      <c r="N17" s="22"/>
      <c r="O17" s="22"/>
      <c r="P17" s="22"/>
      <c r="Q17" s="22"/>
      <c r="R17" s="22"/>
      <c r="S17" s="22"/>
      <c r="T17" s="22"/>
      <c r="U17" s="22"/>
      <c r="V17" s="22"/>
      <c r="W17" s="22"/>
      <c r="X17" s="22"/>
      <c r="Y17" s="22"/>
      <c r="Z17" s="22"/>
      <c r="AA17" s="22"/>
      <c r="AB17" s="22"/>
      <c r="AC17" s="22"/>
      <c r="AD17" s="22"/>
      <c r="AE17" s="22"/>
      <c r="AF17" s="22"/>
    </row>
    <row r="18" spans="2:32">
      <c r="B18" s="20"/>
      <c r="C18" s="24" t="s">
        <v>739</v>
      </c>
      <c r="D18" s="22">
        <f t="shared" si="0"/>
        <v>0</v>
      </c>
      <c r="E18" s="18" t="s">
        <v>24</v>
      </c>
      <c r="F18" s="23"/>
      <c r="G18" s="23"/>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row>
    <row r="19" spans="2:32">
      <c r="B19" s="20"/>
      <c r="C19" s="25" t="s">
        <v>740</v>
      </c>
      <c r="D19" s="22">
        <f ca="1" t="shared" si="0"/>
        <v>3568.26854587069</v>
      </c>
      <c r="E19" s="18" t="s">
        <v>24</v>
      </c>
      <c r="F19" s="23"/>
      <c r="G19" s="23"/>
      <c r="H19" s="23"/>
      <c r="I19" s="23"/>
      <c r="J19" s="22">
        <f>'表4-收入税金表'!J62+'表4-收入税金表'!J66</f>
        <v>0</v>
      </c>
      <c r="K19" s="22">
        <f>'表4-收入税金表'!K62+'表4-收入税金表'!K66</f>
        <v>0</v>
      </c>
      <c r="L19" s="22">
        <f>'表4-收入税金表'!L62+'表4-收入税金表'!L66</f>
        <v>0</v>
      </c>
      <c r="M19" s="22">
        <f>'表4-收入税金表'!M62+'表4-收入税金表'!M66</f>
        <v>0</v>
      </c>
      <c r="N19" s="22">
        <f>'表4-收入税金表'!N62+'表4-收入税金表'!N66</f>
        <v>0</v>
      </c>
      <c r="O19" s="22">
        <f>'表4-收入税金表'!O62+'表4-收入税金表'!O66</f>
        <v>0</v>
      </c>
      <c r="P19" s="22">
        <f>'表4-收入税金表'!P62+'表4-收入税金表'!P66</f>
        <v>0</v>
      </c>
      <c r="Q19" s="22">
        <f>'表4-收入税金表'!Q62+'表4-收入税金表'!Q66</f>
        <v>0</v>
      </c>
      <c r="R19" s="22">
        <f>'表4-收入税金表'!R62+'表4-收入税金表'!R66</f>
        <v>274.020885972662</v>
      </c>
      <c r="S19" s="22">
        <f>'表4-收入税金表'!S62+'表4-收入税金表'!S66</f>
        <v>285.114387907965</v>
      </c>
      <c r="T19" s="22">
        <f>'表4-收入税金表'!T62+'表4-收入税金表'!T66</f>
        <v>283.785488240708</v>
      </c>
      <c r="U19" s="22">
        <f>'表4-收入税金表'!U62+'表4-收入税金表'!U66</f>
        <v>282.456547157522</v>
      </c>
      <c r="V19" s="22">
        <f>'表4-收入税金表'!V62+'表4-收入税金表'!V66</f>
        <v>281.127647490266</v>
      </c>
      <c r="W19" s="22">
        <f>'表4-收入税金表'!W62+'表4-收入税金表'!W66</f>
        <v>274.844577966713</v>
      </c>
      <c r="X19" s="22">
        <f>'表4-收入税金表'!X62+'表4-收入税金表'!X66</f>
        <v>278.469806739823</v>
      </c>
      <c r="Y19" s="22">
        <f>'表4-收入税金表'!Y62+'表4-收入税金表'!Y66</f>
        <v>277.140907072566</v>
      </c>
      <c r="Z19" s="22">
        <f>'表4-收入税金表'!Z62+'表4-收入税金表'!Z66</f>
        <v>235.673894633628</v>
      </c>
      <c r="AA19" s="22">
        <f>'表4-收入税金表'!AA62+'表4-收入税金表'!AA66</f>
        <v>211.822885932743</v>
      </c>
      <c r="AB19" s="22">
        <f>'表4-收入税金表'!AB62+'表4-收入税金表'!AB66</f>
        <v>205.848149718925</v>
      </c>
      <c r="AC19" s="22">
        <f>'表4-收入税金表'!AC62+'表4-收入税金表'!AC66</f>
        <v>209.78171180177</v>
      </c>
      <c r="AD19" s="22">
        <f>'表4-收入税金表'!AD62+'表4-收入税金表'!AD66</f>
        <v>208.761145444248</v>
      </c>
      <c r="AE19" s="22">
        <f>'表4-收入税金表'!AE62+'表4-收入税金表'!AE66</f>
        <v>207.740537670796</v>
      </c>
      <c r="AF19" s="22">
        <f ca="1">'表4-收入税金表'!AF62+'表4-收入税金表'!AF66</f>
        <v>51.679972120354</v>
      </c>
    </row>
    <row r="20" spans="2:32">
      <c r="B20" s="20"/>
      <c r="C20" s="25" t="s">
        <v>621</v>
      </c>
      <c r="D20" s="22">
        <f t="shared" si="0"/>
        <v>0</v>
      </c>
      <c r="E20" s="18" t="s">
        <v>24</v>
      </c>
      <c r="F20" s="23"/>
      <c r="G20" s="23"/>
      <c r="H20" s="23"/>
      <c r="I20" s="23"/>
      <c r="J20" s="22">
        <f>'表3-成本费用表'!J41</f>
        <v>0</v>
      </c>
      <c r="K20" s="22">
        <f>'表3-成本费用表'!K41</f>
        <v>0</v>
      </c>
      <c r="L20" s="22">
        <f>'表3-成本费用表'!L41</f>
        <v>0</v>
      </c>
      <c r="M20" s="22">
        <f>'表3-成本费用表'!M41</f>
        <v>0</v>
      </c>
      <c r="N20" s="22">
        <f>'表3-成本费用表'!N41</f>
        <v>0</v>
      </c>
      <c r="O20" s="22">
        <f>'表3-成本费用表'!O41</f>
        <v>0</v>
      </c>
      <c r="P20" s="22">
        <f>'表3-成本费用表'!P41</f>
        <v>0</v>
      </c>
      <c r="Q20" s="22">
        <f>'表3-成本费用表'!Q41</f>
        <v>0</v>
      </c>
      <c r="R20" s="22">
        <f>'表3-成本费用表'!R41</f>
        <v>0</v>
      </c>
      <c r="S20" s="22">
        <f>'表3-成本费用表'!S41</f>
        <v>0</v>
      </c>
      <c r="T20" s="22">
        <f>'表3-成本费用表'!T41</f>
        <v>0</v>
      </c>
      <c r="U20" s="22">
        <f>'表3-成本费用表'!U41</f>
        <v>0</v>
      </c>
      <c r="V20" s="22">
        <f>'表3-成本费用表'!V41</f>
        <v>0</v>
      </c>
      <c r="W20" s="22">
        <f>'表3-成本费用表'!W41</f>
        <v>0</v>
      </c>
      <c r="X20" s="22">
        <f>'表3-成本费用表'!X41</f>
        <v>0</v>
      </c>
      <c r="Y20" s="22">
        <f>'表3-成本费用表'!Y41</f>
        <v>0</v>
      </c>
      <c r="Z20" s="22">
        <f>'表3-成本费用表'!Z41</f>
        <v>0</v>
      </c>
      <c r="AA20" s="22">
        <f>'表3-成本费用表'!AA41</f>
        <v>0</v>
      </c>
      <c r="AB20" s="22">
        <f>'表3-成本费用表'!AB41</f>
        <v>0</v>
      </c>
      <c r="AC20" s="22">
        <f>'表3-成本费用表'!AC41</f>
        <v>0</v>
      </c>
      <c r="AD20" s="22">
        <f>'表3-成本费用表'!AD41</f>
        <v>0</v>
      </c>
      <c r="AE20" s="22">
        <f>'表3-成本费用表'!AE41</f>
        <v>0</v>
      </c>
      <c r="AF20" s="22">
        <f>'表3-成本费用表'!AF41</f>
        <v>0</v>
      </c>
    </row>
    <row r="21" spans="2:32">
      <c r="B21" s="20"/>
      <c r="C21" s="25" t="s">
        <v>622</v>
      </c>
      <c r="D21" s="22">
        <f ca="1" t="shared" si="0"/>
        <v>4313.61685561129</v>
      </c>
      <c r="E21" s="18" t="s">
        <v>24</v>
      </c>
      <c r="F21" s="23"/>
      <c r="G21" s="23"/>
      <c r="H21" s="23"/>
      <c r="I21" s="23"/>
      <c r="J21" s="22">
        <f>'表3-成本费用表'!J42</f>
        <v>1.70189225218719</v>
      </c>
      <c r="K21" s="22">
        <f>'表3-成本费用表'!K42</f>
        <v>14.6091635807219</v>
      </c>
      <c r="L21" s="22">
        <f>'表3-成本费用表'!L42</f>
        <v>19.2780715292</v>
      </c>
      <c r="M21" s="22">
        <f>'表3-成本费用表'!M42</f>
        <v>54.3291106732</v>
      </c>
      <c r="N21" s="22">
        <f>'表3-成本费用表'!N42</f>
        <v>54.3291106732</v>
      </c>
      <c r="O21" s="22">
        <f>'表3-成本费用表'!O42</f>
        <v>54.3291106732</v>
      </c>
      <c r="P21" s="22">
        <f>'表3-成本费用表'!P42</f>
        <v>54.3291106732</v>
      </c>
      <c r="Q21" s="22">
        <f>'表3-成本费用表'!Q42</f>
        <v>54.3291106732</v>
      </c>
      <c r="R21" s="22">
        <f>'表3-成本费用表'!R42</f>
        <v>54.3291106732</v>
      </c>
      <c r="S21" s="22">
        <f>'表3-成本费用表'!S42</f>
        <v>54.3291106732</v>
      </c>
      <c r="T21" s="22">
        <f>'表3-成本费用表'!T42</f>
        <v>54.3291106732</v>
      </c>
      <c r="U21" s="22">
        <f>'表3-成本费用表'!U42</f>
        <v>54.3291106732</v>
      </c>
      <c r="V21" s="22">
        <f>'表3-成本费用表'!V42</f>
        <v>54.3291106732</v>
      </c>
      <c r="W21" s="22">
        <f>'表3-成本费用表'!W42</f>
        <v>54.3291106732</v>
      </c>
      <c r="X21" s="22">
        <f>'表3-成本费用表'!X42</f>
        <v>54.3291106732</v>
      </c>
      <c r="Y21" s="22">
        <f>'表3-成本费用表'!Y42</f>
        <v>54.3291106732</v>
      </c>
      <c r="Z21" s="22">
        <f>'表3-成本费用表'!Z42</f>
        <v>54.3291106732</v>
      </c>
      <c r="AA21" s="22">
        <f>'表3-成本费用表'!AA42</f>
        <v>54.3291106732</v>
      </c>
      <c r="AB21" s="22">
        <f>'表3-成本费用表'!AB42</f>
        <v>54.3291106732</v>
      </c>
      <c r="AC21" s="22">
        <f>'表3-成本费用表'!AC42</f>
        <v>54.3291106732</v>
      </c>
      <c r="AD21" s="22">
        <f>'表3-成本费用表'!AD42</f>
        <v>54.3291106732</v>
      </c>
      <c r="AE21" s="22">
        <f>'表3-成本费用表'!AE42</f>
        <v>54.3291106732</v>
      </c>
      <c r="AF21" s="22">
        <f ca="1">'表3-成本费用表'!AF42</f>
        <v>3245.77462545838</v>
      </c>
    </row>
    <row r="22" spans="2:32">
      <c r="B22" s="20"/>
      <c r="C22" s="25" t="s">
        <v>624</v>
      </c>
      <c r="D22" s="22">
        <f t="shared" si="0"/>
        <v>0</v>
      </c>
      <c r="E22" s="18" t="s">
        <v>24</v>
      </c>
      <c r="F22" s="23"/>
      <c r="G22" s="23"/>
      <c r="H22" s="23"/>
      <c r="I22" s="23"/>
      <c r="J22" s="22">
        <f>'表3-成本费用表'!J45</f>
        <v>0</v>
      </c>
      <c r="K22" s="22">
        <f>'表3-成本费用表'!K45</f>
        <v>0</v>
      </c>
      <c r="L22" s="22">
        <f>'表3-成本费用表'!L45</f>
        <v>0</v>
      </c>
      <c r="M22" s="22">
        <f>'表3-成本费用表'!M45</f>
        <v>0</v>
      </c>
      <c r="N22" s="22">
        <f>'表3-成本费用表'!N45</f>
        <v>0</v>
      </c>
      <c r="O22" s="22">
        <f>'表3-成本费用表'!O45</f>
        <v>0</v>
      </c>
      <c r="P22" s="22">
        <f>'表3-成本费用表'!P45</f>
        <v>0</v>
      </c>
      <c r="Q22" s="22">
        <f>'表3-成本费用表'!Q45</f>
        <v>0</v>
      </c>
      <c r="R22" s="22">
        <f>'表3-成本费用表'!R45</f>
        <v>0</v>
      </c>
      <c r="S22" s="22">
        <f>'表3-成本费用表'!S45</f>
        <v>0</v>
      </c>
      <c r="T22" s="22">
        <f>'表3-成本费用表'!T45</f>
        <v>0</v>
      </c>
      <c r="U22" s="22">
        <f>'表3-成本费用表'!U45</f>
        <v>0</v>
      </c>
      <c r="V22" s="22">
        <f>'表3-成本费用表'!V45</f>
        <v>0</v>
      </c>
      <c r="W22" s="22">
        <f>'表3-成本费用表'!W45</f>
        <v>0</v>
      </c>
      <c r="X22" s="22">
        <f>'表3-成本费用表'!X45</f>
        <v>0</v>
      </c>
      <c r="Y22" s="22">
        <f>'表3-成本费用表'!Y45</f>
        <v>0</v>
      </c>
      <c r="Z22" s="22">
        <f>'表3-成本费用表'!Z45</f>
        <v>0</v>
      </c>
      <c r="AA22" s="22">
        <f>'表3-成本费用表'!AA45</f>
        <v>0</v>
      </c>
      <c r="AB22" s="22">
        <f>'表3-成本费用表'!AB45</f>
        <v>0</v>
      </c>
      <c r="AC22" s="22">
        <f>'表3-成本费用表'!AC45</f>
        <v>0</v>
      </c>
      <c r="AD22" s="22">
        <f>'表3-成本费用表'!AD45</f>
        <v>0</v>
      </c>
      <c r="AE22" s="22">
        <f>'表3-成本费用表'!AE45</f>
        <v>0</v>
      </c>
      <c r="AF22" s="22">
        <f>'表3-成本费用表'!AF45</f>
        <v>0</v>
      </c>
    </row>
    <row r="23" spans="2:32">
      <c r="B23" s="20"/>
      <c r="C23" s="25" t="s">
        <v>625</v>
      </c>
      <c r="D23" s="22">
        <f ca="1" t="shared" si="0"/>
        <v>54920.4681896846</v>
      </c>
      <c r="E23" s="18" t="s">
        <v>24</v>
      </c>
      <c r="F23" s="23"/>
      <c r="G23" s="23"/>
      <c r="H23" s="23"/>
      <c r="I23" s="23"/>
      <c r="J23" s="22">
        <f ca="1" t="shared" ref="J23:AF23" si="3">J24-J25+J26</f>
        <v>672.209197611594</v>
      </c>
      <c r="K23" s="22">
        <f ca="1" t="shared" si="3"/>
        <v>3851.25550423158</v>
      </c>
      <c r="L23" s="22">
        <f ca="1" t="shared" si="3"/>
        <v>5665.79106764422</v>
      </c>
      <c r="M23" s="22">
        <f ca="1" t="shared" si="3"/>
        <v>5349.70340175365</v>
      </c>
      <c r="N23" s="22">
        <f ca="1" t="shared" si="3"/>
        <v>5024.16271622978</v>
      </c>
      <c r="O23" s="22">
        <f ca="1" t="shared" si="3"/>
        <v>4707.01253122839</v>
      </c>
      <c r="P23" s="22">
        <f ca="1" t="shared" si="3"/>
        <v>4379.57888827194</v>
      </c>
      <c r="Q23" s="22">
        <f ca="1" t="shared" si="3"/>
        <v>4041.41959866836</v>
      </c>
      <c r="R23" s="22">
        <f ca="1" t="shared" si="3"/>
        <v>3692.07345961183</v>
      </c>
      <c r="S23" s="22">
        <f ca="1" t="shared" si="3"/>
        <v>3331.05943657587</v>
      </c>
      <c r="T23" s="22">
        <f ca="1" t="shared" si="3"/>
        <v>2957.87581054936</v>
      </c>
      <c r="U23" s="22">
        <f ca="1" t="shared" si="3"/>
        <v>2571.99928860371</v>
      </c>
      <c r="V23" s="22">
        <f ca="1" t="shared" si="3"/>
        <v>2250.8840762144</v>
      </c>
      <c r="W23" s="22">
        <f ca="1" t="shared" si="3"/>
        <v>1915.96090969235</v>
      </c>
      <c r="X23" s="22">
        <f ca="1" t="shared" si="3"/>
        <v>1566.63604700984</v>
      </c>
      <c r="Y23" s="22">
        <f ca="1" t="shared" si="3"/>
        <v>1202.290215232</v>
      </c>
      <c r="Z23" s="22">
        <f ca="1" t="shared" si="3"/>
        <v>822.2775126877</v>
      </c>
      <c r="AA23" s="22">
        <f ca="1" t="shared" si="3"/>
        <v>425.924263933999</v>
      </c>
      <c r="AB23" s="22">
        <f ca="1" t="shared" si="3"/>
        <v>425.924263933999</v>
      </c>
      <c r="AC23" s="22">
        <f ca="1" t="shared" si="3"/>
        <v>20.4399999999993</v>
      </c>
      <c r="AD23" s="22">
        <f ca="1" t="shared" si="3"/>
        <v>20.4399999999993</v>
      </c>
      <c r="AE23" s="22">
        <f ca="1" t="shared" si="3"/>
        <v>20.4399999999993</v>
      </c>
      <c r="AF23" s="22">
        <f ca="1" t="shared" si="3"/>
        <v>5.10999999999981</v>
      </c>
    </row>
    <row r="24" spans="2:32">
      <c r="B24" s="20"/>
      <c r="C24" s="26" t="s">
        <v>741</v>
      </c>
      <c r="D24" s="22">
        <f ca="1" t="shared" si="0"/>
        <v>54920.4681896846</v>
      </c>
      <c r="E24" s="18" t="s">
        <v>24</v>
      </c>
      <c r="F24" s="23"/>
      <c r="G24" s="23"/>
      <c r="H24" s="23"/>
      <c r="I24" s="23"/>
      <c r="J24" s="22">
        <f ca="1">'表3-成本费用表'!J21</f>
        <v>672.209197611594</v>
      </c>
      <c r="K24" s="22">
        <f ca="1">'表3-成本费用表'!K21</f>
        <v>3851.25550423158</v>
      </c>
      <c r="L24" s="22">
        <f ca="1">'表3-成本费用表'!L21</f>
        <v>5665.79106764422</v>
      </c>
      <c r="M24" s="22">
        <f ca="1">'表3-成本费用表'!M21</f>
        <v>5349.70340175365</v>
      </c>
      <c r="N24" s="22">
        <f ca="1">'表3-成本费用表'!N21</f>
        <v>5024.16271622978</v>
      </c>
      <c r="O24" s="22">
        <f ca="1">'表3-成本费用表'!O21</f>
        <v>4707.01253122839</v>
      </c>
      <c r="P24" s="22">
        <f ca="1">'表3-成本费用表'!P21</f>
        <v>4379.57888827194</v>
      </c>
      <c r="Q24" s="22">
        <f ca="1">'表3-成本费用表'!Q21</f>
        <v>4041.41959866836</v>
      </c>
      <c r="R24" s="22">
        <f ca="1">'表3-成本费用表'!R21</f>
        <v>3692.07345961183</v>
      </c>
      <c r="S24" s="22">
        <f ca="1">'表3-成本费用表'!S21</f>
        <v>3331.05943657587</v>
      </c>
      <c r="T24" s="22">
        <f ca="1">'表3-成本费用表'!T21</f>
        <v>2957.87581054936</v>
      </c>
      <c r="U24" s="22">
        <f ca="1">'表3-成本费用表'!U21</f>
        <v>2571.99928860371</v>
      </c>
      <c r="V24" s="22">
        <f ca="1">'表3-成本费用表'!V21</f>
        <v>2250.8840762144</v>
      </c>
      <c r="W24" s="22">
        <f ca="1">'表3-成本费用表'!W21</f>
        <v>1915.96090969235</v>
      </c>
      <c r="X24" s="22">
        <f ca="1">'表3-成本费用表'!X21</f>
        <v>1566.63604700984</v>
      </c>
      <c r="Y24" s="22">
        <f ca="1">'表3-成本费用表'!Y21</f>
        <v>1202.290215232</v>
      </c>
      <c r="Z24" s="22">
        <f ca="1">'表3-成本费用表'!Z21</f>
        <v>822.2775126877</v>
      </c>
      <c r="AA24" s="22">
        <f ca="1">'表3-成本费用表'!AA21</f>
        <v>425.924263933999</v>
      </c>
      <c r="AB24" s="22">
        <f ca="1">'表3-成本费用表'!AB21</f>
        <v>425.924263933999</v>
      </c>
      <c r="AC24" s="22">
        <f ca="1">'表3-成本费用表'!AC21</f>
        <v>20.4399999999993</v>
      </c>
      <c r="AD24" s="22">
        <f ca="1">'表3-成本费用表'!AD21</f>
        <v>20.4399999999993</v>
      </c>
      <c r="AE24" s="22">
        <f ca="1">'表3-成本费用表'!AE21</f>
        <v>20.4399999999993</v>
      </c>
      <c r="AF24" s="22">
        <f ca="1">'表3-成本费用表'!AF21</f>
        <v>5.10999999999981</v>
      </c>
    </row>
    <row r="25" spans="2:32">
      <c r="B25" s="20"/>
      <c r="C25" s="27" t="s">
        <v>742</v>
      </c>
      <c r="D25" s="22">
        <f t="shared" si="0"/>
        <v>0</v>
      </c>
      <c r="E25" s="18" t="s">
        <v>24</v>
      </c>
      <c r="F25" s="23"/>
      <c r="G25" s="23"/>
      <c r="H25" s="23"/>
      <c r="I25" s="23"/>
      <c r="J25" s="22"/>
      <c r="K25" s="22"/>
      <c r="L25" s="22"/>
      <c r="M25" s="22"/>
      <c r="N25" s="22"/>
      <c r="O25" s="22"/>
      <c r="P25" s="22"/>
      <c r="Q25" s="22"/>
      <c r="R25" s="22"/>
      <c r="S25" s="22"/>
      <c r="T25" s="22"/>
      <c r="U25" s="22"/>
      <c r="V25" s="22"/>
      <c r="W25" s="22"/>
      <c r="X25" s="22"/>
      <c r="Y25" s="22"/>
      <c r="Z25" s="22"/>
      <c r="AA25" s="22"/>
      <c r="AB25" s="22"/>
      <c r="AC25" s="22"/>
      <c r="AD25" s="22"/>
      <c r="AE25" s="22"/>
      <c r="AF25" s="22"/>
    </row>
    <row r="26" spans="2:32">
      <c r="B26" s="20"/>
      <c r="C26" s="27" t="s">
        <v>743</v>
      </c>
      <c r="D26" s="22">
        <f t="shared" si="0"/>
        <v>0</v>
      </c>
      <c r="E26" s="18" t="s">
        <v>24</v>
      </c>
      <c r="F26" s="23"/>
      <c r="G26" s="23"/>
      <c r="H26" s="23"/>
      <c r="I26" s="23"/>
      <c r="J26" s="22"/>
      <c r="K26" s="22"/>
      <c r="L26" s="22"/>
      <c r="M26" s="22"/>
      <c r="N26" s="22"/>
      <c r="O26" s="22"/>
      <c r="P26" s="22"/>
      <c r="Q26" s="22"/>
      <c r="R26" s="22"/>
      <c r="S26" s="22"/>
      <c r="T26" s="22"/>
      <c r="U26" s="22"/>
      <c r="V26" s="22"/>
      <c r="W26" s="22"/>
      <c r="X26" s="22"/>
      <c r="Y26" s="22"/>
      <c r="Z26" s="22"/>
      <c r="AA26" s="22"/>
      <c r="AB26" s="22"/>
      <c r="AC26" s="22"/>
      <c r="AD26" s="22"/>
      <c r="AE26" s="22"/>
      <c r="AF26" s="22"/>
    </row>
    <row r="27" spans="2:32">
      <c r="B27" s="20"/>
      <c r="C27" s="25" t="s">
        <v>459</v>
      </c>
      <c r="D27" s="22">
        <f t="shared" si="0"/>
        <v>0</v>
      </c>
      <c r="E27" s="18" t="s">
        <v>24</v>
      </c>
      <c r="F27" s="23"/>
      <c r="G27" s="23"/>
      <c r="H27" s="23"/>
      <c r="I27" s="23"/>
      <c r="J27" s="22"/>
      <c r="K27" s="22"/>
      <c r="L27" s="22"/>
      <c r="M27" s="22"/>
      <c r="N27" s="22"/>
      <c r="O27" s="22"/>
      <c r="P27" s="22"/>
      <c r="Q27" s="22"/>
      <c r="R27" s="22"/>
      <c r="S27" s="22"/>
      <c r="T27" s="22"/>
      <c r="U27" s="22"/>
      <c r="V27" s="22"/>
      <c r="W27" s="22"/>
      <c r="X27" s="22"/>
      <c r="Y27" s="22"/>
      <c r="Z27" s="22"/>
      <c r="AA27" s="22"/>
      <c r="AB27" s="22"/>
      <c r="AC27" s="22"/>
      <c r="AD27" s="22"/>
      <c r="AE27" s="22"/>
      <c r="AF27" s="22"/>
    </row>
    <row r="28" spans="2:32">
      <c r="B28" s="20"/>
      <c r="C28" s="21" t="s">
        <v>744</v>
      </c>
      <c r="D28" s="22">
        <f ca="1" t="shared" si="0"/>
        <v>5974.11504424779</v>
      </c>
      <c r="E28" s="18" t="s">
        <v>24</v>
      </c>
      <c r="F28" s="23"/>
      <c r="G28" s="23"/>
      <c r="H28" s="23"/>
      <c r="I28" s="23"/>
      <c r="J28" s="22">
        <f>'表4-收入税金表'!J23</f>
        <v>25</v>
      </c>
      <c r="K28" s="22">
        <f>'表4-收入税金表'!K23</f>
        <v>214.601769911504</v>
      </c>
      <c r="L28" s="22">
        <f>'表4-收入税金表'!L23</f>
        <v>283.185840707965</v>
      </c>
      <c r="M28" s="22">
        <f>'表4-收入税金表'!M23</f>
        <v>283.185840707965</v>
      </c>
      <c r="N28" s="22">
        <f>'表4-收入税金表'!N23</f>
        <v>283.185840707965</v>
      </c>
      <c r="O28" s="22">
        <f>'表4-收入税金表'!O23</f>
        <v>283.185840707965</v>
      </c>
      <c r="P28" s="22">
        <f>'表4-收入税金表'!P23</f>
        <v>283.185840707965</v>
      </c>
      <c r="Q28" s="22">
        <f>'表4-收入税金表'!Q23</f>
        <v>283.185840707965</v>
      </c>
      <c r="R28" s="22">
        <f>'表4-收入税金表'!R23</f>
        <v>283.185840707965</v>
      </c>
      <c r="S28" s="22">
        <f>'表4-收入税金表'!S23</f>
        <v>283.185840707965</v>
      </c>
      <c r="T28" s="22">
        <f>'表4-收入税金表'!T23</f>
        <v>283.185840707965</v>
      </c>
      <c r="U28" s="22">
        <f>'表4-收入税金表'!U23</f>
        <v>283.185840707965</v>
      </c>
      <c r="V28" s="22">
        <f>'表4-收入税金表'!V23</f>
        <v>283.185840707965</v>
      </c>
      <c r="W28" s="22">
        <f>'表4-收入税金表'!W23</f>
        <v>283.185840707965</v>
      </c>
      <c r="X28" s="22">
        <f>'表4-收入税金表'!X23</f>
        <v>283.185840707965</v>
      </c>
      <c r="Y28" s="22">
        <f>'表4-收入税金表'!Y23</f>
        <v>283.185840707965</v>
      </c>
      <c r="Z28" s="22">
        <f>'表4-收入税金表'!Z23</f>
        <v>283.185840707965</v>
      </c>
      <c r="AA28" s="22">
        <f>'表4-收入税金表'!AA23</f>
        <v>283.185840707965</v>
      </c>
      <c r="AB28" s="22">
        <f>'表4-收入税金表'!AB23</f>
        <v>283.185840707965</v>
      </c>
      <c r="AC28" s="22">
        <f>'表4-收入税金表'!AC23</f>
        <v>283.185840707965</v>
      </c>
      <c r="AD28" s="22">
        <f>'表4-收入税金表'!AD23</f>
        <v>283.185840707965</v>
      </c>
      <c r="AE28" s="22">
        <f>'表4-收入税金表'!AE23</f>
        <v>283.185840707965</v>
      </c>
      <c r="AF28" s="22">
        <f ca="1">'表4-收入税金表'!AF23</f>
        <v>70.7964601769912</v>
      </c>
    </row>
    <row r="29" spans="2:32">
      <c r="B29" s="20"/>
      <c r="C29" s="25" t="s">
        <v>745</v>
      </c>
      <c r="D29" s="22">
        <f t="shared" si="0"/>
        <v>0</v>
      </c>
      <c r="E29" s="18" t="s">
        <v>24</v>
      </c>
      <c r="F29" s="23"/>
      <c r="G29" s="23"/>
      <c r="H29" s="23"/>
      <c r="I29" s="23"/>
      <c r="J29" s="22"/>
      <c r="K29" s="22"/>
      <c r="L29" s="22"/>
      <c r="M29" s="22"/>
      <c r="N29" s="22"/>
      <c r="O29" s="22"/>
      <c r="P29" s="22"/>
      <c r="Q29" s="22"/>
      <c r="R29" s="22"/>
      <c r="S29" s="22"/>
      <c r="T29" s="22"/>
      <c r="U29" s="22"/>
      <c r="V29" s="22"/>
      <c r="W29" s="22"/>
      <c r="X29" s="22"/>
      <c r="Y29" s="22"/>
      <c r="Z29" s="22"/>
      <c r="AA29" s="22"/>
      <c r="AB29" s="22"/>
      <c r="AC29" s="22"/>
      <c r="AD29" s="22"/>
      <c r="AE29" s="22"/>
      <c r="AF29" s="22"/>
    </row>
    <row r="30" spans="2:32">
      <c r="B30" s="20"/>
      <c r="C30" s="26" t="s">
        <v>746</v>
      </c>
      <c r="D30" s="22">
        <f t="shared" si="0"/>
        <v>0</v>
      </c>
      <c r="E30" s="18" t="s">
        <v>24</v>
      </c>
      <c r="F30" s="23"/>
      <c r="G30" s="23"/>
      <c r="H30" s="23"/>
      <c r="I30" s="23"/>
      <c r="J30" s="22"/>
      <c r="K30" s="22"/>
      <c r="L30" s="22"/>
      <c r="M30" s="22"/>
      <c r="N30" s="22"/>
      <c r="O30" s="22"/>
      <c r="P30" s="22"/>
      <c r="Q30" s="22"/>
      <c r="R30" s="22"/>
      <c r="S30" s="22"/>
      <c r="T30" s="22"/>
      <c r="U30" s="22"/>
      <c r="V30" s="22"/>
      <c r="W30" s="22"/>
      <c r="X30" s="22"/>
      <c r="Y30" s="22"/>
      <c r="Z30" s="22"/>
      <c r="AA30" s="22"/>
      <c r="AB30" s="22"/>
      <c r="AC30" s="22"/>
      <c r="AD30" s="22"/>
      <c r="AE30" s="22"/>
      <c r="AF30" s="22"/>
    </row>
    <row r="31" spans="2:32">
      <c r="B31" s="20"/>
      <c r="C31" s="27" t="s">
        <v>747</v>
      </c>
      <c r="D31" s="22">
        <f t="shared" si="0"/>
        <v>0</v>
      </c>
      <c r="E31" s="18" t="s">
        <v>24</v>
      </c>
      <c r="F31" s="23"/>
      <c r="G31" s="23"/>
      <c r="H31" s="23"/>
      <c r="I31" s="23"/>
      <c r="J31" s="22"/>
      <c r="K31" s="22"/>
      <c r="L31" s="22"/>
      <c r="M31" s="22"/>
      <c r="N31" s="22"/>
      <c r="O31" s="22"/>
      <c r="P31" s="22"/>
      <c r="Q31" s="22"/>
      <c r="R31" s="22"/>
      <c r="S31" s="22"/>
      <c r="T31" s="22"/>
      <c r="U31" s="22"/>
      <c r="V31" s="22"/>
      <c r="W31" s="22"/>
      <c r="X31" s="22"/>
      <c r="Y31" s="22"/>
      <c r="Z31" s="22"/>
      <c r="AA31" s="22"/>
      <c r="AB31" s="22"/>
      <c r="AC31" s="22"/>
      <c r="AD31" s="22"/>
      <c r="AE31" s="22"/>
      <c r="AF31" s="22"/>
    </row>
    <row r="32" spans="2:32">
      <c r="B32" s="20"/>
      <c r="C32" s="24" t="s">
        <v>748</v>
      </c>
      <c r="D32" s="22">
        <f t="shared" si="0"/>
        <v>0</v>
      </c>
      <c r="E32" s="18" t="s">
        <v>24</v>
      </c>
      <c r="F32" s="23"/>
      <c r="G32" s="23"/>
      <c r="H32" s="23"/>
      <c r="I32" s="23"/>
      <c r="J32" s="22"/>
      <c r="K32" s="22"/>
      <c r="L32" s="22"/>
      <c r="M32" s="22"/>
      <c r="N32" s="22"/>
      <c r="O32" s="22"/>
      <c r="P32" s="22"/>
      <c r="Q32" s="22"/>
      <c r="R32" s="22"/>
      <c r="S32" s="22"/>
      <c r="T32" s="22"/>
      <c r="U32" s="22"/>
      <c r="V32" s="22"/>
      <c r="W32" s="22"/>
      <c r="X32" s="22"/>
      <c r="Y32" s="22"/>
      <c r="Z32" s="22"/>
      <c r="AA32" s="22"/>
      <c r="AB32" s="22"/>
      <c r="AC32" s="22"/>
      <c r="AD32" s="22"/>
      <c r="AE32" s="22"/>
      <c r="AF32" s="22"/>
    </row>
    <row r="33" spans="2:32">
      <c r="B33" s="20"/>
      <c r="C33" s="25" t="s">
        <v>749</v>
      </c>
      <c r="D33" s="22">
        <f t="shared" si="0"/>
        <v>0</v>
      </c>
      <c r="E33" s="18" t="s">
        <v>24</v>
      </c>
      <c r="F33" s="23"/>
      <c r="G33" s="23"/>
      <c r="H33" s="23"/>
      <c r="I33" s="23"/>
      <c r="J33" s="22"/>
      <c r="K33" s="22"/>
      <c r="L33" s="22"/>
      <c r="M33" s="22"/>
      <c r="N33" s="22"/>
      <c r="O33" s="22"/>
      <c r="P33" s="22"/>
      <c r="Q33" s="22"/>
      <c r="R33" s="22"/>
      <c r="S33" s="22"/>
      <c r="T33" s="22"/>
      <c r="U33" s="22"/>
      <c r="V33" s="22"/>
      <c r="W33" s="22"/>
      <c r="X33" s="22"/>
      <c r="Y33" s="22"/>
      <c r="Z33" s="22"/>
      <c r="AA33" s="22"/>
      <c r="AB33" s="22"/>
      <c r="AC33" s="22"/>
      <c r="AD33" s="22"/>
      <c r="AE33" s="22"/>
      <c r="AF33" s="22"/>
    </row>
    <row r="34" spans="2:32">
      <c r="B34" s="20"/>
      <c r="C34" s="25" t="s">
        <v>750</v>
      </c>
      <c r="D34" s="22">
        <f t="shared" si="0"/>
        <v>0</v>
      </c>
      <c r="E34" s="18" t="s">
        <v>24</v>
      </c>
      <c r="F34" s="23"/>
      <c r="G34" s="23"/>
      <c r="H34" s="23"/>
      <c r="I34" s="23"/>
      <c r="J34" s="22"/>
      <c r="K34" s="22"/>
      <c r="L34" s="22"/>
      <c r="M34" s="22"/>
      <c r="N34" s="22"/>
      <c r="O34" s="22"/>
      <c r="P34" s="22"/>
      <c r="Q34" s="22"/>
      <c r="R34" s="22"/>
      <c r="S34" s="22"/>
      <c r="T34" s="22"/>
      <c r="U34" s="22"/>
      <c r="V34" s="22"/>
      <c r="W34" s="22"/>
      <c r="X34" s="22"/>
      <c r="Y34" s="22"/>
      <c r="Z34" s="22"/>
      <c r="AA34" s="22"/>
      <c r="AB34" s="22"/>
      <c r="AC34" s="22"/>
      <c r="AD34" s="22"/>
      <c r="AE34" s="22"/>
      <c r="AF34" s="22"/>
    </row>
    <row r="35" spans="2:32">
      <c r="B35" s="20"/>
      <c r="C35" s="25" t="s">
        <v>1104</v>
      </c>
      <c r="D35" s="22">
        <f t="shared" si="0"/>
        <v>0</v>
      </c>
      <c r="E35" s="18" t="s">
        <v>24</v>
      </c>
      <c r="F35" s="23"/>
      <c r="G35" s="23"/>
      <c r="H35" s="23"/>
      <c r="I35" s="23"/>
      <c r="J35" s="22"/>
      <c r="K35" s="22"/>
      <c r="L35" s="22"/>
      <c r="M35" s="22"/>
      <c r="N35" s="22"/>
      <c r="O35" s="22"/>
      <c r="P35" s="22"/>
      <c r="Q35" s="22"/>
      <c r="R35" s="22"/>
      <c r="S35" s="22"/>
      <c r="T35" s="22"/>
      <c r="U35" s="22"/>
      <c r="V35" s="22"/>
      <c r="W35" s="22"/>
      <c r="X35" s="22"/>
      <c r="Y35" s="22"/>
      <c r="Z35" s="22"/>
      <c r="AA35" s="22"/>
      <c r="AB35" s="22"/>
      <c r="AC35" s="22"/>
      <c r="AD35" s="22"/>
      <c r="AE35" s="22"/>
      <c r="AF35" s="22"/>
    </row>
    <row r="36" spans="2:32">
      <c r="B36" s="20"/>
      <c r="C36" s="25" t="s">
        <v>752</v>
      </c>
      <c r="D36" s="22">
        <f t="shared" si="0"/>
        <v>0</v>
      </c>
      <c r="E36" s="18" t="s">
        <v>24</v>
      </c>
      <c r="F36" s="23"/>
      <c r="G36" s="23"/>
      <c r="H36" s="23"/>
      <c r="I36" s="23"/>
      <c r="J36" s="22"/>
      <c r="K36" s="22"/>
      <c r="L36" s="22"/>
      <c r="M36" s="22"/>
      <c r="N36" s="22"/>
      <c r="O36" s="22"/>
      <c r="P36" s="22"/>
      <c r="Q36" s="22"/>
      <c r="R36" s="22"/>
      <c r="S36" s="22"/>
      <c r="T36" s="22"/>
      <c r="U36" s="22"/>
      <c r="V36" s="22"/>
      <c r="W36" s="22"/>
      <c r="X36" s="22"/>
      <c r="Y36" s="22"/>
      <c r="Z36" s="22"/>
      <c r="AA36" s="22"/>
      <c r="AB36" s="22"/>
      <c r="AC36" s="22"/>
      <c r="AD36" s="22"/>
      <c r="AE36" s="22"/>
      <c r="AF36" s="22"/>
    </row>
    <row r="37" spans="2:32">
      <c r="B37" s="20"/>
      <c r="C37" s="25" t="s">
        <v>753</v>
      </c>
      <c r="D37" s="22">
        <f t="shared" si="0"/>
        <v>0</v>
      </c>
      <c r="E37" s="18" t="s">
        <v>24</v>
      </c>
      <c r="F37" s="23"/>
      <c r="G37" s="23"/>
      <c r="H37" s="23"/>
      <c r="I37" s="23"/>
      <c r="J37" s="22"/>
      <c r="K37" s="22"/>
      <c r="L37" s="22"/>
      <c r="M37" s="22"/>
      <c r="N37" s="22"/>
      <c r="O37" s="22"/>
      <c r="P37" s="22"/>
      <c r="Q37" s="22"/>
      <c r="R37" s="22"/>
      <c r="S37" s="22"/>
      <c r="T37" s="22"/>
      <c r="U37" s="22"/>
      <c r="V37" s="22"/>
      <c r="W37" s="22"/>
      <c r="X37" s="22"/>
      <c r="Y37" s="22"/>
      <c r="Z37" s="22"/>
      <c r="AA37" s="22"/>
      <c r="AB37" s="22"/>
      <c r="AC37" s="22"/>
      <c r="AD37" s="22"/>
      <c r="AE37" s="22"/>
      <c r="AF37" s="22"/>
    </row>
    <row r="38" s="1" customFormat="1" spans="2:32">
      <c r="B38" s="15" t="s">
        <v>754</v>
      </c>
      <c r="C38" s="16" t="s">
        <v>755</v>
      </c>
      <c r="D38" s="17">
        <f ca="1" t="shared" si="0"/>
        <v>76032.5484053954</v>
      </c>
      <c r="E38" s="18" t="s">
        <v>24</v>
      </c>
      <c r="F38" s="19">
        <f t="shared" ref="F38:AF38" si="4">F5-F10+F28+F29+SUM(F32:F37)</f>
        <v>0</v>
      </c>
      <c r="G38" s="19">
        <f t="shared" si="4"/>
        <v>0</v>
      </c>
      <c r="H38" s="19">
        <f t="shared" si="4"/>
        <v>0</v>
      </c>
      <c r="I38" s="19">
        <f t="shared" si="4"/>
        <v>0</v>
      </c>
      <c r="J38" s="39">
        <f ca="1" t="shared" si="4"/>
        <v>-1374.33750702332</v>
      </c>
      <c r="K38" s="39">
        <f ca="1" t="shared" si="4"/>
        <v>385.971277542962</v>
      </c>
      <c r="L38" s="39">
        <f ca="1" t="shared" si="4"/>
        <v>1861.07315445353</v>
      </c>
      <c r="M38" s="39">
        <f ca="1" t="shared" si="4"/>
        <v>1718.78107448606</v>
      </c>
      <c r="N38" s="39">
        <f ca="1" t="shared" si="4"/>
        <v>1930.33588390373</v>
      </c>
      <c r="O38" s="39">
        <f ca="1" t="shared" si="4"/>
        <v>2133.50019279892</v>
      </c>
      <c r="P38" s="39">
        <f ca="1" t="shared" si="4"/>
        <v>2346.94530478192</v>
      </c>
      <c r="Q38" s="39">
        <f ca="1" t="shared" si="4"/>
        <v>2571.1187182793</v>
      </c>
      <c r="R38" s="39">
        <f ca="1" t="shared" si="4"/>
        <v>2348.92308823154</v>
      </c>
      <c r="S38" s="39">
        <f ca="1" t="shared" si="4"/>
        <v>2584.85773322601</v>
      </c>
      <c r="T38" s="39">
        <f ca="1" t="shared" si="4"/>
        <v>2846.12848361358</v>
      </c>
      <c r="U38" s="39">
        <f ca="1" t="shared" si="4"/>
        <v>3120.08951646896</v>
      </c>
      <c r="V38" s="39">
        <f ca="1" t="shared" si="4"/>
        <v>3328.54775241933</v>
      </c>
      <c r="W38" s="39">
        <f ca="1" t="shared" si="4"/>
        <v>3372.23310533331</v>
      </c>
      <c r="X38" s="39">
        <f ca="1" t="shared" si="4"/>
        <v>4652.80055931509</v>
      </c>
      <c r="Y38" s="39">
        <f ca="1" t="shared" si="4"/>
        <v>5953.34311083256</v>
      </c>
      <c r="Z38" s="39">
        <f ca="1" t="shared" si="4"/>
        <v>3687.88100280694</v>
      </c>
      <c r="AA38" s="39">
        <f ca="1" t="shared" si="4"/>
        <v>2550.37444610224</v>
      </c>
      <c r="AB38" s="39">
        <f ca="1" t="shared" si="4"/>
        <v>3323.21343551584</v>
      </c>
      <c r="AC38" s="39">
        <f ca="1" t="shared" si="4"/>
        <v>8853.64411990902</v>
      </c>
      <c r="AD38" s="39">
        <f ca="1" t="shared" si="4"/>
        <v>9456.85721963202</v>
      </c>
      <c r="AE38" s="39">
        <f ca="1" t="shared" si="4"/>
        <v>9363.65425218424</v>
      </c>
      <c r="AF38" s="39">
        <f ca="1" t="shared" si="4"/>
        <v>-983.387519418344</v>
      </c>
    </row>
    <row r="39" spans="2:32">
      <c r="B39" s="20"/>
      <c r="C39" s="21" t="s">
        <v>756</v>
      </c>
      <c r="D39" s="22">
        <f t="shared" si="0"/>
        <v>200</v>
      </c>
      <c r="E39" s="18" t="s">
        <v>24</v>
      </c>
      <c r="F39" s="23"/>
      <c r="G39" s="23"/>
      <c r="H39" s="23"/>
      <c r="I39" s="23"/>
      <c r="J39" s="22">
        <f>'表4-收入税金表'!J26</f>
        <v>0</v>
      </c>
      <c r="K39" s="22">
        <f>'表4-收入税金表'!K26</f>
        <v>0</v>
      </c>
      <c r="L39" s="22">
        <f>'表4-收入税金表'!L26</f>
        <v>10</v>
      </c>
      <c r="M39" s="22">
        <f>'表4-收入税金表'!M26</f>
        <v>10</v>
      </c>
      <c r="N39" s="22">
        <f>'表4-收入税金表'!N26</f>
        <v>10</v>
      </c>
      <c r="O39" s="22">
        <f>'表4-收入税金表'!O26</f>
        <v>10</v>
      </c>
      <c r="P39" s="22">
        <f>'表4-收入税金表'!P26</f>
        <v>10</v>
      </c>
      <c r="Q39" s="22">
        <f>'表4-收入税金表'!Q26</f>
        <v>10</v>
      </c>
      <c r="R39" s="22">
        <f>'表4-收入税金表'!R26</f>
        <v>10</v>
      </c>
      <c r="S39" s="22">
        <f>'表4-收入税金表'!S26</f>
        <v>10</v>
      </c>
      <c r="T39" s="22">
        <f>'表4-收入税金表'!T26</f>
        <v>10</v>
      </c>
      <c r="U39" s="22">
        <f>'表4-收入税金表'!U26</f>
        <v>10</v>
      </c>
      <c r="V39" s="22">
        <f>'表4-收入税金表'!V26</f>
        <v>10</v>
      </c>
      <c r="W39" s="22">
        <f>'表4-收入税金表'!W26</f>
        <v>10</v>
      </c>
      <c r="X39" s="22">
        <f>'表4-收入税金表'!X26</f>
        <v>10</v>
      </c>
      <c r="Y39" s="22">
        <f>'表4-收入税金表'!Y26</f>
        <v>10</v>
      </c>
      <c r="Z39" s="22">
        <f>'表4-收入税金表'!Z26</f>
        <v>10</v>
      </c>
      <c r="AA39" s="22">
        <f>'表4-收入税金表'!AA26</f>
        <v>10</v>
      </c>
      <c r="AB39" s="22">
        <f>'表4-收入税金表'!AB26</f>
        <v>10</v>
      </c>
      <c r="AC39" s="22">
        <f>'表4-收入税金表'!AC26</f>
        <v>10</v>
      </c>
      <c r="AD39" s="22">
        <f>'表4-收入税金表'!AD26</f>
        <v>10</v>
      </c>
      <c r="AE39" s="22">
        <f>'表4-收入税金表'!AE26</f>
        <v>10</v>
      </c>
      <c r="AF39" s="22">
        <f>'表4-收入税金表'!AF26</f>
        <v>0</v>
      </c>
    </row>
    <row r="40" spans="2:32">
      <c r="B40" s="20"/>
      <c r="C40" s="25" t="s">
        <v>757</v>
      </c>
      <c r="D40" s="22">
        <f t="shared" si="0"/>
        <v>200</v>
      </c>
      <c r="E40" s="18" t="s">
        <v>24</v>
      </c>
      <c r="F40" s="23"/>
      <c r="G40" s="23"/>
      <c r="H40" s="23"/>
      <c r="I40" s="23"/>
      <c r="J40" s="22">
        <f>'表4-收入税金表'!J27</f>
        <v>0</v>
      </c>
      <c r="K40" s="22">
        <f>'表4-收入税金表'!K27</f>
        <v>0</v>
      </c>
      <c r="L40" s="22">
        <f>'表4-收入税金表'!L27</f>
        <v>10</v>
      </c>
      <c r="M40" s="22">
        <f>'表4-收入税金表'!M27</f>
        <v>10</v>
      </c>
      <c r="N40" s="22">
        <f>'表4-收入税金表'!N27</f>
        <v>10</v>
      </c>
      <c r="O40" s="22">
        <f>'表4-收入税金表'!O27</f>
        <v>10</v>
      </c>
      <c r="P40" s="22">
        <f>'表4-收入税金表'!P27</f>
        <v>10</v>
      </c>
      <c r="Q40" s="22">
        <f>'表4-收入税金表'!Q27</f>
        <v>10</v>
      </c>
      <c r="R40" s="22">
        <f>'表4-收入税金表'!R27</f>
        <v>10</v>
      </c>
      <c r="S40" s="22">
        <f>'表4-收入税金表'!S27</f>
        <v>10</v>
      </c>
      <c r="T40" s="22">
        <f>'表4-收入税金表'!T27</f>
        <v>10</v>
      </c>
      <c r="U40" s="22">
        <f>'表4-收入税金表'!U27</f>
        <v>10</v>
      </c>
      <c r="V40" s="22">
        <f>'表4-收入税金表'!V27</f>
        <v>10</v>
      </c>
      <c r="W40" s="22">
        <f>'表4-收入税金表'!W27</f>
        <v>10</v>
      </c>
      <c r="X40" s="22">
        <f>'表4-收入税金表'!X27</f>
        <v>10</v>
      </c>
      <c r="Y40" s="22">
        <f>'表4-收入税金表'!Y27</f>
        <v>10</v>
      </c>
      <c r="Z40" s="22">
        <f>'表4-收入税金表'!Z27</f>
        <v>10</v>
      </c>
      <c r="AA40" s="22">
        <f>'表4-收入税金表'!AA27</f>
        <v>10</v>
      </c>
      <c r="AB40" s="22">
        <f>'表4-收入税金表'!AB27</f>
        <v>10</v>
      </c>
      <c r="AC40" s="22">
        <f>'表4-收入税金表'!AC27</f>
        <v>10</v>
      </c>
      <c r="AD40" s="22">
        <f>'表4-收入税金表'!AD27</f>
        <v>10</v>
      </c>
      <c r="AE40" s="22">
        <f>'表4-收入税金表'!AE27</f>
        <v>10</v>
      </c>
      <c r="AF40" s="22">
        <f>'表4-收入税金表'!AF27</f>
        <v>0</v>
      </c>
    </row>
    <row r="41" spans="2:32">
      <c r="B41" s="20"/>
      <c r="C41" s="21" t="s">
        <v>758</v>
      </c>
      <c r="D41" s="22">
        <f t="shared" si="0"/>
        <v>0</v>
      </c>
      <c r="E41" s="18" t="s">
        <v>24</v>
      </c>
      <c r="F41" s="23"/>
      <c r="G41" s="23"/>
      <c r="H41" s="23"/>
      <c r="I41" s="23"/>
      <c r="J41" s="22">
        <f>'表3-成本费用表'!J46</f>
        <v>0</v>
      </c>
      <c r="K41" s="22">
        <f>'表3-成本费用表'!K46</f>
        <v>0</v>
      </c>
      <c r="L41" s="22">
        <f>'表3-成本费用表'!L46</f>
        <v>0</v>
      </c>
      <c r="M41" s="22">
        <f>'表3-成本费用表'!M46</f>
        <v>0</v>
      </c>
      <c r="N41" s="22">
        <f>'表3-成本费用表'!N46</f>
        <v>0</v>
      </c>
      <c r="O41" s="22">
        <f>'表3-成本费用表'!O46</f>
        <v>0</v>
      </c>
      <c r="P41" s="22">
        <f>'表3-成本费用表'!P46</f>
        <v>0</v>
      </c>
      <c r="Q41" s="22">
        <f>'表3-成本费用表'!Q46</f>
        <v>0</v>
      </c>
      <c r="R41" s="22">
        <f>'表3-成本费用表'!R46</f>
        <v>0</v>
      </c>
      <c r="S41" s="22">
        <f>'表3-成本费用表'!S46</f>
        <v>0</v>
      </c>
      <c r="T41" s="22">
        <f>'表3-成本费用表'!T46</f>
        <v>0</v>
      </c>
      <c r="U41" s="22">
        <f>'表3-成本费用表'!U46</f>
        <v>0</v>
      </c>
      <c r="V41" s="22">
        <f>'表3-成本费用表'!V46</f>
        <v>0</v>
      </c>
      <c r="W41" s="22">
        <f>'表3-成本费用表'!W46</f>
        <v>0</v>
      </c>
      <c r="X41" s="22">
        <f>'表3-成本费用表'!X46</f>
        <v>0</v>
      </c>
      <c r="Y41" s="22">
        <f>'表3-成本费用表'!Y46</f>
        <v>0</v>
      </c>
      <c r="Z41" s="22">
        <f>'表3-成本费用表'!Z46</f>
        <v>0</v>
      </c>
      <c r="AA41" s="22">
        <f>'表3-成本费用表'!AA46</f>
        <v>0</v>
      </c>
      <c r="AB41" s="22">
        <f>'表3-成本费用表'!AB46</f>
        <v>0</v>
      </c>
      <c r="AC41" s="22">
        <f>'表3-成本费用表'!AC46</f>
        <v>0</v>
      </c>
      <c r="AD41" s="22">
        <f>'表3-成本费用表'!AD46</f>
        <v>0</v>
      </c>
      <c r="AE41" s="22">
        <f>'表3-成本费用表'!AE46</f>
        <v>0</v>
      </c>
      <c r="AF41" s="22">
        <f>'表3-成本费用表'!AF46</f>
        <v>0</v>
      </c>
    </row>
    <row r="42" s="1" customFormat="1" spans="2:32">
      <c r="B42" s="15" t="s">
        <v>759</v>
      </c>
      <c r="C42" s="16" t="s">
        <v>760</v>
      </c>
      <c r="D42" s="17">
        <f ca="1" t="shared" si="0"/>
        <v>76232.5484053954</v>
      </c>
      <c r="E42" s="18" t="s">
        <v>24</v>
      </c>
      <c r="F42" s="28">
        <f t="shared" ref="F42:AF42" si="5">F38+F39-F41</f>
        <v>0</v>
      </c>
      <c r="G42" s="28">
        <f t="shared" si="5"/>
        <v>0</v>
      </c>
      <c r="H42" s="28">
        <f t="shared" si="5"/>
        <v>0</v>
      </c>
      <c r="I42" s="28">
        <f t="shared" si="5"/>
        <v>0</v>
      </c>
      <c r="J42" s="39">
        <f ca="1" t="shared" si="5"/>
        <v>-1374.33750702332</v>
      </c>
      <c r="K42" s="39">
        <f ca="1" t="shared" si="5"/>
        <v>385.971277542962</v>
      </c>
      <c r="L42" s="39">
        <f ca="1" t="shared" si="5"/>
        <v>1871.07315445353</v>
      </c>
      <c r="M42" s="39">
        <f ca="1" t="shared" si="5"/>
        <v>1728.78107448606</v>
      </c>
      <c r="N42" s="39">
        <f ca="1" t="shared" si="5"/>
        <v>1940.33588390373</v>
      </c>
      <c r="O42" s="39">
        <f ca="1" t="shared" si="5"/>
        <v>2143.50019279892</v>
      </c>
      <c r="P42" s="39">
        <f ca="1" t="shared" si="5"/>
        <v>2356.94530478192</v>
      </c>
      <c r="Q42" s="39">
        <f ca="1" t="shared" si="5"/>
        <v>2581.1187182793</v>
      </c>
      <c r="R42" s="39">
        <f ca="1" t="shared" si="5"/>
        <v>2358.92308823154</v>
      </c>
      <c r="S42" s="39">
        <f ca="1" t="shared" si="5"/>
        <v>2594.85773322601</v>
      </c>
      <c r="T42" s="39">
        <f ca="1" t="shared" si="5"/>
        <v>2856.12848361358</v>
      </c>
      <c r="U42" s="39">
        <f ca="1" t="shared" si="5"/>
        <v>3130.08951646896</v>
      </c>
      <c r="V42" s="39">
        <f ca="1" t="shared" si="5"/>
        <v>3338.54775241933</v>
      </c>
      <c r="W42" s="39">
        <f ca="1" t="shared" si="5"/>
        <v>3382.23310533331</v>
      </c>
      <c r="X42" s="39">
        <f ca="1" t="shared" si="5"/>
        <v>4662.80055931509</v>
      </c>
      <c r="Y42" s="39">
        <f ca="1" t="shared" si="5"/>
        <v>5963.34311083256</v>
      </c>
      <c r="Z42" s="39">
        <f ca="1" t="shared" si="5"/>
        <v>3697.88100280694</v>
      </c>
      <c r="AA42" s="39">
        <f ca="1" t="shared" si="5"/>
        <v>2560.37444610224</v>
      </c>
      <c r="AB42" s="39">
        <f ca="1" t="shared" si="5"/>
        <v>3333.21343551584</v>
      </c>
      <c r="AC42" s="39">
        <f ca="1" t="shared" si="5"/>
        <v>8863.64411990902</v>
      </c>
      <c r="AD42" s="39">
        <f ca="1" t="shared" si="5"/>
        <v>9466.85721963202</v>
      </c>
      <c r="AE42" s="39">
        <f ca="1" t="shared" si="5"/>
        <v>9373.65425218424</v>
      </c>
      <c r="AF42" s="39">
        <f ca="1" t="shared" si="5"/>
        <v>-983.387519418344</v>
      </c>
    </row>
    <row r="43" s="1" customFormat="1" spans="2:32">
      <c r="B43" s="15"/>
      <c r="C43" s="29" t="s">
        <v>761</v>
      </c>
      <c r="D43" s="17">
        <f ca="1" t="shared" si="0"/>
        <v>1374.33750702332</v>
      </c>
      <c r="E43" s="18" t="s">
        <v>24</v>
      </c>
      <c r="F43" s="19">
        <f t="shared" ref="F43:AF43" si="6">SUM(F44:F48)</f>
        <v>0</v>
      </c>
      <c r="G43" s="19">
        <f t="shared" si="6"/>
        <v>0</v>
      </c>
      <c r="H43" s="19">
        <f t="shared" si="6"/>
        <v>0</v>
      </c>
      <c r="I43" s="19">
        <f t="shared" si="6"/>
        <v>0</v>
      </c>
      <c r="J43" s="39">
        <f ca="1" t="shared" si="6"/>
        <v>0</v>
      </c>
      <c r="K43" s="39">
        <f ca="1" t="shared" si="6"/>
        <v>385.971277542962</v>
      </c>
      <c r="L43" s="39">
        <f ca="1" t="shared" si="6"/>
        <v>988.366229480361</v>
      </c>
      <c r="M43" s="39">
        <f ca="1" t="shared" si="6"/>
        <v>0</v>
      </c>
      <c r="N43" s="39">
        <f ca="1" t="shared" si="6"/>
        <v>0</v>
      </c>
      <c r="O43" s="39">
        <f ca="1" t="shared" si="6"/>
        <v>0</v>
      </c>
      <c r="P43" s="39">
        <f ca="1" t="shared" si="6"/>
        <v>0</v>
      </c>
      <c r="Q43" s="39">
        <f ca="1" t="shared" si="6"/>
        <v>0</v>
      </c>
      <c r="R43" s="39">
        <f ca="1" t="shared" si="6"/>
        <v>0</v>
      </c>
      <c r="S43" s="39">
        <f ca="1" t="shared" si="6"/>
        <v>0</v>
      </c>
      <c r="T43" s="39">
        <f ca="1" t="shared" si="6"/>
        <v>0</v>
      </c>
      <c r="U43" s="39">
        <f ca="1" t="shared" si="6"/>
        <v>0</v>
      </c>
      <c r="V43" s="39">
        <f ca="1" t="shared" si="6"/>
        <v>0</v>
      </c>
      <c r="W43" s="39">
        <f ca="1" t="shared" si="6"/>
        <v>0</v>
      </c>
      <c r="X43" s="39">
        <f ca="1" t="shared" si="6"/>
        <v>0</v>
      </c>
      <c r="Y43" s="39">
        <f ca="1" t="shared" si="6"/>
        <v>0</v>
      </c>
      <c r="Z43" s="39">
        <f ca="1" t="shared" si="6"/>
        <v>0</v>
      </c>
      <c r="AA43" s="39">
        <f ca="1" t="shared" si="6"/>
        <v>0</v>
      </c>
      <c r="AB43" s="39">
        <f ca="1" t="shared" si="6"/>
        <v>0</v>
      </c>
      <c r="AC43" s="39">
        <f ca="1" t="shared" si="6"/>
        <v>0</v>
      </c>
      <c r="AD43" s="39">
        <f ca="1" t="shared" si="6"/>
        <v>0</v>
      </c>
      <c r="AE43" s="39">
        <f ca="1" t="shared" si="6"/>
        <v>0</v>
      </c>
      <c r="AF43" s="39">
        <f ca="1" t="shared" si="6"/>
        <v>0</v>
      </c>
    </row>
    <row r="44" s="1" customFormat="1" spans="2:32">
      <c r="B44" s="15"/>
      <c r="C44" s="30" t="s">
        <v>762</v>
      </c>
      <c r="D44" s="22">
        <f ca="1" t="shared" si="0"/>
        <v>385.971277542962</v>
      </c>
      <c r="E44" s="18" t="s">
        <v>24</v>
      </c>
      <c r="F44" s="31"/>
      <c r="G44" s="31"/>
      <c r="H44" s="31"/>
      <c r="I44" s="31"/>
      <c r="J44" s="41">
        <f ca="1">IF(I42&gt;0,0,IF(J42&lt;0,0,MIN(J42-SUM(J45:J48),-I42)))</f>
        <v>0</v>
      </c>
      <c r="K44" s="41">
        <f ca="1">IF(J42&gt;0,0,IF(K42&lt;0,0,MIN(K42-SUM(K45:K48),-J42)))</f>
        <v>385.971277542962</v>
      </c>
      <c r="L44" s="41">
        <f ca="1">IF(K42&gt;0,0,IF(L42&lt;0,0,MIN(L42-SUM(L45:L48),-K42)))</f>
        <v>0</v>
      </c>
      <c r="M44" s="41">
        <f ca="1" t="shared" ref="M44:AF44" si="7">IF(L42&gt;0,0,IF(M42&lt;0,0,MIN(M42-SUM(M45:M48),-L42)))</f>
        <v>0</v>
      </c>
      <c r="N44" s="41">
        <f ca="1" t="shared" si="7"/>
        <v>0</v>
      </c>
      <c r="O44" s="41">
        <f ca="1" t="shared" si="7"/>
        <v>0</v>
      </c>
      <c r="P44" s="41">
        <f ca="1" t="shared" si="7"/>
        <v>0</v>
      </c>
      <c r="Q44" s="41">
        <f ca="1" t="shared" si="7"/>
        <v>0</v>
      </c>
      <c r="R44" s="41">
        <f ca="1" t="shared" si="7"/>
        <v>0</v>
      </c>
      <c r="S44" s="41">
        <f ca="1" t="shared" si="7"/>
        <v>0</v>
      </c>
      <c r="T44" s="41">
        <f ca="1" t="shared" si="7"/>
        <v>0</v>
      </c>
      <c r="U44" s="41">
        <f ca="1" t="shared" si="7"/>
        <v>0</v>
      </c>
      <c r="V44" s="41">
        <f ca="1" t="shared" si="7"/>
        <v>0</v>
      </c>
      <c r="W44" s="41">
        <f ca="1" t="shared" si="7"/>
        <v>0</v>
      </c>
      <c r="X44" s="41">
        <f ca="1" t="shared" si="7"/>
        <v>0</v>
      </c>
      <c r="Y44" s="41">
        <f ca="1" t="shared" si="7"/>
        <v>0</v>
      </c>
      <c r="Z44" s="41">
        <f ca="1" t="shared" si="7"/>
        <v>0</v>
      </c>
      <c r="AA44" s="41">
        <f ca="1" t="shared" si="7"/>
        <v>0</v>
      </c>
      <c r="AB44" s="41">
        <f ca="1" t="shared" si="7"/>
        <v>0</v>
      </c>
      <c r="AC44" s="41">
        <f ca="1" t="shared" si="7"/>
        <v>0</v>
      </c>
      <c r="AD44" s="41">
        <f ca="1" t="shared" si="7"/>
        <v>0</v>
      </c>
      <c r="AE44" s="41">
        <f ca="1" t="shared" si="7"/>
        <v>0</v>
      </c>
      <c r="AF44" s="41">
        <f ca="1" t="shared" si="7"/>
        <v>0</v>
      </c>
    </row>
    <row r="45" s="1" customFormat="1" spans="2:32">
      <c r="B45" s="15"/>
      <c r="C45" s="30" t="s">
        <v>763</v>
      </c>
      <c r="D45" s="22">
        <f ca="1" t="shared" si="0"/>
        <v>988.366229480361</v>
      </c>
      <c r="E45" s="18" t="s">
        <v>24</v>
      </c>
      <c r="F45" s="31"/>
      <c r="G45" s="31"/>
      <c r="H45" s="31"/>
      <c r="I45" s="31"/>
      <c r="J45" s="42">
        <f ca="1">IF(H42&gt;0,0,IF(J42&lt;0,0,MIN(J42-SUM(J46:J48),-H42-I44)))</f>
        <v>0</v>
      </c>
      <c r="K45" s="41">
        <f ca="1" t="shared" ref="K45:M45" si="8">IF(I42&gt;0,0,IF(K42&lt;0,0,MIN(K42-SUM(K46:K48),-I42-J44)))</f>
        <v>0</v>
      </c>
      <c r="L45" s="41">
        <f ca="1" t="shared" si="8"/>
        <v>988.366229480361</v>
      </c>
      <c r="M45" s="41">
        <f ca="1" t="shared" si="8"/>
        <v>0</v>
      </c>
      <c r="N45" s="41">
        <f ca="1" t="shared" ref="N45:AF45" si="9">IF(L42&gt;0,0,IF(N42&lt;0,0,MIN(N42-SUM(N46:N48),-L42-M44)))</f>
        <v>0</v>
      </c>
      <c r="O45" s="41">
        <f ca="1" t="shared" si="9"/>
        <v>0</v>
      </c>
      <c r="P45" s="41">
        <f ca="1" t="shared" si="9"/>
        <v>0</v>
      </c>
      <c r="Q45" s="41">
        <f ca="1" t="shared" si="9"/>
        <v>0</v>
      </c>
      <c r="R45" s="41">
        <f ca="1" t="shared" si="9"/>
        <v>0</v>
      </c>
      <c r="S45" s="41">
        <f ca="1" t="shared" si="9"/>
        <v>0</v>
      </c>
      <c r="T45" s="41">
        <f ca="1" t="shared" si="9"/>
        <v>0</v>
      </c>
      <c r="U45" s="41">
        <f ca="1" t="shared" si="9"/>
        <v>0</v>
      </c>
      <c r="V45" s="41">
        <f ca="1" t="shared" si="9"/>
        <v>0</v>
      </c>
      <c r="W45" s="41">
        <f ca="1" t="shared" si="9"/>
        <v>0</v>
      </c>
      <c r="X45" s="41">
        <f ca="1" t="shared" si="9"/>
        <v>0</v>
      </c>
      <c r="Y45" s="41">
        <f ca="1" t="shared" si="9"/>
        <v>0</v>
      </c>
      <c r="Z45" s="41">
        <f ca="1" t="shared" si="9"/>
        <v>0</v>
      </c>
      <c r="AA45" s="41">
        <f ca="1" t="shared" si="9"/>
        <v>0</v>
      </c>
      <c r="AB45" s="41">
        <f ca="1" t="shared" si="9"/>
        <v>0</v>
      </c>
      <c r="AC45" s="41">
        <f ca="1" t="shared" si="9"/>
        <v>0</v>
      </c>
      <c r="AD45" s="41">
        <f ca="1" t="shared" si="9"/>
        <v>0</v>
      </c>
      <c r="AE45" s="41">
        <f ca="1" t="shared" si="9"/>
        <v>0</v>
      </c>
      <c r="AF45" s="41">
        <f ca="1" t="shared" si="9"/>
        <v>0</v>
      </c>
    </row>
    <row r="46" s="1" customFormat="1" spans="2:32">
      <c r="B46" s="15"/>
      <c r="C46" s="30" t="s">
        <v>764</v>
      </c>
      <c r="D46" s="22">
        <f ca="1" t="shared" si="0"/>
        <v>0</v>
      </c>
      <c r="E46" s="18" t="s">
        <v>24</v>
      </c>
      <c r="F46" s="31"/>
      <c r="G46" s="31"/>
      <c r="H46" s="31"/>
      <c r="I46" s="31"/>
      <c r="J46" s="42">
        <f ca="1">IF(G42&gt;0,0,IF(J42&lt;0,0,MIN(J42-SUM(J47:J48),-G42-H44-I45)))</f>
        <v>0</v>
      </c>
      <c r="K46" s="42">
        <f ca="1">IF(H42&gt;0,0,IF(K42&lt;0,0,MIN(K42-SUM(K47:K48),-H42-I44-J45)))</f>
        <v>0</v>
      </c>
      <c r="L46" s="41">
        <f ca="1" t="shared" ref="L46:N46" si="10">IF(I42&gt;0,0,IF(L42&lt;0,0,MIN(L42-SUM(L47:L48),-I42-J44-K45)))</f>
        <v>0</v>
      </c>
      <c r="M46" s="41">
        <f ca="1" t="shared" si="10"/>
        <v>0</v>
      </c>
      <c r="N46" s="41">
        <f ca="1" t="shared" si="10"/>
        <v>0</v>
      </c>
      <c r="O46" s="41">
        <f ca="1" t="shared" ref="O46:AF46" si="11">IF(L42&gt;0,0,IF(O42&lt;0,0,MIN(O42-SUM(O47:O48),-L42-M44-N45)))</f>
        <v>0</v>
      </c>
      <c r="P46" s="41">
        <f ca="1" t="shared" si="11"/>
        <v>0</v>
      </c>
      <c r="Q46" s="41">
        <f ca="1" t="shared" si="11"/>
        <v>0</v>
      </c>
      <c r="R46" s="41">
        <f ca="1" t="shared" si="11"/>
        <v>0</v>
      </c>
      <c r="S46" s="41">
        <f ca="1" t="shared" si="11"/>
        <v>0</v>
      </c>
      <c r="T46" s="41">
        <f ca="1" t="shared" si="11"/>
        <v>0</v>
      </c>
      <c r="U46" s="41">
        <f ca="1" t="shared" si="11"/>
        <v>0</v>
      </c>
      <c r="V46" s="41">
        <f ca="1" t="shared" si="11"/>
        <v>0</v>
      </c>
      <c r="W46" s="41">
        <f ca="1" t="shared" si="11"/>
        <v>0</v>
      </c>
      <c r="X46" s="41">
        <f ca="1" t="shared" si="11"/>
        <v>0</v>
      </c>
      <c r="Y46" s="41">
        <f ca="1" t="shared" si="11"/>
        <v>0</v>
      </c>
      <c r="Z46" s="41">
        <f ca="1" t="shared" si="11"/>
        <v>0</v>
      </c>
      <c r="AA46" s="41">
        <f ca="1" t="shared" si="11"/>
        <v>0</v>
      </c>
      <c r="AB46" s="41">
        <f ca="1" t="shared" si="11"/>
        <v>0</v>
      </c>
      <c r="AC46" s="41">
        <f ca="1" t="shared" si="11"/>
        <v>0</v>
      </c>
      <c r="AD46" s="41">
        <f ca="1" t="shared" si="11"/>
        <v>0</v>
      </c>
      <c r="AE46" s="41">
        <f ca="1" t="shared" si="11"/>
        <v>0</v>
      </c>
      <c r="AF46" s="41">
        <f ca="1" t="shared" si="11"/>
        <v>0</v>
      </c>
    </row>
    <row r="47" s="1" customFormat="1" spans="2:32">
      <c r="B47" s="15"/>
      <c r="C47" s="30" t="s">
        <v>765</v>
      </c>
      <c r="D47" s="22">
        <f ca="1" t="shared" si="0"/>
        <v>0</v>
      </c>
      <c r="E47" s="18" t="s">
        <v>24</v>
      </c>
      <c r="F47" s="31"/>
      <c r="G47" s="31"/>
      <c r="H47" s="31"/>
      <c r="I47" s="31"/>
      <c r="J47" s="42">
        <f ca="1" t="shared" ref="J47:L47" si="12">IF(F42&gt;0,0,IF(J42&lt;0,0,MIN(J42-J48,-F42-G44-H45-I46)))</f>
        <v>0</v>
      </c>
      <c r="K47" s="42">
        <f ca="1" t="shared" si="12"/>
        <v>0</v>
      </c>
      <c r="L47" s="42">
        <f ca="1" t="shared" si="12"/>
        <v>0</v>
      </c>
      <c r="M47" s="41">
        <f ca="1" t="shared" ref="M47:O47" si="13">IF(I42&gt;0,0,IF(M42&lt;0,0,MIN(M42-M48,-I42-J44-K45-L46)))</f>
        <v>0</v>
      </c>
      <c r="N47" s="41">
        <f ca="1" t="shared" si="13"/>
        <v>0</v>
      </c>
      <c r="O47" s="41">
        <f ca="1" t="shared" si="13"/>
        <v>0</v>
      </c>
      <c r="P47" s="41">
        <f ca="1" t="shared" ref="P47:AF47" si="14">IF(L42&gt;0,0,IF(P42&lt;0,0,MIN(P42-P48,-L42-M44-N45-O46)))</f>
        <v>0</v>
      </c>
      <c r="Q47" s="41">
        <f ca="1" t="shared" si="14"/>
        <v>0</v>
      </c>
      <c r="R47" s="41">
        <f ca="1" t="shared" si="14"/>
        <v>0</v>
      </c>
      <c r="S47" s="41">
        <f ca="1" t="shared" si="14"/>
        <v>0</v>
      </c>
      <c r="T47" s="41">
        <f ca="1" t="shared" si="14"/>
        <v>0</v>
      </c>
      <c r="U47" s="41">
        <f ca="1" t="shared" si="14"/>
        <v>0</v>
      </c>
      <c r="V47" s="41">
        <f ca="1" t="shared" si="14"/>
        <v>0</v>
      </c>
      <c r="W47" s="41">
        <f ca="1" t="shared" si="14"/>
        <v>0</v>
      </c>
      <c r="X47" s="41">
        <f ca="1" t="shared" si="14"/>
        <v>0</v>
      </c>
      <c r="Y47" s="41">
        <f ca="1" t="shared" si="14"/>
        <v>0</v>
      </c>
      <c r="Z47" s="41">
        <f ca="1" t="shared" si="14"/>
        <v>0</v>
      </c>
      <c r="AA47" s="41">
        <f ca="1" t="shared" si="14"/>
        <v>0</v>
      </c>
      <c r="AB47" s="41">
        <f ca="1" t="shared" si="14"/>
        <v>0</v>
      </c>
      <c r="AC47" s="41">
        <f ca="1" t="shared" si="14"/>
        <v>0</v>
      </c>
      <c r="AD47" s="41">
        <f ca="1" t="shared" si="14"/>
        <v>0</v>
      </c>
      <c r="AE47" s="41">
        <f ca="1" t="shared" si="14"/>
        <v>0</v>
      </c>
      <c r="AF47" s="41">
        <f ca="1" t="shared" si="14"/>
        <v>0</v>
      </c>
    </row>
    <row r="48" s="1" customFormat="1" spans="2:32">
      <c r="B48" s="15"/>
      <c r="C48" s="30" t="s">
        <v>766</v>
      </c>
      <c r="D48" s="22">
        <f ca="1" t="shared" si="0"/>
        <v>0</v>
      </c>
      <c r="E48" s="18" t="s">
        <v>24</v>
      </c>
      <c r="F48" s="31"/>
      <c r="G48" s="31"/>
      <c r="H48" s="31"/>
      <c r="I48" s="31"/>
      <c r="J48" s="17"/>
      <c r="K48" s="42">
        <f ca="1" t="shared" ref="K48:M48" si="15">IF(F42&gt;0,0,IF(K42&lt;0,0,MIN(K42,-F42-G44-H45-I46-J47)))</f>
        <v>0</v>
      </c>
      <c r="L48" s="42">
        <f ca="1" t="shared" si="15"/>
        <v>0</v>
      </c>
      <c r="M48" s="42">
        <f ca="1" t="shared" si="15"/>
        <v>0</v>
      </c>
      <c r="N48" s="41">
        <f ca="1" t="shared" ref="N48:P48" si="16">IF(I42&gt;0,0,IF(N42&lt;0,0,MIN(N42,-I42-J44-K45-L46-M47)))</f>
        <v>0</v>
      </c>
      <c r="O48" s="41">
        <f ca="1" t="shared" si="16"/>
        <v>0</v>
      </c>
      <c r="P48" s="41">
        <f ca="1" t="shared" si="16"/>
        <v>0</v>
      </c>
      <c r="Q48" s="41">
        <f ca="1" t="shared" ref="Q48:AF48" si="17">IF(L42&gt;0,0,IF(Q42&lt;0,0,MIN(Q42,-L42-M44-N45-O46-P47)))</f>
        <v>0</v>
      </c>
      <c r="R48" s="41">
        <f ca="1" t="shared" si="17"/>
        <v>0</v>
      </c>
      <c r="S48" s="41">
        <f ca="1" t="shared" si="17"/>
        <v>0</v>
      </c>
      <c r="T48" s="41">
        <f ca="1" t="shared" si="17"/>
        <v>0</v>
      </c>
      <c r="U48" s="41">
        <f ca="1" t="shared" si="17"/>
        <v>0</v>
      </c>
      <c r="V48" s="41">
        <f ca="1" t="shared" si="17"/>
        <v>0</v>
      </c>
      <c r="W48" s="41">
        <f ca="1" t="shared" si="17"/>
        <v>0</v>
      </c>
      <c r="X48" s="41">
        <f ca="1" t="shared" si="17"/>
        <v>0</v>
      </c>
      <c r="Y48" s="41">
        <f ca="1" t="shared" si="17"/>
        <v>0</v>
      </c>
      <c r="Z48" s="41">
        <f ca="1" t="shared" si="17"/>
        <v>0</v>
      </c>
      <c r="AA48" s="41">
        <f ca="1" t="shared" si="17"/>
        <v>0</v>
      </c>
      <c r="AB48" s="41">
        <f ca="1" t="shared" si="17"/>
        <v>0</v>
      </c>
      <c r="AC48" s="41">
        <f ca="1" t="shared" si="17"/>
        <v>0</v>
      </c>
      <c r="AD48" s="41">
        <f ca="1" t="shared" si="17"/>
        <v>0</v>
      </c>
      <c r="AE48" s="41">
        <f ca="1" t="shared" si="17"/>
        <v>0</v>
      </c>
      <c r="AF48" s="41">
        <f ca="1" t="shared" si="17"/>
        <v>0</v>
      </c>
    </row>
    <row r="49" s="1" customFormat="1" spans="2:32">
      <c r="B49" s="15"/>
      <c r="C49" s="29" t="s">
        <v>767</v>
      </c>
      <c r="D49" s="17">
        <f ca="1" t="shared" si="0"/>
        <v>77215.9359248138</v>
      </c>
      <c r="E49" s="18" t="s">
        <v>24</v>
      </c>
      <c r="F49" s="19">
        <f t="shared" ref="F49:AF49" si="18">IF(F42-F43&gt;0,F42-F43,0)</f>
        <v>0</v>
      </c>
      <c r="G49" s="19">
        <f t="shared" si="18"/>
        <v>0</v>
      </c>
      <c r="H49" s="19">
        <f t="shared" si="18"/>
        <v>0</v>
      </c>
      <c r="I49" s="19">
        <f t="shared" si="18"/>
        <v>0</v>
      </c>
      <c r="J49" s="39">
        <f ca="1" t="shared" si="18"/>
        <v>0</v>
      </c>
      <c r="K49" s="39">
        <f ca="1" t="shared" si="18"/>
        <v>0</v>
      </c>
      <c r="L49" s="39">
        <f ca="1" t="shared" si="18"/>
        <v>882.70692497317</v>
      </c>
      <c r="M49" s="39">
        <f ca="1" t="shared" si="18"/>
        <v>1728.78107448606</v>
      </c>
      <c r="N49" s="39">
        <f ca="1" t="shared" si="18"/>
        <v>1940.33588390373</v>
      </c>
      <c r="O49" s="39">
        <f ca="1" t="shared" si="18"/>
        <v>2143.50019279892</v>
      </c>
      <c r="P49" s="39">
        <f ca="1" t="shared" si="18"/>
        <v>2356.94530478192</v>
      </c>
      <c r="Q49" s="39">
        <f ca="1" t="shared" si="18"/>
        <v>2581.1187182793</v>
      </c>
      <c r="R49" s="39">
        <f ca="1" t="shared" si="18"/>
        <v>2358.92308823154</v>
      </c>
      <c r="S49" s="39">
        <f ca="1" t="shared" si="18"/>
        <v>2594.85773322601</v>
      </c>
      <c r="T49" s="39">
        <f ca="1" t="shared" si="18"/>
        <v>2856.12848361358</v>
      </c>
      <c r="U49" s="39">
        <f ca="1" t="shared" si="18"/>
        <v>3130.08951646896</v>
      </c>
      <c r="V49" s="39">
        <f ca="1" t="shared" si="18"/>
        <v>3338.54775241933</v>
      </c>
      <c r="W49" s="39">
        <f ca="1" t="shared" si="18"/>
        <v>3382.23310533331</v>
      </c>
      <c r="X49" s="39">
        <f ca="1" t="shared" si="18"/>
        <v>4662.80055931509</v>
      </c>
      <c r="Y49" s="39">
        <f ca="1" t="shared" si="18"/>
        <v>5963.34311083256</v>
      </c>
      <c r="Z49" s="39">
        <f ca="1" t="shared" si="18"/>
        <v>3697.88100280694</v>
      </c>
      <c r="AA49" s="39">
        <f ca="1" t="shared" si="18"/>
        <v>2560.37444610224</v>
      </c>
      <c r="AB49" s="39">
        <f ca="1" t="shared" si="18"/>
        <v>3333.21343551584</v>
      </c>
      <c r="AC49" s="39">
        <f ca="1" t="shared" si="18"/>
        <v>8863.64411990902</v>
      </c>
      <c r="AD49" s="39">
        <f ca="1" t="shared" si="18"/>
        <v>9466.85721963202</v>
      </c>
      <c r="AE49" s="39">
        <f ca="1" t="shared" si="18"/>
        <v>9373.65425218424</v>
      </c>
      <c r="AF49" s="39">
        <f ca="1" t="shared" si="18"/>
        <v>0</v>
      </c>
    </row>
    <row r="50" spans="2:32">
      <c r="B50" s="20"/>
      <c r="C50" s="21" t="s">
        <v>768</v>
      </c>
      <c r="D50" s="22">
        <f ca="1" t="shared" si="0"/>
        <v>18074.4421519081</v>
      </c>
      <c r="E50" s="18" t="s">
        <v>24</v>
      </c>
      <c r="F50" s="23"/>
      <c r="G50" s="23"/>
      <c r="H50" s="23"/>
      <c r="I50" s="23"/>
      <c r="J50" s="23">
        <f ca="1">J49*参数输入表!$I657</f>
        <v>0</v>
      </c>
      <c r="K50" s="23">
        <f ca="1">K49*参数输入表!$I658</f>
        <v>0</v>
      </c>
      <c r="L50" s="23">
        <f ca="1">L49*参数输入表!$I659</f>
        <v>66.2030193729878</v>
      </c>
      <c r="M50" s="23">
        <f ca="1">M49*参数输入表!$I660</f>
        <v>259.317161172908</v>
      </c>
      <c r="N50" s="23">
        <f ca="1">N49*参数输入表!$I661</f>
        <v>291.050382585559</v>
      </c>
      <c r="O50" s="23">
        <f ca="1">O49*参数输入表!$I662</f>
        <v>321.525028919838</v>
      </c>
      <c r="P50" s="23">
        <f ca="1">P49*参数输入表!$I663</f>
        <v>353.541795717288</v>
      </c>
      <c r="Q50" s="23">
        <f ca="1">Q49*参数输入表!$I664</f>
        <v>387.167807741895</v>
      </c>
      <c r="R50" s="23">
        <f ca="1">R49*参数输入表!$I665</f>
        <v>589.730772057886</v>
      </c>
      <c r="S50" s="23">
        <f ca="1">S49*参数输入表!$I666</f>
        <v>648.714433306502</v>
      </c>
      <c r="T50" s="23">
        <f ca="1">T49*参数输入表!$I667</f>
        <v>714.032120903394</v>
      </c>
      <c r="U50" s="23">
        <f ca="1">U49*参数输入表!$I668</f>
        <v>782.52237911724</v>
      </c>
      <c r="V50" s="23">
        <f ca="1">V49*参数输入表!$I669</f>
        <v>834.636938104833</v>
      </c>
      <c r="W50" s="23">
        <f ca="1">W49*参数输入表!$I670</f>
        <v>845.558276333328</v>
      </c>
      <c r="X50" s="23">
        <f ca="1">X49*参数输入表!$I671</f>
        <v>1165.70013982877</v>
      </c>
      <c r="Y50" s="23">
        <f ca="1">Y49*参数输入表!$I672</f>
        <v>1490.83577770814</v>
      </c>
      <c r="Z50" s="23">
        <f ca="1">Z49*参数输入表!$I673</f>
        <v>924.470250701735</v>
      </c>
      <c r="AA50" s="23">
        <f ca="1">AA49*参数输入表!$I674</f>
        <v>640.09361152556</v>
      </c>
      <c r="AB50" s="23">
        <f ca="1">AB49*参数输入表!$I675</f>
        <v>833.303358878959</v>
      </c>
      <c r="AC50" s="23">
        <f ca="1">AC49*参数输入表!$I676</f>
        <v>2215.91102997725</v>
      </c>
      <c r="AD50" s="23">
        <f ca="1">AD49*参数输入表!$I677</f>
        <v>2366.71430490801</v>
      </c>
      <c r="AE50" s="23">
        <f ca="1">AE49*参数输入表!$I678</f>
        <v>2343.41356304606</v>
      </c>
      <c r="AF50" s="23">
        <f ca="1">AF49*参数输入表!$I679</f>
        <v>0</v>
      </c>
    </row>
    <row r="51" s="1" customFormat="1" spans="2:32">
      <c r="B51" s="15" t="s">
        <v>769</v>
      </c>
      <c r="C51" s="16" t="s">
        <v>770</v>
      </c>
      <c r="D51" s="17">
        <f ca="1" t="shared" si="0"/>
        <v>58158.1062534873</v>
      </c>
      <c r="E51" s="18" t="s">
        <v>24</v>
      </c>
      <c r="F51" s="32">
        <f t="shared" ref="F51:AF51" si="19">F42-F50</f>
        <v>0</v>
      </c>
      <c r="G51" s="32">
        <f t="shared" si="19"/>
        <v>0</v>
      </c>
      <c r="H51" s="32">
        <f t="shared" si="19"/>
        <v>0</v>
      </c>
      <c r="I51" s="32">
        <f t="shared" si="19"/>
        <v>0</v>
      </c>
      <c r="J51" s="17">
        <f ca="1" t="shared" si="19"/>
        <v>-1374.33750702332</v>
      </c>
      <c r="K51" s="17">
        <f ca="1" t="shared" si="19"/>
        <v>385.971277542962</v>
      </c>
      <c r="L51" s="17">
        <f ca="1" t="shared" si="19"/>
        <v>1804.87013508054</v>
      </c>
      <c r="M51" s="17">
        <f ca="1" t="shared" si="19"/>
        <v>1469.46391331315</v>
      </c>
      <c r="N51" s="17">
        <f ca="1" t="shared" si="19"/>
        <v>1649.28550131817</v>
      </c>
      <c r="O51" s="17">
        <f ca="1" t="shared" si="19"/>
        <v>1821.97516387908</v>
      </c>
      <c r="P51" s="17">
        <f ca="1" t="shared" si="19"/>
        <v>2003.40350906463</v>
      </c>
      <c r="Q51" s="17">
        <f ca="1" t="shared" si="19"/>
        <v>2193.95091053741</v>
      </c>
      <c r="R51" s="17">
        <f ca="1" t="shared" si="19"/>
        <v>1769.19231617366</v>
      </c>
      <c r="S51" s="17">
        <f ca="1" t="shared" si="19"/>
        <v>1946.14329991951</v>
      </c>
      <c r="T51" s="17">
        <f ca="1" t="shared" si="19"/>
        <v>2142.09636271018</v>
      </c>
      <c r="U51" s="17">
        <f ca="1" t="shared" si="19"/>
        <v>2347.56713735172</v>
      </c>
      <c r="V51" s="17">
        <f ca="1" t="shared" si="19"/>
        <v>2503.9108143145</v>
      </c>
      <c r="W51" s="17">
        <f ca="1" t="shared" si="19"/>
        <v>2536.67482899998</v>
      </c>
      <c r="X51" s="17">
        <f ca="1" t="shared" si="19"/>
        <v>3497.10041948631</v>
      </c>
      <c r="Y51" s="17">
        <f ca="1" t="shared" si="19"/>
        <v>4472.50733312442</v>
      </c>
      <c r="Z51" s="17">
        <f ca="1" t="shared" si="19"/>
        <v>2773.41075210521</v>
      </c>
      <c r="AA51" s="17">
        <f ca="1" t="shared" si="19"/>
        <v>1920.28083457668</v>
      </c>
      <c r="AB51" s="17">
        <f ca="1" t="shared" si="19"/>
        <v>2499.91007663688</v>
      </c>
      <c r="AC51" s="17">
        <f ca="1" t="shared" si="19"/>
        <v>6647.73308993176</v>
      </c>
      <c r="AD51" s="17">
        <f ca="1" t="shared" si="19"/>
        <v>7100.14291472402</v>
      </c>
      <c r="AE51" s="17">
        <f ca="1" t="shared" si="19"/>
        <v>7030.24068913818</v>
      </c>
      <c r="AF51" s="17">
        <f ca="1" t="shared" si="19"/>
        <v>-983.387519418344</v>
      </c>
    </row>
    <row r="52" s="1" customFormat="1" spans="2:32">
      <c r="B52" s="15"/>
      <c r="C52" s="33" t="s">
        <v>1105</v>
      </c>
      <c r="D52" s="22">
        <f ca="1" t="shared" si="0"/>
        <v>45323.6586155389</v>
      </c>
      <c r="E52" s="18" t="s">
        <v>24</v>
      </c>
      <c r="F52" s="31"/>
      <c r="G52" s="31"/>
      <c r="H52" s="31"/>
      <c r="I52" s="31"/>
      <c r="J52" s="23">
        <f ca="1">J23*(1-参数输入表!$I$657)</f>
        <v>621.793507790724</v>
      </c>
      <c r="K52" s="23">
        <f ca="1">K23*(1-参数输入表!$I$658)</f>
        <v>3562.41134141421</v>
      </c>
      <c r="L52" s="23">
        <f ca="1">L23*(1-参数输入表!$I$659)</f>
        <v>5240.8567375709</v>
      </c>
      <c r="M52" s="23">
        <f ca="1">M23*(1-参数输入表!$I$660)</f>
        <v>4547.2478914906</v>
      </c>
      <c r="N52" s="23">
        <f ca="1">N23*(1-参数输入表!$I$661)</f>
        <v>4270.53830879532</v>
      </c>
      <c r="O52" s="23">
        <f ca="1">O23*(1-参数输入表!$I$662)</f>
        <v>4000.96065154413</v>
      </c>
      <c r="P52" s="23">
        <f ca="1">P23*(1-参数输入表!$I$663)</f>
        <v>3722.64205503115</v>
      </c>
      <c r="Q52" s="23">
        <f ca="1">Q23*(1-参数输入表!$I$664)</f>
        <v>3435.20665886811</v>
      </c>
      <c r="R52" s="23">
        <f ca="1">R23*(1-参数输入表!$I$665)</f>
        <v>2769.05509470887</v>
      </c>
      <c r="S52" s="23">
        <f ca="1">S23*(1-参数输入表!$I$666)</f>
        <v>2498.2945774319</v>
      </c>
      <c r="T52" s="23">
        <f ca="1">T23*(1-参数输入表!$I$667)</f>
        <v>2218.40685791202</v>
      </c>
      <c r="U52" s="23">
        <f ca="1">U23*(1-参数输入表!$I$668)</f>
        <v>1928.99946645278</v>
      </c>
      <c r="V52" s="23">
        <f ca="1">V23*(1-参数输入表!$I$669)</f>
        <v>1688.1630571608</v>
      </c>
      <c r="W52" s="23">
        <f ca="1">W23*(1-参数输入表!$I$670)</f>
        <v>1436.97068226926</v>
      </c>
      <c r="X52" s="23">
        <f ca="1">X23*(1-参数输入表!$I$671)</f>
        <v>1174.97703525738</v>
      </c>
      <c r="Y52" s="23">
        <f ca="1">Y23*(1-参数输入表!$I$672)</f>
        <v>901.717661423997</v>
      </c>
      <c r="Z52" s="23">
        <f ca="1">Z23*(1-参数输入表!$I$673)</f>
        <v>616.708134515775</v>
      </c>
      <c r="AA52" s="23">
        <f ca="1">AA23*(1-参数输入表!$I$674)</f>
        <v>319.443197950499</v>
      </c>
      <c r="AB52" s="23">
        <f ca="1">AB23*(1-参数输入表!$I$675)</f>
        <v>319.443197950499</v>
      </c>
      <c r="AC52" s="23">
        <f ca="1">AC23*(1-参数输入表!$I$676)</f>
        <v>15.3299999999995</v>
      </c>
      <c r="AD52" s="23">
        <f ca="1">AD23*(1-参数输入表!$I$677)</f>
        <v>15.3299999999995</v>
      </c>
      <c r="AE52" s="23">
        <f ca="1">AE23*(1-参数输入表!$I$678)</f>
        <v>15.3299999999994</v>
      </c>
      <c r="AF52" s="23">
        <f ca="1">AF23*(1-参数输入表!$I$679)</f>
        <v>3.83249999999985</v>
      </c>
    </row>
    <row r="53" s="1" customFormat="1" spans="2:32">
      <c r="B53" s="15"/>
      <c r="C53" s="33" t="s">
        <v>1106</v>
      </c>
      <c r="D53" s="22">
        <f ca="1" t="shared" si="0"/>
        <v>156572.069563825</v>
      </c>
      <c r="E53" s="18" t="s">
        <v>24</v>
      </c>
      <c r="F53" s="34"/>
      <c r="G53" s="34"/>
      <c r="H53" s="34"/>
      <c r="I53" s="34"/>
      <c r="J53" s="34">
        <f ca="1">'表3-成本费用表'!J12+'表3-成本费用表'!J11</f>
        <v>2094.21797755777</v>
      </c>
      <c r="K53" s="34">
        <f ca="1">'表3-成本费用表'!K12+'表3-成本费用表'!K11</f>
        <v>8366.91667743235</v>
      </c>
      <c r="L53" s="34">
        <f ca="1">'表3-成本费用表'!L12+'表3-成本费用表'!L11</f>
        <v>9063.33013115182</v>
      </c>
      <c r="M53" s="34">
        <f ca="1">'表3-成本费用表'!M12+'表3-成本费用表'!M11</f>
        <v>9155.07325041787</v>
      </c>
      <c r="N53" s="34">
        <f ca="1">'表3-成本费用表'!N12+'表3-成本费用表'!N11</f>
        <v>9155.07325041787</v>
      </c>
      <c r="O53" s="34">
        <f ca="1">'表3-成本费用表'!O12+'表3-成本费用表'!O11</f>
        <v>9155.07325041787</v>
      </c>
      <c r="P53" s="34">
        <f ca="1">'表3-成本费用表'!P12+'表3-成本费用表'!P11</f>
        <v>9155.07325041787</v>
      </c>
      <c r="Q53" s="34">
        <f ca="1">'表3-成本费用表'!Q12+'表3-成本费用表'!Q11</f>
        <v>9155.07325041787</v>
      </c>
      <c r="R53" s="34">
        <f ca="1">'表3-成本费用表'!R12+'表3-成本费用表'!R11</f>
        <v>9155.07325041787</v>
      </c>
      <c r="S53" s="34">
        <f ca="1">'表3-成本费用表'!S12+'表3-成本费用表'!S11</f>
        <v>9155.07325041787</v>
      </c>
      <c r="T53" s="34">
        <f ca="1">'表3-成本费用表'!T12+'表3-成本费用表'!T11</f>
        <v>9154.32914961787</v>
      </c>
      <c r="U53" s="34">
        <f ca="1">'表3-成本费用表'!U12+'表3-成本费用表'!U11</f>
        <v>9153.58504881787</v>
      </c>
      <c r="V53" s="34">
        <f ca="1">'表3-成本费用表'!V12+'表3-成本费用表'!V11</f>
        <v>9153.58504881787</v>
      </c>
      <c r="W53" s="34">
        <f ca="1">'表3-成本费用表'!W12+'表3-成本费用表'!W11</f>
        <v>9153.58504881787</v>
      </c>
      <c r="X53" s="34">
        <f ca="1">'表3-成本费用表'!X12+'表3-成本费用表'!X11</f>
        <v>8104.73135263929</v>
      </c>
      <c r="Y53" s="34">
        <f ca="1">'表3-成本费用表'!Y12+'表3-成本费用表'!Y11</f>
        <v>7055.87765646073</v>
      </c>
      <c r="Z53" s="34">
        <f ca="1">'表3-成本费用表'!Z12+'表3-成本费用表'!Z11</f>
        <v>7055.87765646073</v>
      </c>
      <c r="AA53" s="34">
        <f ca="1">'表3-成本费用表'!AA12+'表3-成本费用表'!AA11</f>
        <v>7055.87765646073</v>
      </c>
      <c r="AB53" s="34">
        <f ca="1">'表3-成本费用表'!AB12+'表3-成本费用表'!AB11</f>
        <v>6011.25747588153</v>
      </c>
      <c r="AC53" s="34">
        <f ca="1">'表3-成本费用表'!AC12+'表3-成本费用表'!AC11</f>
        <v>788.156572985522</v>
      </c>
      <c r="AD53" s="34">
        <f>'表3-成本费用表'!AD12+'表3-成本费用表'!AD11</f>
        <v>91.743119266055</v>
      </c>
      <c r="AE53" s="34">
        <f>'表3-成本费用表'!AE12+'表3-成本费用表'!AE11</f>
        <v>91.743119266055</v>
      </c>
      <c r="AF53" s="34">
        <f>'表3-成本费用表'!AF12+'表3-成本费用表'!AF11</f>
        <v>91.743119266055</v>
      </c>
    </row>
    <row r="54" s="1" customFormat="1" spans="2:32">
      <c r="B54" s="15"/>
      <c r="C54" s="33" t="s">
        <v>1107</v>
      </c>
      <c r="D54" s="22">
        <f ca="1" t="shared" si="0"/>
        <v>0</v>
      </c>
      <c r="E54" s="18" t="s">
        <v>24</v>
      </c>
      <c r="F54" s="34"/>
      <c r="G54" s="34"/>
      <c r="H54" s="34"/>
      <c r="I54" s="34"/>
      <c r="J54" s="34">
        <f ca="1">'表8-现金流量表-全投资'!J16</f>
        <v>0</v>
      </c>
      <c r="K54" s="34">
        <f ca="1">'表8-现金流量表-全投资'!K16</f>
        <v>0</v>
      </c>
      <c r="L54" s="34">
        <f ca="1">'表8-现金流量表-全投资'!L16</f>
        <v>0</v>
      </c>
      <c r="M54" s="34">
        <f ca="1">'表8-现金流量表-全投资'!M16</f>
        <v>0</v>
      </c>
      <c r="N54" s="34">
        <f ca="1">'表8-现金流量表-全投资'!N16</f>
        <v>0</v>
      </c>
      <c r="O54" s="34">
        <f ca="1">'表8-现金流量表-全投资'!O16</f>
        <v>0</v>
      </c>
      <c r="P54" s="34">
        <f ca="1">'表8-现金流量表-全投资'!P16</f>
        <v>0</v>
      </c>
      <c r="Q54" s="34">
        <f ca="1">'表8-现金流量表-全投资'!Q16</f>
        <v>0</v>
      </c>
      <c r="R54" s="34">
        <f ca="1">'表8-现金流量表-全投资'!R16</f>
        <v>0</v>
      </c>
      <c r="S54" s="34">
        <f ca="1">'表8-现金流量表-全投资'!S16</f>
        <v>0</v>
      </c>
      <c r="T54" s="34">
        <f ca="1">'表8-现金流量表-全投资'!T16</f>
        <v>0</v>
      </c>
      <c r="U54" s="34">
        <f ca="1">'表8-现金流量表-全投资'!U16</f>
        <v>0</v>
      </c>
      <c r="V54" s="34">
        <f ca="1">'表8-现金流量表-全投资'!V16</f>
        <v>0</v>
      </c>
      <c r="W54" s="34">
        <f ca="1">'表8-现金流量表-全投资'!W16</f>
        <v>0</v>
      </c>
      <c r="X54" s="34">
        <f ca="1">'表8-现金流量表-全投资'!X16</f>
        <v>0</v>
      </c>
      <c r="Y54" s="34">
        <f ca="1">'表8-现金流量表-全投资'!Y16</f>
        <v>0</v>
      </c>
      <c r="Z54" s="34">
        <f ca="1">'表8-现金流量表-全投资'!Z16</f>
        <v>0</v>
      </c>
      <c r="AA54" s="34">
        <f ca="1">'表8-现金流量表-全投资'!AA16</f>
        <v>0</v>
      </c>
      <c r="AB54" s="34">
        <f ca="1">'表8-现金流量表-全投资'!AB16</f>
        <v>0</v>
      </c>
      <c r="AC54" s="34">
        <f ca="1">'表8-现金流量表-全投资'!AC16</f>
        <v>0</v>
      </c>
      <c r="AD54" s="34">
        <f ca="1">'表8-现金流量表-全投资'!AD16</f>
        <v>0</v>
      </c>
      <c r="AE54" s="34">
        <f ca="1">'表8-现金流量表-全投资'!AE16</f>
        <v>0</v>
      </c>
      <c r="AF54" s="34">
        <f ca="1">'表8-现金流量表-全投资'!AF16</f>
        <v>0</v>
      </c>
    </row>
    <row r="55" s="1" customFormat="1" spans="2:32">
      <c r="B55" s="15"/>
      <c r="C55" s="33" t="s">
        <v>1108</v>
      </c>
      <c r="D55" s="22">
        <f ca="1" t="shared" si="0"/>
        <v>2439.04878</v>
      </c>
      <c r="E55" s="18" t="s">
        <v>24</v>
      </c>
      <c r="F55" s="34"/>
      <c r="G55" s="34"/>
      <c r="H55" s="34"/>
      <c r="I55" s="34"/>
      <c r="J55" s="34">
        <f>'表4-收入税金表'!I61-'表4-收入税金表'!J61</f>
        <v>-4048.30239069439</v>
      </c>
      <c r="K55" s="34">
        <f>'表4-收入税金表'!J61-'表4-收入税金表'!K61</f>
        <v>-8088.32565231198</v>
      </c>
      <c r="L55" s="34">
        <f>'表4-收入税金表'!K61-'表4-收入税金表'!L61</f>
        <v>2453.47341522124</v>
      </c>
      <c r="M55" s="34">
        <f>'表4-收入税金表'!L61-'表4-收入税金表'!M61</f>
        <v>2401.11450252497</v>
      </c>
      <c r="N55" s="34">
        <f>'表4-收入税金表'!M61-'表4-收入税金表'!N61</f>
        <v>2431.32474230089</v>
      </c>
      <c r="O55" s="34">
        <f>'表4-收入税金表'!N61-'表4-收入税金表'!O61</f>
        <v>2420.25057840708</v>
      </c>
      <c r="P55" s="34">
        <f>'表4-收入税金表'!O61-'表4-收入税金表'!P61</f>
        <v>2409.17606938053</v>
      </c>
      <c r="Q55" s="34">
        <f>'表4-收入税金表'!P61-'表4-收入税金表'!Q61</f>
        <v>2398.10190548673</v>
      </c>
      <c r="R55" s="34">
        <f>'表4-收入税金表'!Q61-'表4-收入税金表'!R61</f>
        <v>62.2356096849389</v>
      </c>
      <c r="S55" s="34">
        <f>'表4-收入税金表'!R61-'表4-收入税金表'!S61</f>
        <v>0</v>
      </c>
      <c r="T55" s="34">
        <f>'表4-收入税金表'!S61-'表4-收入税金表'!T61</f>
        <v>0</v>
      </c>
      <c r="U55" s="34">
        <f>'表4-收入税金表'!T61-'表4-收入税金表'!U61</f>
        <v>0</v>
      </c>
      <c r="V55" s="34">
        <f>'表4-收入税金表'!U61-'表4-收入税金表'!V61</f>
        <v>0</v>
      </c>
      <c r="W55" s="34">
        <f>'表4-收入税金表'!V61-'表4-收入税金表'!W61</f>
        <v>0</v>
      </c>
      <c r="X55" s="34">
        <f>'表4-收入税金表'!W61-'表4-收入税金表'!X61</f>
        <v>0</v>
      </c>
      <c r="Y55" s="34">
        <f>'表4-收入税金表'!X61-'表4-收入税金表'!Y61</f>
        <v>0</v>
      </c>
      <c r="Z55" s="34">
        <f>'表4-收入税金表'!Y61-'表4-收入税金表'!Z61</f>
        <v>0</v>
      </c>
      <c r="AA55" s="34">
        <f>'表4-收入税金表'!Z61-'表4-收入税金表'!AA61</f>
        <v>0</v>
      </c>
      <c r="AB55" s="34">
        <f>'表4-收入税金表'!AA61-'表4-收入税金表'!AB61</f>
        <v>0</v>
      </c>
      <c r="AC55" s="34">
        <f>'表4-收入税金表'!AB61-'表4-收入税金表'!AC61</f>
        <v>0</v>
      </c>
      <c r="AD55" s="34">
        <f>'表4-收入税金表'!AC61-'表4-收入税金表'!AD61</f>
        <v>0</v>
      </c>
      <c r="AE55" s="34">
        <f>'表4-收入税金表'!AD61-'表4-收入税金表'!AE61</f>
        <v>0</v>
      </c>
      <c r="AF55" s="34">
        <f ca="1">'表4-收入税金表'!AE61-'表4-收入税金表'!AF61</f>
        <v>0</v>
      </c>
    </row>
    <row r="56" s="1" customFormat="1" spans="2:32">
      <c r="B56" s="15"/>
      <c r="C56" s="33" t="s">
        <v>1109</v>
      </c>
      <c r="D56" s="22">
        <f t="shared" si="0"/>
        <v>0</v>
      </c>
      <c r="E56" s="18" t="s">
        <v>24</v>
      </c>
      <c r="F56" s="34">
        <f>参数输入表!$I$496</f>
        <v>0</v>
      </c>
      <c r="G56" s="34">
        <f>参数输入表!$I$497</f>
        <v>0</v>
      </c>
      <c r="H56" s="34">
        <f>参数输入表!$I$498</f>
        <v>0</v>
      </c>
      <c r="I56" s="34">
        <f>参数输入表!$I$499</f>
        <v>0</v>
      </c>
      <c r="J56" s="43">
        <f>参数输入表!$I$500/(1+参数输入表!$G$525)</f>
        <v>0</v>
      </c>
      <c r="K56" s="43">
        <f>参数输入表!$I$501/(1+参数输入表!$G$525)</f>
        <v>0</v>
      </c>
      <c r="L56" s="43">
        <f>参数输入表!$I$502/(1+参数输入表!$G$525)</f>
        <v>0</v>
      </c>
      <c r="M56" s="43">
        <f>参数输入表!$I$503/(1+参数输入表!$G$525)</f>
        <v>0</v>
      </c>
      <c r="N56" s="43">
        <f>参数输入表!$I$504/(1+参数输入表!$G$525)</f>
        <v>0</v>
      </c>
      <c r="O56" s="43">
        <f>参数输入表!$I$505/(1+参数输入表!$G$525)</f>
        <v>0</v>
      </c>
      <c r="P56" s="43">
        <f>参数输入表!$I$506/(1+参数输入表!$G$525)</f>
        <v>0</v>
      </c>
      <c r="Q56" s="43">
        <f>参数输入表!$I$507/(1+参数输入表!$G$525)</f>
        <v>0</v>
      </c>
      <c r="R56" s="43">
        <f>参数输入表!$I$508/(1+参数输入表!$G$525)</f>
        <v>0</v>
      </c>
      <c r="S56" s="43">
        <f>参数输入表!$I$509/(1+参数输入表!$G$525)</f>
        <v>0</v>
      </c>
      <c r="T56" s="43">
        <f>参数输入表!$I$510/(1+参数输入表!$G$525)</f>
        <v>0</v>
      </c>
      <c r="U56" s="43">
        <f>参数输入表!$I$511/(1+参数输入表!$G$525)</f>
        <v>0</v>
      </c>
      <c r="V56" s="43">
        <f>参数输入表!$I$512/(1+参数输入表!$G$525)</f>
        <v>0</v>
      </c>
      <c r="W56" s="43">
        <f>参数输入表!$I$513/(1+参数输入表!$G$525)</f>
        <v>0</v>
      </c>
      <c r="X56" s="43">
        <f>参数输入表!$I$514/(1+参数输入表!$G$525)</f>
        <v>0</v>
      </c>
      <c r="Y56" s="43">
        <f>参数输入表!$I$515/(1+参数输入表!$G$525)</f>
        <v>0</v>
      </c>
      <c r="Z56" s="43">
        <f>参数输入表!$I$516/(1+参数输入表!$G$525)</f>
        <v>0</v>
      </c>
      <c r="AA56" s="43">
        <f>参数输入表!$I$517/(1+参数输入表!$G$525)</f>
        <v>0</v>
      </c>
      <c r="AB56" s="43">
        <f>参数输入表!$I$518/(1+参数输入表!$G$525)</f>
        <v>0</v>
      </c>
      <c r="AC56" s="43">
        <f>参数输入表!$I$519/(1+参数输入表!$G$525)</f>
        <v>0</v>
      </c>
      <c r="AD56" s="43">
        <f>参数输入表!$I$520/(1+参数输入表!$G$525)</f>
        <v>0</v>
      </c>
      <c r="AE56" s="43">
        <f>参数输入表!$I$521/(1+参数输入表!$G$525)</f>
        <v>0</v>
      </c>
      <c r="AF56" s="43">
        <f>参数输入表!$I$522/(1+参数输入表!$G$525)</f>
        <v>0</v>
      </c>
    </row>
    <row r="57" s="1" customFormat="1" spans="2:32">
      <c r="B57" s="15"/>
      <c r="C57" s="33" t="s">
        <v>1110</v>
      </c>
      <c r="D57" s="22">
        <f ca="1" t="shared" si="0"/>
        <v>123554.421669504</v>
      </c>
      <c r="E57" s="18" t="s">
        <v>24</v>
      </c>
      <c r="F57" s="34"/>
      <c r="G57" s="34"/>
      <c r="H57" s="34"/>
      <c r="I57" s="34"/>
      <c r="J57" s="44">
        <f ca="1">'表2-折旧摊销表'!J28</f>
        <v>37178.2709138565</v>
      </c>
      <c r="K57" s="44">
        <f ca="1">'表2-折旧摊销表'!K28</f>
        <v>86376.1507556476</v>
      </c>
      <c r="L57" s="44">
        <f>'表2-折旧摊销表'!L28</f>
        <v>0</v>
      </c>
      <c r="M57" s="44">
        <f>'表2-折旧摊销表'!M28</f>
        <v>0</v>
      </c>
      <c r="N57" s="44">
        <f>'表2-折旧摊销表'!N28</f>
        <v>0</v>
      </c>
      <c r="O57" s="44">
        <f>'表2-折旧摊销表'!O28</f>
        <v>0</v>
      </c>
      <c r="P57" s="44">
        <f>'表2-折旧摊销表'!P28</f>
        <v>0</v>
      </c>
      <c r="Q57" s="44">
        <f>'表2-折旧摊销表'!Q28</f>
        <v>0</v>
      </c>
      <c r="R57" s="44">
        <f>'表2-折旧摊销表'!R28</f>
        <v>0</v>
      </c>
      <c r="S57" s="44">
        <f>'表2-折旧摊销表'!S28</f>
        <v>0</v>
      </c>
      <c r="T57" s="44">
        <f>'表2-折旧摊销表'!T28</f>
        <v>0</v>
      </c>
      <c r="U57" s="44">
        <f>'表2-折旧摊销表'!U28</f>
        <v>0</v>
      </c>
      <c r="V57" s="44">
        <f>'表2-折旧摊销表'!V28</f>
        <v>0</v>
      </c>
      <c r="W57" s="44">
        <f>'表2-折旧摊销表'!W28</f>
        <v>0</v>
      </c>
      <c r="X57" s="44">
        <f>'表2-折旧摊销表'!X28</f>
        <v>0</v>
      </c>
      <c r="Y57" s="44">
        <f>'表2-折旧摊销表'!Y28</f>
        <v>0</v>
      </c>
      <c r="Z57" s="44">
        <f>'表2-折旧摊销表'!Z28</f>
        <v>0</v>
      </c>
      <c r="AA57" s="44">
        <f>'表2-折旧摊销表'!AA28</f>
        <v>0</v>
      </c>
      <c r="AB57" s="44">
        <f>'表2-折旧摊销表'!AB28</f>
        <v>0</v>
      </c>
      <c r="AC57" s="44">
        <f>'表2-折旧摊销表'!AC28</f>
        <v>0</v>
      </c>
      <c r="AD57" s="44">
        <f>'表2-折旧摊销表'!AD28</f>
        <v>0</v>
      </c>
      <c r="AE57" s="44">
        <f>'表2-折旧摊销表'!AE28</f>
        <v>0</v>
      </c>
      <c r="AF57" s="44">
        <f>'表2-折旧摊销表'!AF28</f>
        <v>0</v>
      </c>
    </row>
    <row r="58" s="1" customFormat="1" spans="2:32">
      <c r="B58" s="15"/>
      <c r="C58" s="33" t="s">
        <v>1111</v>
      </c>
      <c r="D58" s="22">
        <f t="shared" si="0"/>
        <v>1834.8623853211</v>
      </c>
      <c r="E58" s="18" t="s">
        <v>24</v>
      </c>
      <c r="F58" s="34"/>
      <c r="G58" s="34"/>
      <c r="H58" s="34"/>
      <c r="I58" s="34"/>
      <c r="J58" s="44">
        <f>'表3-成本费用表'!J58/(1+参数输入表!$I$488)</f>
        <v>0</v>
      </c>
      <c r="K58" s="44">
        <f>'表3-成本费用表'!K58/(1+参数输入表!$I$488)</f>
        <v>0</v>
      </c>
      <c r="L58" s="44">
        <f>'表3-成本费用表'!L58/(1+参数输入表!$I$488)</f>
        <v>0</v>
      </c>
      <c r="M58" s="44">
        <f>'表3-成本费用表'!M58/(1+参数输入表!$I$488)</f>
        <v>458.715596330275</v>
      </c>
      <c r="N58" s="44">
        <f>'表3-成本费用表'!N58/(1+参数输入表!$I$488)</f>
        <v>0</v>
      </c>
      <c r="O58" s="44">
        <f>'表3-成本费用表'!O58/(1+参数输入表!$I$488)</f>
        <v>0</v>
      </c>
      <c r="P58" s="44">
        <f>'表3-成本费用表'!P58/(1+参数输入表!$I$488)</f>
        <v>0</v>
      </c>
      <c r="Q58" s="44">
        <f>'表3-成本费用表'!Q58/(1+参数输入表!$I$488)</f>
        <v>0</v>
      </c>
      <c r="R58" s="44">
        <f>'表3-成本费用表'!R58/(1+参数输入表!$I$488)</f>
        <v>458.715596330275</v>
      </c>
      <c r="S58" s="44">
        <f>'表3-成本费用表'!S58/(1+参数输入表!$I$488)</f>
        <v>0</v>
      </c>
      <c r="T58" s="44">
        <f>'表3-成本费用表'!T58/(1+参数输入表!$I$488)</f>
        <v>0</v>
      </c>
      <c r="U58" s="44">
        <f>'表3-成本费用表'!U58/(1+参数输入表!$I$488)</f>
        <v>0</v>
      </c>
      <c r="V58" s="44">
        <f>'表3-成本费用表'!V58/(1+参数输入表!$I$488)</f>
        <v>0</v>
      </c>
      <c r="W58" s="44">
        <f>'表3-成本费用表'!W58/(1+参数输入表!$I$488)</f>
        <v>458.715596330275</v>
      </c>
      <c r="X58" s="44">
        <f>'表3-成本费用表'!X58/(1+参数输入表!$I$488)</f>
        <v>0</v>
      </c>
      <c r="Y58" s="44">
        <f>'表3-成本费用表'!Y58/(1+参数输入表!$I$488)</f>
        <v>0</v>
      </c>
      <c r="Z58" s="44">
        <f>'表3-成本费用表'!Z58/(1+参数输入表!$I$488)</f>
        <v>0</v>
      </c>
      <c r="AA58" s="44">
        <f>'表3-成本费用表'!AA58/(1+参数输入表!$I$488)</f>
        <v>0</v>
      </c>
      <c r="AB58" s="44">
        <f>'表3-成本费用表'!AB58/(1+参数输入表!$I$488)</f>
        <v>458.715596330275</v>
      </c>
      <c r="AC58" s="44">
        <f>'表3-成本费用表'!AC58/(1+参数输入表!$I$488)</f>
        <v>0</v>
      </c>
      <c r="AD58" s="44">
        <f>'表3-成本费用表'!AD58/(1+参数输入表!$I$488)</f>
        <v>0</v>
      </c>
      <c r="AE58" s="44">
        <f>'表3-成本费用表'!AE58/(1+参数输入表!$I$488)</f>
        <v>0</v>
      </c>
      <c r="AF58" s="44">
        <f>'表3-成本费用表'!AF58/(1+参数输入表!$I$488)</f>
        <v>0</v>
      </c>
    </row>
    <row r="59" s="1" customFormat="1" spans="2:32">
      <c r="B59" s="15"/>
      <c r="C59" s="33" t="s">
        <v>1112</v>
      </c>
      <c r="D59" s="22">
        <f ca="1" t="shared" si="0"/>
        <v>-10330.3075208333</v>
      </c>
      <c r="E59" s="18" t="s">
        <v>24</v>
      </c>
      <c r="F59" s="34"/>
      <c r="G59" s="34"/>
      <c r="H59" s="34"/>
      <c r="I59" s="34"/>
      <c r="J59" s="34">
        <f ca="1">'表4-收入税金表'!J103</f>
        <v>-2926.41885287271</v>
      </c>
      <c r="K59" s="34">
        <f ca="1">'表4-收入税金表'!K103</f>
        <v>264.473177107061</v>
      </c>
      <c r="L59" s="34">
        <f ca="1">'表4-收入税金表'!L103</f>
        <v>-1838.26870052216</v>
      </c>
      <c r="M59" s="34">
        <f ca="1">'表4-收入税金表'!M103</f>
        <v>-799.24721070601</v>
      </c>
      <c r="N59" s="34">
        <f ca="1">'表4-收入税金表'!N103</f>
        <v>-41.3359633426016</v>
      </c>
      <c r="O59" s="34">
        <f ca="1">'表4-收入税金表'!O103</f>
        <v>-40.7416362222584</v>
      </c>
      <c r="P59" s="34">
        <f ca="1">'表4-收入税金表'!P103</f>
        <v>-41.4706810132511</v>
      </c>
      <c r="Q59" s="34">
        <f ca="1">'表4-收入税金表'!Q103</f>
        <v>-42.2297811315811</v>
      </c>
      <c r="R59" s="34">
        <f ca="1">'表4-收入税金表'!R103</f>
        <v>9.0448972825252</v>
      </c>
      <c r="S59" s="34">
        <f ca="1">'表4-收入税金表'!S103</f>
        <v>-41.0967463210027</v>
      </c>
      <c r="T59" s="34">
        <f ca="1">'表4-收入税金表'!T103</f>
        <v>-42.6182445080731</v>
      </c>
      <c r="U59" s="34">
        <f ca="1">'表4-收入税金表'!U103</f>
        <v>-43.4122084012488</v>
      </c>
      <c r="V59" s="34">
        <f ca="1">'表4-收入税金表'!V103</f>
        <v>-39.3794707557499</v>
      </c>
      <c r="W59" s="34">
        <f ca="1">'表4-收入税金表'!W103</f>
        <v>-29.0819868049093</v>
      </c>
      <c r="X59" s="34">
        <f ca="1">'表4-收入税金表'!X103</f>
        <v>-18.9818222011618</v>
      </c>
      <c r="Y59" s="34">
        <f ca="1">'表4-收入税金表'!Y103</f>
        <v>-20.230265797145</v>
      </c>
      <c r="Z59" s="34">
        <f ca="1">'表4-收入税金表'!Z103</f>
        <v>-680.660488832471</v>
      </c>
      <c r="AA59" s="34">
        <f ca="1">'表4-收入税金表'!AA103</f>
        <v>-401.84891871923</v>
      </c>
      <c r="AB59" s="34">
        <f ca="1">'表4-收入税金表'!AB103</f>
        <v>18.5115522748133</v>
      </c>
      <c r="AC59" s="34">
        <f ca="1">'表4-收入税金表'!AC103</f>
        <v>69.3696194372624</v>
      </c>
      <c r="AD59" s="34">
        <f ca="1">'表4-收入税金表'!AD103</f>
        <v>0.0967643811018206</v>
      </c>
      <c r="AE59" s="34">
        <f ca="1">'表4-收入税金表'!AE103</f>
        <v>-14.4125071362823</v>
      </c>
      <c r="AF59" s="34">
        <f ca="1">'表4-收入税金表'!AF103</f>
        <v>-3630.36804602826</v>
      </c>
    </row>
    <row r="60" s="1" customFormat="1" spans="2:32">
      <c r="B60" s="15" t="s">
        <v>790</v>
      </c>
      <c r="C60" s="35" t="s">
        <v>1113</v>
      </c>
      <c r="D60" s="17">
        <f ca="1" t="shared" si="0"/>
        <v>147433.90667886</v>
      </c>
      <c r="E60" s="18" t="s">
        <v>24</v>
      </c>
      <c r="F60" s="34"/>
      <c r="G60" s="34"/>
      <c r="H60" s="34"/>
      <c r="I60" s="34"/>
      <c r="J60" s="39">
        <f ca="1">J51+SUM(J52:J55)-SUM(J56:J59)</f>
        <v>-36958.480473353</v>
      </c>
      <c r="K60" s="39">
        <f ca="1" t="shared" ref="K60:AF60" si="20">K51+SUM(K52:K55)-SUM(K56:K59)</f>
        <v>-82413.6502886771</v>
      </c>
      <c r="L60" s="39">
        <f ca="1" t="shared" si="20"/>
        <v>20400.7991195467</v>
      </c>
      <c r="M60" s="39">
        <f ca="1" t="shared" si="20"/>
        <v>17913.4311721223</v>
      </c>
      <c r="N60" s="39">
        <f ca="1" t="shared" si="20"/>
        <v>17547.5577661748</v>
      </c>
      <c r="O60" s="39">
        <f ca="1" t="shared" si="20"/>
        <v>17439.0012804704</v>
      </c>
      <c r="P60" s="39">
        <f ca="1" t="shared" si="20"/>
        <v>17331.7655649074</v>
      </c>
      <c r="Q60" s="39">
        <f ca="1" t="shared" si="20"/>
        <v>17224.5625064417</v>
      </c>
      <c r="R60" s="39">
        <f ca="1" t="shared" si="20"/>
        <v>13287.7957773725</v>
      </c>
      <c r="S60" s="39">
        <f ca="1" t="shared" si="20"/>
        <v>13640.6078740903</v>
      </c>
      <c r="T60" s="39">
        <f ca="1" t="shared" si="20"/>
        <v>13557.4506147481</v>
      </c>
      <c r="U60" s="39">
        <f ca="1" t="shared" si="20"/>
        <v>13473.5638610236</v>
      </c>
      <c r="V60" s="39">
        <f ca="1" t="shared" si="20"/>
        <v>13385.0383910489</v>
      </c>
      <c r="W60" s="39">
        <f ca="1" t="shared" si="20"/>
        <v>12697.5969505617</v>
      </c>
      <c r="X60" s="39">
        <f ca="1" t="shared" si="20"/>
        <v>12795.7906295842</v>
      </c>
      <c r="Y60" s="39">
        <f ca="1" t="shared" si="20"/>
        <v>12450.3329168063</v>
      </c>
      <c r="Z60" s="39">
        <f ca="1" t="shared" si="20"/>
        <v>11126.6570319142</v>
      </c>
      <c r="AA60" s="39">
        <f ca="1" t="shared" si="20"/>
        <v>9697.45060770714</v>
      </c>
      <c r="AB60" s="39">
        <f ca="1" t="shared" si="20"/>
        <v>8353.38360186382</v>
      </c>
      <c r="AC60" s="39">
        <f ca="1" t="shared" si="20"/>
        <v>7381.85004348002</v>
      </c>
      <c r="AD60" s="39">
        <f ca="1" t="shared" si="20"/>
        <v>7207.11926960897</v>
      </c>
      <c r="AE60" s="39">
        <f ca="1" t="shared" si="20"/>
        <v>7151.72631554052</v>
      </c>
      <c r="AF60" s="39">
        <f ca="1" t="shared" si="20"/>
        <v>2742.55614587597</v>
      </c>
    </row>
    <row r="61" s="1" customFormat="1" spans="2:32">
      <c r="B61" s="15"/>
      <c r="C61" s="36" t="s">
        <v>446</v>
      </c>
      <c r="D61" s="17"/>
      <c r="E61" s="18"/>
      <c r="F61" s="34"/>
      <c r="G61" s="34"/>
      <c r="H61" s="34"/>
      <c r="I61" s="34"/>
      <c r="J61" s="45">
        <f ca="1">折现率、非经营、长投计算表!H6</f>
        <v>0.0723</v>
      </c>
      <c r="K61" s="45">
        <f ca="1">折现率、非经营、长投计算表!I6</f>
        <v>0.0726</v>
      </c>
      <c r="L61" s="45">
        <f ca="1">折现率、非经营、长投计算表!J6</f>
        <v>0.0728</v>
      </c>
      <c r="M61" s="45">
        <f ca="1">折现率、非经营、长投计算表!K6</f>
        <v>0.0688</v>
      </c>
      <c r="N61" s="45">
        <f ca="1">折现率、非经营、长投计算表!L6</f>
        <v>0.0691</v>
      </c>
      <c r="O61" s="45">
        <f ca="1">折现率、非经营、长投计算表!M6</f>
        <v>0.0694</v>
      </c>
      <c r="P61" s="45">
        <f ca="1">折现率、非经营、长投计算表!N6</f>
        <v>0.0698</v>
      </c>
      <c r="Q61" s="45">
        <f ca="1">折现率、非经营、长投计算表!O6</f>
        <v>0.0702</v>
      </c>
      <c r="R61" s="45">
        <f ca="1">折现率、非经营、长投计算表!P6</f>
        <v>0.0659</v>
      </c>
      <c r="S61" s="45">
        <f ca="1">折现率、非经营、长投计算表!Q6</f>
        <v>0.0667</v>
      </c>
      <c r="T61" s="45">
        <f ca="1">折现率、非经营、长投计算表!R6</f>
        <v>0.0677</v>
      </c>
      <c r="U61" s="45">
        <f ca="1">折现率、非经营、长投计算表!S6</f>
        <v>0.0686</v>
      </c>
      <c r="V61" s="45">
        <f ca="1">折现率、非经营、长投计算表!T6</f>
        <v>0.0697</v>
      </c>
      <c r="W61" s="45">
        <f ca="1">折现率、非经营、长投计算表!U6</f>
        <v>0.071</v>
      </c>
      <c r="X61" s="45">
        <f ca="1">折现率、非经营、长投计算表!V6</f>
        <v>0.0727</v>
      </c>
      <c r="Y61" s="45">
        <f ca="1">折现率、非经营、长投计算表!W6</f>
        <v>0.0749</v>
      </c>
      <c r="Z61" s="45">
        <f ca="1">折现率、非经营、长投计算表!X6</f>
        <v>0.0779</v>
      </c>
      <c r="AA61" s="45">
        <f ca="1">折现率、非经营、长投计算表!Y6</f>
        <v>0.0779</v>
      </c>
      <c r="AB61" s="45">
        <f ca="1">折现率、非经营、长投计算表!Z6</f>
        <v>0.083</v>
      </c>
      <c r="AC61" s="45">
        <f ca="1">折现率、非经营、长投计算表!AA6</f>
        <v>0.083</v>
      </c>
      <c r="AD61" s="45">
        <f ca="1">折现率、非经营、长投计算表!AB6</f>
        <v>0.083</v>
      </c>
      <c r="AE61" s="45">
        <f ca="1">折现率、非经营、长投计算表!AC6</f>
        <v>0.083</v>
      </c>
      <c r="AF61" s="45">
        <f ca="1">折现率、非经营、长投计算表!AD6</f>
        <v>0.083</v>
      </c>
    </row>
    <row r="62" s="1" customFormat="1" spans="2:32">
      <c r="B62" s="15"/>
      <c r="C62" s="36" t="s">
        <v>1114</v>
      </c>
      <c r="D62" s="22"/>
      <c r="E62" s="18"/>
      <c r="F62" s="22"/>
      <c r="G62" s="34"/>
      <c r="H62" s="34"/>
      <c r="I62" s="34"/>
      <c r="J62" s="34">
        <f>(12-MONTH(参数输入表!$I$8))/12/2</f>
        <v>0.25</v>
      </c>
      <c r="K62" s="34">
        <f>(12-MONTH(参数输入表!$I$8))/12+0.5</f>
        <v>1</v>
      </c>
      <c r="L62" s="34">
        <f t="shared" ref="L62:AE62" si="21">K62+1</f>
        <v>2</v>
      </c>
      <c r="M62" s="34">
        <f t="shared" si="21"/>
        <v>3</v>
      </c>
      <c r="N62" s="34">
        <f t="shared" si="21"/>
        <v>4</v>
      </c>
      <c r="O62" s="34">
        <f t="shared" si="21"/>
        <v>5</v>
      </c>
      <c r="P62" s="34">
        <f t="shared" si="21"/>
        <v>6</v>
      </c>
      <c r="Q62" s="34">
        <f t="shared" si="21"/>
        <v>7</v>
      </c>
      <c r="R62" s="34">
        <f t="shared" si="21"/>
        <v>8</v>
      </c>
      <c r="S62" s="34">
        <f t="shared" si="21"/>
        <v>9</v>
      </c>
      <c r="T62" s="34">
        <f t="shared" si="21"/>
        <v>10</v>
      </c>
      <c r="U62" s="34">
        <f t="shared" si="21"/>
        <v>11</v>
      </c>
      <c r="V62" s="34">
        <f t="shared" si="21"/>
        <v>12</v>
      </c>
      <c r="W62" s="34">
        <f t="shared" si="21"/>
        <v>13</v>
      </c>
      <c r="X62" s="34">
        <f t="shared" si="21"/>
        <v>14</v>
      </c>
      <c r="Y62" s="34">
        <f t="shared" si="21"/>
        <v>15</v>
      </c>
      <c r="Z62" s="34">
        <f t="shared" si="21"/>
        <v>16</v>
      </c>
      <c r="AA62" s="34">
        <f t="shared" si="21"/>
        <v>17</v>
      </c>
      <c r="AB62" s="34">
        <f t="shared" si="21"/>
        <v>18</v>
      </c>
      <c r="AC62" s="34">
        <f t="shared" si="21"/>
        <v>19</v>
      </c>
      <c r="AD62" s="34">
        <f t="shared" si="21"/>
        <v>20</v>
      </c>
      <c r="AE62" s="34">
        <f t="shared" si="21"/>
        <v>21</v>
      </c>
      <c r="AF62" s="43">
        <f>AE62+0.5+MONTH(参数输入表!$I$6)/12/2</f>
        <v>21.625</v>
      </c>
    </row>
    <row r="63" s="1" customFormat="1" spans="2:32">
      <c r="B63" s="15"/>
      <c r="C63" s="36" t="s">
        <v>1115</v>
      </c>
      <c r="D63" s="17"/>
      <c r="E63" s="18"/>
      <c r="F63" s="34"/>
      <c r="G63" s="34"/>
      <c r="H63" s="34"/>
      <c r="I63" s="34"/>
      <c r="J63" s="46">
        <f ca="1">1/(1+J61)^J62</f>
        <v>0.982699926349355</v>
      </c>
      <c r="K63" s="46">
        <f ca="1">J63/(1+K61)^0.5/(1+J61)^J62</f>
        <v>0.932444412123028</v>
      </c>
      <c r="L63" s="46">
        <f ca="1" t="shared" ref="L63:AE63" si="22">K63/(1+L61)^0.5/(1+K61)^0.5</f>
        <v>0.86924994516148</v>
      </c>
      <c r="M63" s="46">
        <f ca="1" t="shared" si="22"/>
        <v>0.811777606808471</v>
      </c>
      <c r="N63" s="46">
        <f ca="1" t="shared" si="22"/>
        <v>0.759415889237875</v>
      </c>
      <c r="O63" s="46">
        <f ca="1" t="shared" si="22"/>
        <v>0.710232309292035</v>
      </c>
      <c r="P63" s="46">
        <f ca="1" t="shared" si="22"/>
        <v>0.664016755523752</v>
      </c>
      <c r="Q63" s="46">
        <f ca="1" t="shared" si="22"/>
        <v>0.620576417872254</v>
      </c>
      <c r="R63" s="46">
        <f ca="1" t="shared" si="22"/>
        <v>0.581038036828135</v>
      </c>
      <c r="S63" s="46">
        <f ca="1" t="shared" si="22"/>
        <v>0.544910510841676</v>
      </c>
      <c r="T63" s="46">
        <f ca="1" t="shared" si="22"/>
        <v>0.51059836080165</v>
      </c>
      <c r="U63" s="46">
        <f ca="1" t="shared" si="22"/>
        <v>0.478021257420133</v>
      </c>
      <c r="V63" s="46">
        <f ca="1" t="shared" si="22"/>
        <v>0.447104073956734</v>
      </c>
      <c r="W63" s="46">
        <f ca="1" t="shared" si="22"/>
        <v>0.417717715139668</v>
      </c>
      <c r="X63" s="46">
        <f ca="1" t="shared" si="22"/>
        <v>0.389716701485755</v>
      </c>
      <c r="Y63" s="46">
        <f ca="1" t="shared" si="22"/>
        <v>0.36293248833032</v>
      </c>
      <c r="Z63" s="46">
        <f ca="1" t="shared" si="22"/>
        <v>0.337172836052443</v>
      </c>
      <c r="AA63" s="46">
        <f ca="1" t="shared" si="22"/>
        <v>0.312805302952447</v>
      </c>
      <c r="AB63" s="46">
        <f ca="1" t="shared" si="22"/>
        <v>0.289514715304351</v>
      </c>
      <c r="AC63" s="46">
        <f ca="1" t="shared" si="22"/>
        <v>0.267326606929225</v>
      </c>
      <c r="AD63" s="46">
        <f ca="1" t="shared" si="22"/>
        <v>0.246838972233818</v>
      </c>
      <c r="AE63" s="46">
        <f ca="1" t="shared" si="22"/>
        <v>0.227921488673886</v>
      </c>
      <c r="AF63" s="47">
        <f ca="1">AE63/(1+AF61)^(MONTH(参数输入表!$I$6)/12/2)/(1+AE61)^0.5</f>
        <v>0.216841542242603</v>
      </c>
    </row>
    <row r="64" s="1" customFormat="1" spans="2:32">
      <c r="B64" s="15" t="s">
        <v>810</v>
      </c>
      <c r="C64" s="35" t="s">
        <v>1116</v>
      </c>
      <c r="D64" s="17">
        <f ca="1">SUM(F64:AF64)</f>
        <v>31510.3588317702</v>
      </c>
      <c r="E64" s="18" t="s">
        <v>24</v>
      </c>
      <c r="F64" s="34"/>
      <c r="G64" s="34"/>
      <c r="H64" s="34"/>
      <c r="I64" s="34"/>
      <c r="J64" s="39">
        <f ca="1">J60*J63</f>
        <v>-36319.0960391481</v>
      </c>
      <c r="K64" s="39">
        <f ca="1" t="shared" ref="K64:AF64" si="23">K60*K63</f>
        <v>-76846.1476943383</v>
      </c>
      <c r="L64" s="39">
        <f ca="1" t="shared" si="23"/>
        <v>17733.3935159163</v>
      </c>
      <c r="M64" s="39">
        <f ca="1" t="shared" si="23"/>
        <v>14541.7222866337</v>
      </c>
      <c r="N64" s="39">
        <f ca="1" t="shared" si="23"/>
        <v>13325.8941849527</v>
      </c>
      <c r="O64" s="39">
        <f ca="1" t="shared" si="23"/>
        <v>12385.7421511753</v>
      </c>
      <c r="P64" s="39">
        <f ca="1" t="shared" si="23"/>
        <v>11508.5827379081</v>
      </c>
      <c r="Q64" s="39">
        <f ca="1" t="shared" si="23"/>
        <v>10689.1572996643</v>
      </c>
      <c r="R64" s="39">
        <f ca="1" t="shared" si="23"/>
        <v>7720.71477225773</v>
      </c>
      <c r="S64" s="39">
        <f ca="1" t="shared" si="23"/>
        <v>7432.91060486152</v>
      </c>
      <c r="T64" s="39">
        <f ca="1" t="shared" si="23"/>
        <v>6922.41206053973</v>
      </c>
      <c r="U64" s="39">
        <f ca="1" t="shared" si="23"/>
        <v>6440.64993877697</v>
      </c>
      <c r="V64" s="39">
        <f ca="1" t="shared" si="23"/>
        <v>5984.50519470526</v>
      </c>
      <c r="W64" s="39">
        <f ca="1" t="shared" si="23"/>
        <v>5304.01118595307</v>
      </c>
      <c r="X64" s="39">
        <f ca="1" t="shared" si="23"/>
        <v>4986.73331706387</v>
      </c>
      <c r="Y64" s="39">
        <f ca="1" t="shared" si="23"/>
        <v>4518.63030603739</v>
      </c>
      <c r="Z64" s="39">
        <f ca="1" t="shared" si="23"/>
        <v>3751.60650723336</v>
      </c>
      <c r="AA64" s="39">
        <f ca="1" t="shared" si="23"/>
        <v>3033.41397521022</v>
      </c>
      <c r="AB64" s="39">
        <f ca="1" t="shared" si="23"/>
        <v>2418.42747532164</v>
      </c>
      <c r="AC64" s="39">
        <f ca="1" t="shared" si="23"/>
        <v>1973.36492498387</v>
      </c>
      <c r="AD64" s="39">
        <f ca="1" t="shared" si="23"/>
        <v>1778.99791327682</v>
      </c>
      <c r="AE64" s="39">
        <f ca="1" t="shared" si="23"/>
        <v>1630.0321084262</v>
      </c>
      <c r="AF64" s="39">
        <f ca="1" t="shared" si="23"/>
        <v>594.700104358674</v>
      </c>
    </row>
    <row r="65" s="1" customFormat="1" spans="2:32">
      <c r="B65" s="15"/>
      <c r="C65" s="36" t="s">
        <v>1117</v>
      </c>
      <c r="D65" s="22">
        <f>参数输入表!$I$719</f>
        <v>0</v>
      </c>
      <c r="E65" s="18" t="s">
        <v>24</v>
      </c>
      <c r="F65" s="34"/>
      <c r="G65" s="34"/>
      <c r="H65" s="34"/>
      <c r="I65" s="34"/>
      <c r="J65" s="39"/>
      <c r="K65" s="39"/>
      <c r="L65" s="39"/>
      <c r="M65" s="39"/>
      <c r="N65" s="39"/>
      <c r="O65" s="39"/>
      <c r="P65" s="39"/>
      <c r="Q65" s="39"/>
      <c r="R65" s="39"/>
      <c r="S65" s="39"/>
      <c r="T65" s="39"/>
      <c r="U65" s="39"/>
      <c r="V65" s="39"/>
      <c r="W65" s="39"/>
      <c r="X65" s="39"/>
      <c r="Y65" s="39"/>
      <c r="Z65" s="39"/>
      <c r="AA65" s="39"/>
      <c r="AB65" s="39"/>
      <c r="AC65" s="39"/>
      <c r="AD65" s="39"/>
      <c r="AE65" s="39"/>
      <c r="AF65" s="39"/>
    </row>
    <row r="66" s="1" customFormat="1" spans="2:32">
      <c r="B66" s="15"/>
      <c r="C66" s="36" t="s">
        <v>1118</v>
      </c>
      <c r="D66" s="22">
        <f>参数输入表!$I$718</f>
        <v>32.587999</v>
      </c>
      <c r="E66" s="18" t="s">
        <v>24</v>
      </c>
      <c r="F66" s="34"/>
      <c r="G66" s="34"/>
      <c r="H66" s="34"/>
      <c r="I66" s="34"/>
      <c r="J66" s="39"/>
      <c r="K66" s="39"/>
      <c r="L66" s="39"/>
      <c r="M66" s="39"/>
      <c r="N66" s="39"/>
      <c r="O66" s="39"/>
      <c r="P66" s="39"/>
      <c r="Q66" s="39"/>
      <c r="R66" s="39"/>
      <c r="S66" s="39"/>
      <c r="T66" s="39"/>
      <c r="U66" s="39"/>
      <c r="V66" s="39"/>
      <c r="W66" s="39"/>
      <c r="X66" s="39"/>
      <c r="Y66" s="39"/>
      <c r="Z66" s="39"/>
      <c r="AA66" s="39"/>
      <c r="AB66" s="39"/>
      <c r="AC66" s="39"/>
      <c r="AD66" s="39"/>
      <c r="AE66" s="39"/>
      <c r="AF66" s="39"/>
    </row>
    <row r="67" s="1" customFormat="1" spans="2:32">
      <c r="B67" s="15"/>
      <c r="C67" s="36" t="s">
        <v>1119</v>
      </c>
      <c r="D67" s="22">
        <f>'表10-资产负债表(标准格式)'!$H$7-'表4-收入税金表'!$I$86</f>
        <v>4374.68657716667</v>
      </c>
      <c r="E67" s="18" t="s">
        <v>24</v>
      </c>
      <c r="F67" s="34"/>
      <c r="G67" s="34"/>
      <c r="H67" s="34"/>
      <c r="I67" s="34"/>
      <c r="J67" s="39"/>
      <c r="K67" s="39"/>
      <c r="L67" s="39"/>
      <c r="M67" s="39"/>
      <c r="N67" s="39"/>
      <c r="O67" s="39"/>
      <c r="P67" s="39"/>
      <c r="Q67" s="39"/>
      <c r="R67" s="39"/>
      <c r="S67" s="39"/>
      <c r="T67" s="39"/>
      <c r="U67" s="39"/>
      <c r="V67" s="39"/>
      <c r="W67" s="39"/>
      <c r="X67" s="39"/>
      <c r="Y67" s="39"/>
      <c r="Z67" s="39"/>
      <c r="AA67" s="39"/>
      <c r="AB67" s="39"/>
      <c r="AC67" s="39"/>
      <c r="AD67" s="39"/>
      <c r="AE67" s="39"/>
      <c r="AF67" s="39"/>
    </row>
    <row r="68" s="1" customFormat="1" spans="2:32">
      <c r="B68" s="15"/>
      <c r="C68" s="36" t="s">
        <v>1120</v>
      </c>
      <c r="D68" s="22">
        <f>参数输入表!$I$720</f>
        <v>0</v>
      </c>
      <c r="E68" s="18" t="s">
        <v>24</v>
      </c>
      <c r="F68" s="34"/>
      <c r="G68" s="34"/>
      <c r="H68" s="34"/>
      <c r="I68" s="34"/>
      <c r="J68" s="39"/>
      <c r="K68" s="39"/>
      <c r="L68" s="39"/>
      <c r="M68" s="39"/>
      <c r="N68" s="39"/>
      <c r="O68" s="39"/>
      <c r="P68" s="39"/>
      <c r="Q68" s="39"/>
      <c r="R68" s="39"/>
      <c r="S68" s="39"/>
      <c r="T68" s="39"/>
      <c r="U68" s="39"/>
      <c r="V68" s="39"/>
      <c r="W68" s="39"/>
      <c r="X68" s="39"/>
      <c r="Y68" s="39"/>
      <c r="Z68" s="39"/>
      <c r="AA68" s="39"/>
      <c r="AB68" s="39"/>
      <c r="AC68" s="39"/>
      <c r="AD68" s="39"/>
      <c r="AE68" s="39"/>
      <c r="AF68" s="39"/>
    </row>
    <row r="69" s="1" customFormat="1" ht="31.05" customHeight="1" spans="2:32">
      <c r="B69" s="15" t="s">
        <v>814</v>
      </c>
      <c r="C69" s="35" t="s">
        <v>1121</v>
      </c>
      <c r="D69" s="17">
        <f ca="1">D64-D65+D66+D67+D68</f>
        <v>35917.6334079369</v>
      </c>
      <c r="E69" s="18" t="s">
        <v>24</v>
      </c>
      <c r="F69" s="34"/>
      <c r="G69" s="34"/>
      <c r="H69" s="34"/>
      <c r="I69" s="34"/>
      <c r="J69" s="39"/>
      <c r="K69" s="39"/>
      <c r="L69" s="39"/>
      <c r="M69" s="39"/>
      <c r="N69" s="39"/>
      <c r="O69" s="39"/>
      <c r="P69" s="39"/>
      <c r="Q69" s="39"/>
      <c r="R69" s="39"/>
      <c r="S69" s="39"/>
      <c r="T69" s="39"/>
      <c r="U69" s="39"/>
      <c r="V69" s="39"/>
      <c r="W69" s="39"/>
      <c r="X69" s="39"/>
      <c r="Y69" s="39"/>
      <c r="Z69" s="39"/>
      <c r="AA69" s="39"/>
      <c r="AB69" s="39"/>
      <c r="AC69" s="39"/>
      <c r="AD69" s="39"/>
      <c r="AE69" s="39"/>
      <c r="AF69" s="39"/>
    </row>
    <row r="70" s="2" customFormat="1" spans="2:32">
      <c r="B70" s="48"/>
      <c r="C70" s="36"/>
      <c r="D70" s="22"/>
      <c r="E70" s="18"/>
      <c r="F70" s="49"/>
      <c r="G70" s="49"/>
      <c r="H70" s="49"/>
      <c r="I70" s="49"/>
      <c r="J70" s="49"/>
      <c r="K70" s="49"/>
      <c r="L70" s="49"/>
      <c r="M70" s="49"/>
      <c r="N70" s="49"/>
      <c r="O70" s="49"/>
      <c r="P70" s="49"/>
      <c r="Q70" s="49"/>
      <c r="R70" s="49"/>
      <c r="S70" s="49"/>
      <c r="T70" s="49"/>
      <c r="U70" s="49"/>
      <c r="V70" s="49"/>
      <c r="W70" s="49"/>
      <c r="X70" s="49"/>
      <c r="Y70" s="49"/>
      <c r="Z70" s="49"/>
      <c r="AA70" s="49"/>
      <c r="AB70" s="49"/>
      <c r="AC70" s="49"/>
      <c r="AD70" s="49"/>
      <c r="AE70" s="49"/>
      <c r="AF70" s="49"/>
    </row>
    <row r="71" s="2" customFormat="1" ht="24" customHeight="1" spans="2:32">
      <c r="B71" s="50"/>
      <c r="C71" s="51" t="s">
        <v>1122</v>
      </c>
      <c r="D71" s="22"/>
      <c r="E71" s="18"/>
      <c r="F71" s="49"/>
      <c r="G71" s="49"/>
      <c r="H71" s="49"/>
      <c r="I71" s="49"/>
      <c r="J71" s="49"/>
      <c r="K71" s="49"/>
      <c r="L71" s="49"/>
      <c r="M71" s="49"/>
      <c r="N71" s="49"/>
      <c r="O71" s="49"/>
      <c r="P71" s="49"/>
      <c r="Q71" s="49"/>
      <c r="R71" s="49"/>
      <c r="S71" s="49"/>
      <c r="T71" s="49"/>
      <c r="U71" s="49"/>
      <c r="V71" s="49"/>
      <c r="W71" s="49"/>
      <c r="X71" s="49"/>
      <c r="Y71" s="49"/>
      <c r="Z71" s="49"/>
      <c r="AA71" s="49"/>
      <c r="AB71" s="49"/>
      <c r="AC71" s="49"/>
      <c r="AD71" s="49"/>
      <c r="AE71" s="49"/>
      <c r="AF71" s="49"/>
    </row>
    <row r="72" s="2" customFormat="1" spans="2:32">
      <c r="B72" s="48"/>
      <c r="C72" s="36" t="s">
        <v>1123</v>
      </c>
      <c r="D72" s="22">
        <f>'表1-资金筹措及还本付息表'!I95</f>
        <v>38444.229166</v>
      </c>
      <c r="E72" s="18" t="s">
        <v>24</v>
      </c>
      <c r="F72" s="49"/>
      <c r="G72" s="49"/>
      <c r="H72" s="49"/>
      <c r="I72" s="49"/>
      <c r="J72" s="49"/>
      <c r="K72" s="49"/>
      <c r="L72" s="49"/>
      <c r="M72" s="49"/>
      <c r="N72" s="49"/>
      <c r="O72" s="49"/>
      <c r="P72" s="49"/>
      <c r="Q72" s="49"/>
      <c r="R72" s="49"/>
      <c r="S72" s="49"/>
      <c r="T72" s="49"/>
      <c r="U72" s="49"/>
      <c r="V72" s="49"/>
      <c r="W72" s="49"/>
      <c r="X72" s="49"/>
      <c r="Y72" s="49"/>
      <c r="Z72" s="49"/>
      <c r="AA72" s="49"/>
      <c r="AB72" s="49"/>
      <c r="AC72" s="49"/>
      <c r="AD72" s="49"/>
      <c r="AE72" s="49"/>
      <c r="AF72" s="49"/>
    </row>
    <row r="73" s="2" customFormat="1" spans="2:32">
      <c r="B73" s="15" t="s">
        <v>1124</v>
      </c>
      <c r="C73" s="35" t="s">
        <v>1125</v>
      </c>
      <c r="D73" s="17">
        <f ca="1">D69-D72</f>
        <v>-2526.59575806309</v>
      </c>
      <c r="E73" s="18" t="s">
        <v>24</v>
      </c>
      <c r="F73" s="49"/>
      <c r="G73" s="49"/>
      <c r="H73" s="49"/>
      <c r="I73" s="49"/>
      <c r="J73" s="49"/>
      <c r="K73" s="49"/>
      <c r="L73" s="49"/>
      <c r="M73" s="49"/>
      <c r="N73" s="49"/>
      <c r="O73" s="49"/>
      <c r="P73" s="49"/>
      <c r="Q73" s="49"/>
      <c r="R73" s="49"/>
      <c r="S73" s="49"/>
      <c r="T73" s="49"/>
      <c r="U73" s="49"/>
      <c r="V73" s="49"/>
      <c r="W73" s="49"/>
      <c r="X73" s="49"/>
      <c r="Y73" s="49"/>
      <c r="Z73" s="49"/>
      <c r="AA73" s="49"/>
      <c r="AB73" s="49"/>
      <c r="AC73" s="49"/>
      <c r="AD73" s="49"/>
      <c r="AE73" s="49"/>
      <c r="AF73" s="49"/>
    </row>
    <row r="74" s="2" customFormat="1" spans="2:32">
      <c r="B74" s="15"/>
      <c r="C74" s="35"/>
      <c r="D74" s="17"/>
      <c r="E74" s="18"/>
      <c r="F74" s="49"/>
      <c r="G74" s="49"/>
      <c r="H74" s="49"/>
      <c r="I74" s="49"/>
      <c r="J74" s="49"/>
      <c r="K74" s="49"/>
      <c r="L74" s="49"/>
      <c r="M74" s="49"/>
      <c r="N74" s="49"/>
      <c r="O74" s="49"/>
      <c r="P74" s="49"/>
      <c r="Q74" s="49"/>
      <c r="R74" s="49"/>
      <c r="S74" s="49"/>
      <c r="T74" s="49"/>
      <c r="U74" s="49"/>
      <c r="V74" s="49"/>
      <c r="W74" s="49"/>
      <c r="X74" s="49"/>
      <c r="Y74" s="49"/>
      <c r="Z74" s="49"/>
      <c r="AA74" s="49"/>
      <c r="AB74" s="49"/>
      <c r="AC74" s="49"/>
      <c r="AD74" s="49"/>
      <c r="AE74" s="49"/>
      <c r="AF74" s="49"/>
    </row>
    <row r="75" s="2" customFormat="1" ht="30" customHeight="1" spans="2:32">
      <c r="B75" s="50"/>
      <c r="C75" s="51" t="s">
        <v>1126</v>
      </c>
      <c r="D75" s="22"/>
      <c r="E75" s="18"/>
      <c r="F75" s="49"/>
      <c r="G75" s="49"/>
      <c r="H75" s="49"/>
      <c r="I75" s="49"/>
      <c r="J75" s="49"/>
      <c r="K75" s="49"/>
      <c r="L75" s="49"/>
      <c r="M75" s="49"/>
      <c r="N75" s="49"/>
      <c r="O75" s="49"/>
      <c r="P75" s="49"/>
      <c r="Q75" s="49"/>
      <c r="R75" s="49"/>
      <c r="S75" s="49"/>
      <c r="T75" s="49"/>
      <c r="U75" s="49"/>
      <c r="V75" s="49"/>
      <c r="W75" s="49"/>
      <c r="X75" s="49"/>
      <c r="Y75" s="49"/>
      <c r="Z75" s="49"/>
      <c r="AA75" s="49"/>
      <c r="AB75" s="49"/>
      <c r="AC75" s="49"/>
      <c r="AD75" s="49"/>
      <c r="AE75" s="49"/>
      <c r="AF75" s="49"/>
    </row>
    <row r="76" s="1" customFormat="1" spans="2:32">
      <c r="B76" s="15"/>
      <c r="C76" s="35" t="s">
        <v>1127</v>
      </c>
      <c r="D76" s="17">
        <f ca="1">SUM(F76:AF76)</f>
        <v>83767.8877815389</v>
      </c>
      <c r="E76" s="18" t="s">
        <v>24</v>
      </c>
      <c r="F76" s="34"/>
      <c r="G76" s="34"/>
      <c r="H76" s="34"/>
      <c r="I76" s="34"/>
      <c r="J76" s="39">
        <f ca="1">-J77+J78+J79</f>
        <v>-30031.9782290113</v>
      </c>
      <c r="K76" s="39">
        <f ca="1" t="shared" ref="K76:AF76" si="24">-K77+K78+K79</f>
        <v>-67031.6945952773</v>
      </c>
      <c r="L76" s="39">
        <f ca="1" t="shared" si="24"/>
        <v>14819.7199991371</v>
      </c>
      <c r="M76" s="39">
        <f ca="1" t="shared" si="24"/>
        <v>14626.1111530568</v>
      </c>
      <c r="N76" s="39">
        <f ca="1" t="shared" si="24"/>
        <v>13849.4015703615</v>
      </c>
      <c r="O76" s="39">
        <f ca="1" t="shared" si="24"/>
        <v>13579.8239131104</v>
      </c>
      <c r="P76" s="39">
        <f ca="1" t="shared" si="24"/>
        <v>13301.5053165974</v>
      </c>
      <c r="Q76" s="39">
        <f ca="1" t="shared" si="24"/>
        <v>13014.0699204343</v>
      </c>
      <c r="R76" s="39">
        <f ca="1" t="shared" si="24"/>
        <v>12347.9183562751</v>
      </c>
      <c r="S76" s="39">
        <f ca="1" t="shared" si="24"/>
        <v>12077.1578389981</v>
      </c>
      <c r="T76" s="39">
        <f ca="1" t="shared" si="24"/>
        <v>11797.2701194783</v>
      </c>
      <c r="U76" s="39">
        <f ca="1" t="shared" si="24"/>
        <v>8907.86272801901</v>
      </c>
      <c r="V76" s="39">
        <f ca="1" t="shared" si="24"/>
        <v>8667.02631872703</v>
      </c>
      <c r="W76" s="39">
        <f ca="1" t="shared" si="24"/>
        <v>8415.83394383549</v>
      </c>
      <c r="X76" s="39">
        <f ca="1" t="shared" si="24"/>
        <v>8153.84029682362</v>
      </c>
      <c r="Y76" s="39">
        <f ca="1" t="shared" si="24"/>
        <v>7880.58092299023</v>
      </c>
      <c r="Z76" s="39">
        <f ca="1" t="shared" si="24"/>
        <v>7595.57139608201</v>
      </c>
      <c r="AA76" s="39">
        <f ca="1" t="shared" si="24"/>
        <v>319.443197950499</v>
      </c>
      <c r="AB76" s="39">
        <f ca="1" t="shared" si="24"/>
        <v>11428.6011139505</v>
      </c>
      <c r="AC76" s="39">
        <f ca="1" t="shared" si="24"/>
        <v>15.3299999999995</v>
      </c>
      <c r="AD76" s="39">
        <f ca="1" t="shared" si="24"/>
        <v>15.3299999999995</v>
      </c>
      <c r="AE76" s="39">
        <f ca="1" t="shared" si="24"/>
        <v>15.3299999999994</v>
      </c>
      <c r="AF76" s="39">
        <f ca="1" t="shared" si="24"/>
        <v>3.83249999999985</v>
      </c>
    </row>
    <row r="77" s="1" customFormat="1" spans="2:32">
      <c r="B77" s="15"/>
      <c r="C77" s="33" t="s">
        <v>1128</v>
      </c>
      <c r="D77" s="22">
        <f ca="1">SUM(F77:AF77)</f>
        <v>117942.948923493</v>
      </c>
      <c r="E77" s="18" t="s">
        <v>24</v>
      </c>
      <c r="F77" s="34"/>
      <c r="G77" s="34"/>
      <c r="H77" s="34"/>
      <c r="I77" s="34"/>
      <c r="J77" s="44">
        <f ca="1">'表1-资金筹措及还本付息表'!J91</f>
        <v>31988.842986802</v>
      </c>
      <c r="K77" s="44">
        <f ca="1">'表1-资金筹措及还本付息表'!K91</f>
        <v>73694.1059366915</v>
      </c>
      <c r="L77" s="44">
        <f>'表1-资金筹措及还本付息表'!L91</f>
        <v>1060</v>
      </c>
      <c r="M77" s="44">
        <f>'表1-资金筹措及还本付息表'!M91</f>
        <v>560</v>
      </c>
      <c r="N77" s="44">
        <f>'表1-资金筹措及还本付息表'!N91</f>
        <v>560</v>
      </c>
      <c r="O77" s="44">
        <f>'表1-资金筹措及还本付息表'!O91</f>
        <v>560</v>
      </c>
      <c r="P77" s="44">
        <f>'表1-资金筹措及还本付息表'!P91</f>
        <v>560</v>
      </c>
      <c r="Q77" s="44">
        <f>'表1-资金筹措及还本付息表'!Q91</f>
        <v>560</v>
      </c>
      <c r="R77" s="44">
        <f>'表1-资金筹措及还本付息表'!R91</f>
        <v>560</v>
      </c>
      <c r="S77" s="44">
        <f>'表1-资金筹措及还本付息表'!S91</f>
        <v>560</v>
      </c>
      <c r="T77" s="44">
        <f>'表1-资金筹措及还本付息表'!T91</f>
        <v>560</v>
      </c>
      <c r="U77" s="44">
        <f>'表1-资金筹措及还本付息表'!U91</f>
        <v>560</v>
      </c>
      <c r="V77" s="44">
        <f>'表1-资金筹措及还本付息表'!V91</f>
        <v>560</v>
      </c>
      <c r="W77" s="44">
        <f>'表1-资金筹措及还本付息表'!W91</f>
        <v>560</v>
      </c>
      <c r="X77" s="44">
        <f>'表1-资金筹措及还本付息表'!X91</f>
        <v>560</v>
      </c>
      <c r="Y77" s="44">
        <f>'表1-资金筹措及还本付息表'!Y91</f>
        <v>560</v>
      </c>
      <c r="Z77" s="44">
        <f>'表1-资金筹措及还本付息表'!Z91</f>
        <v>560</v>
      </c>
      <c r="AA77" s="44">
        <f>'表1-资金筹措及还本付息表'!AA91</f>
        <v>560</v>
      </c>
      <c r="AB77" s="44">
        <f>'表1-资金筹措及还本付息表'!AB91</f>
        <v>560</v>
      </c>
      <c r="AC77" s="44">
        <f>'表1-资金筹措及还本付息表'!AC91</f>
        <v>560</v>
      </c>
      <c r="AD77" s="44">
        <f>'表1-资金筹措及还本付息表'!AD91</f>
        <v>560</v>
      </c>
      <c r="AE77" s="44">
        <f>'表1-资金筹措及还本付息表'!AE91</f>
        <v>560</v>
      </c>
      <c r="AF77" s="44">
        <f>'表1-资金筹措及还本付息表'!AF91</f>
        <v>560</v>
      </c>
    </row>
    <row r="78" s="1" customFormat="1" spans="2:32">
      <c r="B78" s="15"/>
      <c r="C78" s="33" t="s">
        <v>1129</v>
      </c>
      <c r="D78" s="22">
        <f ca="1">SUM(F78:AF78)</f>
        <v>156387.178089494</v>
      </c>
      <c r="E78" s="18" t="s">
        <v>24</v>
      </c>
      <c r="F78" s="34"/>
      <c r="G78" s="34"/>
      <c r="H78" s="34"/>
      <c r="I78" s="34"/>
      <c r="J78" s="34">
        <f ca="1">'表1-资金筹措及还本付息表'!J103</f>
        <v>1335.07125</v>
      </c>
      <c r="K78" s="34">
        <f ca="1">'表1-资金筹措及还本付息表'!K103</f>
        <v>3100</v>
      </c>
      <c r="L78" s="34">
        <f ca="1">'表1-资金筹措及还本付息表'!L103</f>
        <v>10638.8632615662</v>
      </c>
      <c r="M78" s="34">
        <f ca="1">'表1-资金筹措及还本付息表'!M103</f>
        <v>10638.8632615662</v>
      </c>
      <c r="N78" s="34">
        <f ca="1">'表1-资金筹措及还本付息表'!N103</f>
        <v>10138.8632615662</v>
      </c>
      <c r="O78" s="34">
        <f ca="1">'表1-资金筹措及还本付息表'!O103</f>
        <v>10138.8632615662</v>
      </c>
      <c r="P78" s="34">
        <f ca="1">'表1-资金筹措及还本付息表'!P103</f>
        <v>10138.8632615662</v>
      </c>
      <c r="Q78" s="34">
        <f ca="1">'表1-资金筹措及还本付息表'!Q103</f>
        <v>10138.8632615662</v>
      </c>
      <c r="R78" s="34">
        <f ca="1">'表1-资金筹措及还本付息表'!R103</f>
        <v>10138.8632615662</v>
      </c>
      <c r="S78" s="34">
        <f ca="1">'表1-资金筹措及还本付息表'!S103</f>
        <v>10138.8632615662</v>
      </c>
      <c r="T78" s="34">
        <f ca="1">'表1-资金筹措及还本付息表'!T103</f>
        <v>10138.8632615662</v>
      </c>
      <c r="U78" s="34">
        <f ca="1">'表1-资金筹措及还本付息表'!U103</f>
        <v>7538.86326156623</v>
      </c>
      <c r="V78" s="34">
        <f ca="1">'表1-资金筹措及还本付息表'!V103</f>
        <v>7538.86326156623</v>
      </c>
      <c r="W78" s="34">
        <f ca="1">'表1-资金筹措及还本付息表'!W103</f>
        <v>7538.86326156623</v>
      </c>
      <c r="X78" s="34">
        <f ca="1">'表1-资金筹措及还本付息表'!X103</f>
        <v>7538.86326156623</v>
      </c>
      <c r="Y78" s="34">
        <f ca="1">'表1-资金筹措及还本付息表'!Y103</f>
        <v>7538.86326156623</v>
      </c>
      <c r="Z78" s="34">
        <f ca="1">'表1-资金筹措及还本付息表'!Z103</f>
        <v>7538.86326156623</v>
      </c>
      <c r="AA78" s="34">
        <f ca="1">'表1-资金筹措及还本付息表'!AA103</f>
        <v>560</v>
      </c>
      <c r="AB78" s="34">
        <f ca="1">'表1-资金筹措及还本付息表'!AB103</f>
        <v>11669.157916</v>
      </c>
      <c r="AC78" s="34">
        <f ca="1">'表1-资金筹措及还本付息表'!AC103</f>
        <v>560</v>
      </c>
      <c r="AD78" s="34">
        <f ca="1">'表1-资金筹措及还本付息表'!AD103</f>
        <v>560</v>
      </c>
      <c r="AE78" s="34">
        <f ca="1">'表1-资金筹措及还本付息表'!AE103</f>
        <v>560</v>
      </c>
      <c r="AF78" s="34">
        <f ca="1">'表1-资金筹措及还本付息表'!AF103</f>
        <v>560</v>
      </c>
    </row>
    <row r="79" s="1" customFormat="1" spans="2:32">
      <c r="B79" s="15"/>
      <c r="C79" s="33" t="s">
        <v>1130</v>
      </c>
      <c r="D79" s="22">
        <f ca="1">SUM(F79:AF79)</f>
        <v>45323.6586155389</v>
      </c>
      <c r="E79" s="18" t="s">
        <v>24</v>
      </c>
      <c r="F79" s="34"/>
      <c r="G79" s="34"/>
      <c r="H79" s="34"/>
      <c r="I79" s="34"/>
      <c r="J79" s="34">
        <f ca="1">J52</f>
        <v>621.793507790724</v>
      </c>
      <c r="K79" s="34">
        <f ca="1" t="shared" ref="K79:AF79" si="25">K52</f>
        <v>3562.41134141421</v>
      </c>
      <c r="L79" s="34">
        <f ca="1" t="shared" si="25"/>
        <v>5240.8567375709</v>
      </c>
      <c r="M79" s="34">
        <f ca="1" t="shared" si="25"/>
        <v>4547.2478914906</v>
      </c>
      <c r="N79" s="34">
        <f ca="1" t="shared" si="25"/>
        <v>4270.53830879532</v>
      </c>
      <c r="O79" s="34">
        <f ca="1" t="shared" si="25"/>
        <v>4000.96065154413</v>
      </c>
      <c r="P79" s="34">
        <f ca="1" t="shared" si="25"/>
        <v>3722.64205503115</v>
      </c>
      <c r="Q79" s="34">
        <f ca="1" t="shared" si="25"/>
        <v>3435.20665886811</v>
      </c>
      <c r="R79" s="34">
        <f ca="1" t="shared" si="25"/>
        <v>2769.05509470887</v>
      </c>
      <c r="S79" s="34">
        <f ca="1" t="shared" si="25"/>
        <v>2498.2945774319</v>
      </c>
      <c r="T79" s="34">
        <f ca="1" t="shared" si="25"/>
        <v>2218.40685791202</v>
      </c>
      <c r="U79" s="34">
        <f ca="1" t="shared" si="25"/>
        <v>1928.99946645278</v>
      </c>
      <c r="V79" s="34">
        <f ca="1" t="shared" si="25"/>
        <v>1688.1630571608</v>
      </c>
      <c r="W79" s="34">
        <f ca="1" t="shared" si="25"/>
        <v>1436.97068226926</v>
      </c>
      <c r="X79" s="34">
        <f ca="1" t="shared" si="25"/>
        <v>1174.97703525738</v>
      </c>
      <c r="Y79" s="34">
        <f ca="1" t="shared" si="25"/>
        <v>901.717661423997</v>
      </c>
      <c r="Z79" s="34">
        <f ca="1" t="shared" si="25"/>
        <v>616.708134515775</v>
      </c>
      <c r="AA79" s="34">
        <f ca="1" t="shared" si="25"/>
        <v>319.443197950499</v>
      </c>
      <c r="AB79" s="34">
        <f ca="1" t="shared" si="25"/>
        <v>319.443197950499</v>
      </c>
      <c r="AC79" s="34">
        <f ca="1" t="shared" si="25"/>
        <v>15.3299999999995</v>
      </c>
      <c r="AD79" s="34">
        <f ca="1" t="shared" si="25"/>
        <v>15.3299999999995</v>
      </c>
      <c r="AE79" s="34">
        <f ca="1" t="shared" si="25"/>
        <v>15.3299999999994</v>
      </c>
      <c r="AF79" s="34">
        <f ca="1" t="shared" si="25"/>
        <v>3.83249999999985</v>
      </c>
    </row>
    <row r="80" s="1" customFormat="1" spans="2:32">
      <c r="B80" s="15"/>
      <c r="C80" s="35" t="s">
        <v>1131</v>
      </c>
      <c r="D80" s="17">
        <f ca="1">SUM(F80:AF80)</f>
        <v>63666.0188973206</v>
      </c>
      <c r="E80" s="18" t="s">
        <v>24</v>
      </c>
      <c r="F80" s="34"/>
      <c r="G80" s="34"/>
      <c r="H80" s="34"/>
      <c r="I80" s="34"/>
      <c r="J80" s="39">
        <f ca="1">J60-J76</f>
        <v>-6926.50224434175</v>
      </c>
      <c r="K80" s="39">
        <f ca="1" t="shared" ref="K80:AF80" si="26">K60-K76</f>
        <v>-15381.9556933999</v>
      </c>
      <c r="L80" s="39">
        <f ca="1" t="shared" si="26"/>
        <v>5581.07912040952</v>
      </c>
      <c r="M80" s="39">
        <f ca="1" t="shared" si="26"/>
        <v>3287.32001906549</v>
      </c>
      <c r="N80" s="39">
        <f ca="1" t="shared" si="26"/>
        <v>3698.15619581329</v>
      </c>
      <c r="O80" s="39">
        <f ca="1" t="shared" si="26"/>
        <v>3859.17736736006</v>
      </c>
      <c r="P80" s="39">
        <f ca="1" t="shared" si="26"/>
        <v>4030.26024831005</v>
      </c>
      <c r="Q80" s="39">
        <f ca="1" t="shared" si="26"/>
        <v>4210.49258600735</v>
      </c>
      <c r="R80" s="39">
        <f ca="1" t="shared" si="26"/>
        <v>939.877421097435</v>
      </c>
      <c r="S80" s="39">
        <f ca="1" t="shared" si="26"/>
        <v>1563.45003509215</v>
      </c>
      <c r="T80" s="39">
        <f ca="1" t="shared" si="26"/>
        <v>1760.1804952699</v>
      </c>
      <c r="U80" s="39">
        <f ca="1" t="shared" si="26"/>
        <v>4565.70113300461</v>
      </c>
      <c r="V80" s="39">
        <f ca="1" t="shared" si="26"/>
        <v>4718.01207232189</v>
      </c>
      <c r="W80" s="39">
        <f ca="1" t="shared" si="26"/>
        <v>4281.76300672626</v>
      </c>
      <c r="X80" s="39">
        <f ca="1" t="shared" si="26"/>
        <v>4641.95033276054</v>
      </c>
      <c r="Y80" s="39">
        <f ca="1" t="shared" si="26"/>
        <v>4569.75199381606</v>
      </c>
      <c r="Z80" s="39">
        <f ca="1" t="shared" si="26"/>
        <v>3531.08563583217</v>
      </c>
      <c r="AA80" s="39">
        <f ca="1" t="shared" si="26"/>
        <v>9378.00740975664</v>
      </c>
      <c r="AB80" s="39">
        <f ca="1" t="shared" si="26"/>
        <v>-3075.21751208668</v>
      </c>
      <c r="AC80" s="39">
        <f ca="1" t="shared" si="26"/>
        <v>7366.52004348002</v>
      </c>
      <c r="AD80" s="39">
        <f ca="1" t="shared" si="26"/>
        <v>7191.78926960897</v>
      </c>
      <c r="AE80" s="39">
        <f ca="1" t="shared" si="26"/>
        <v>7136.39631554052</v>
      </c>
      <c r="AF80" s="39">
        <f ca="1" t="shared" si="26"/>
        <v>2738.72364587597</v>
      </c>
    </row>
    <row r="81" s="1" customFormat="1" spans="2:32">
      <c r="B81" s="15"/>
      <c r="C81" s="36" t="s">
        <v>446</v>
      </c>
      <c r="D81" s="17"/>
      <c r="E81" s="18"/>
      <c r="F81" s="22"/>
      <c r="G81" s="34"/>
      <c r="H81" s="34"/>
      <c r="I81" s="34"/>
      <c r="J81" s="45">
        <f ca="1">折现率、非经营、长投计算表!H7</f>
        <v>0.199442217709358</v>
      </c>
      <c r="K81" s="45">
        <f ca="1">折现率、非经营、长投计算表!I7</f>
        <v>0.186613043402104</v>
      </c>
      <c r="L81" s="45">
        <f ca="1">折现率、非经营、长投计算表!J7</f>
        <v>0.179958439286295</v>
      </c>
      <c r="M81" s="45">
        <f ca="1">折现率、非经营、长投计算表!K7</f>
        <v>0.166127243243409</v>
      </c>
      <c r="N81" s="45">
        <f ca="1">折现率、非经营、长投计算表!L7</f>
        <v>0.16034727800642</v>
      </c>
      <c r="O81" s="45">
        <f ca="1">折现率、非经营、长投计算表!M7</f>
        <v>0.154422706908136</v>
      </c>
      <c r="P81" s="45">
        <f ca="1">折现率、非经营、长投计算表!N7</f>
        <v>0.148354042219748</v>
      </c>
      <c r="Q81" s="45">
        <f ca="1">折现率、非经营、长投计算表!O7</f>
        <v>0.142142259704731</v>
      </c>
      <c r="R81" s="45">
        <f ca="1">折现率、非经营、长投计算表!P7</f>
        <v>0.129642819741187</v>
      </c>
      <c r="S81" s="45">
        <f ca="1">折现率、非经营、长投计算表!Q7</f>
        <v>0.123964687573327</v>
      </c>
      <c r="T81" s="45">
        <f ca="1">折现率、非经营、长投计算表!R7</f>
        <v>0.118149839186094</v>
      </c>
      <c r="U81" s="45">
        <f ca="1">折现率、非经营、长投计算表!S7</f>
        <v>0.113689849080439</v>
      </c>
      <c r="V81" s="45">
        <f ca="1">折现率、非经营、长投计算表!T7</f>
        <v>0.109083391493138</v>
      </c>
      <c r="W81" s="45">
        <f ca="1">折现率、非经营、长投计算表!U7</f>
        <v>0.104335373269859</v>
      </c>
      <c r="X81" s="45">
        <f ca="1">折现率、非经营、长投计算表!V7</f>
        <v>0.0994083023725828</v>
      </c>
      <c r="Y81" s="45">
        <f ca="1">折现率、非经营、长投计算表!W7</f>
        <v>0.09432757451833</v>
      </c>
      <c r="Z81" s="45">
        <f ca="1">折现率、非经营、长投计算表!X7</f>
        <v>0.0891546330242001</v>
      </c>
      <c r="AA81" s="45">
        <f ca="1">折现率、非经营、长投计算表!Y7</f>
        <v>0.089129790136953</v>
      </c>
      <c r="AB81" s="45">
        <f ca="1">折现率、非经营、长投计算表!Z7</f>
        <v>0.083</v>
      </c>
      <c r="AC81" s="45">
        <f ca="1">折现率、非经营、长投计算表!AA7</f>
        <v>0.083</v>
      </c>
      <c r="AD81" s="45">
        <f ca="1">折现率、非经营、长投计算表!AB7</f>
        <v>0.083</v>
      </c>
      <c r="AE81" s="45">
        <f ca="1">折现率、非经营、长投计算表!AC7</f>
        <v>0.083</v>
      </c>
      <c r="AF81" s="45">
        <f ca="1">折现率、非经营、长投计算表!AD7</f>
        <v>0.083</v>
      </c>
    </row>
    <row r="82" s="1" customFormat="1" spans="2:32">
      <c r="B82" s="15"/>
      <c r="C82" s="36" t="s">
        <v>1114</v>
      </c>
      <c r="D82" s="22"/>
      <c r="E82" s="18"/>
      <c r="F82" s="22"/>
      <c r="G82" s="34"/>
      <c r="H82" s="34"/>
      <c r="I82" s="34"/>
      <c r="J82" s="34">
        <f>(12-MONTH(参数输入表!$I$8))/12/2</f>
        <v>0.25</v>
      </c>
      <c r="K82" s="34">
        <f>(12-MONTH(参数输入表!$I$8))/12+0.5</f>
        <v>1</v>
      </c>
      <c r="L82" s="34">
        <f>K82+1</f>
        <v>2</v>
      </c>
      <c r="M82" s="34">
        <f t="shared" ref="M82:AE82" si="27">L82+1</f>
        <v>3</v>
      </c>
      <c r="N82" s="34">
        <f t="shared" si="27"/>
        <v>4</v>
      </c>
      <c r="O82" s="34">
        <f t="shared" si="27"/>
        <v>5</v>
      </c>
      <c r="P82" s="34">
        <f t="shared" si="27"/>
        <v>6</v>
      </c>
      <c r="Q82" s="34">
        <f t="shared" si="27"/>
        <v>7</v>
      </c>
      <c r="R82" s="34">
        <f t="shared" si="27"/>
        <v>8</v>
      </c>
      <c r="S82" s="34">
        <f t="shared" si="27"/>
        <v>9</v>
      </c>
      <c r="T82" s="34">
        <f t="shared" si="27"/>
        <v>10</v>
      </c>
      <c r="U82" s="34">
        <f t="shared" si="27"/>
        <v>11</v>
      </c>
      <c r="V82" s="34">
        <f t="shared" si="27"/>
        <v>12</v>
      </c>
      <c r="W82" s="34">
        <f t="shared" si="27"/>
        <v>13</v>
      </c>
      <c r="X82" s="34">
        <f t="shared" si="27"/>
        <v>14</v>
      </c>
      <c r="Y82" s="34">
        <f t="shared" si="27"/>
        <v>15</v>
      </c>
      <c r="Z82" s="34">
        <f t="shared" si="27"/>
        <v>16</v>
      </c>
      <c r="AA82" s="34">
        <f t="shared" si="27"/>
        <v>17</v>
      </c>
      <c r="AB82" s="34">
        <f t="shared" si="27"/>
        <v>18</v>
      </c>
      <c r="AC82" s="34">
        <f t="shared" si="27"/>
        <v>19</v>
      </c>
      <c r="AD82" s="34">
        <f t="shared" si="27"/>
        <v>20</v>
      </c>
      <c r="AE82" s="34">
        <f t="shared" si="27"/>
        <v>21</v>
      </c>
      <c r="AF82" s="43">
        <f>AE82+0.5+MONTH(参数输入表!$I$6)/12/2</f>
        <v>21.625</v>
      </c>
    </row>
    <row r="83" s="1" customFormat="1" spans="2:32">
      <c r="B83" s="15"/>
      <c r="C83" s="36" t="s">
        <v>1115</v>
      </c>
      <c r="D83" s="22"/>
      <c r="E83" s="18"/>
      <c r="F83" s="34"/>
      <c r="G83" s="34"/>
      <c r="H83" s="34"/>
      <c r="I83" s="34"/>
      <c r="J83" s="46">
        <f ca="1">1/(1+J81)^J82</f>
        <v>0.955553851359635</v>
      </c>
      <c r="K83" s="46">
        <f ca="1">J83/(1+K81)^0.5/(1+J81)^J82</f>
        <v>0.838215670209574</v>
      </c>
      <c r="L83" s="46">
        <f ca="1">K83/(1+L81)^0.5/(1+K81)^0.5</f>
        <v>0.708382561183181</v>
      </c>
      <c r="M83" s="46">
        <f ca="1">L83/(1+M81)^0.5/(1+L81)^0.5</f>
        <v>0.603895140835258</v>
      </c>
      <c r="N83" s="46">
        <f ca="1" t="shared" ref="N83:AF83" si="28">M83/(1+N81)^0.5/(1+M81)^0.5</f>
        <v>0.519152046642434</v>
      </c>
      <c r="O83" s="46">
        <f ca="1" t="shared" si="28"/>
        <v>0.448557524488092</v>
      </c>
      <c r="P83" s="46">
        <f ca="1" t="shared" si="28"/>
        <v>0.38958104151369</v>
      </c>
      <c r="Q83" s="46">
        <f ca="1" t="shared" si="28"/>
        <v>0.340172978098757</v>
      </c>
      <c r="R83" s="46">
        <f ca="1" t="shared" si="28"/>
        <v>0.299480906197469</v>
      </c>
      <c r="S83" s="46">
        <f ca="1" t="shared" si="28"/>
        <v>0.265779960193336</v>
      </c>
      <c r="T83" s="46">
        <f ca="1" t="shared" si="28"/>
        <v>0.2370805334453</v>
      </c>
      <c r="U83" s="46">
        <f ca="1" t="shared" si="28"/>
        <v>0.212453437467503</v>
      </c>
      <c r="V83" s="46">
        <f ca="1" t="shared" si="28"/>
        <v>0.191161104348724</v>
      </c>
      <c r="W83" s="46">
        <f ca="1" t="shared" si="28"/>
        <v>0.172729667973833</v>
      </c>
      <c r="X83" s="46">
        <f ca="1" t="shared" si="28"/>
        <v>0.156760608409137</v>
      </c>
      <c r="Y83" s="46">
        <f ca="1" t="shared" si="28"/>
        <v>0.142916957769365</v>
      </c>
      <c r="Z83" s="46">
        <f ca="1" t="shared" si="28"/>
        <v>0.130907738433639</v>
      </c>
      <c r="AA83" s="46">
        <f ca="1" t="shared" si="28"/>
        <v>0.120193430252031</v>
      </c>
      <c r="AB83" s="46">
        <f ca="1" t="shared" si="28"/>
        <v>0.110669177687384</v>
      </c>
      <c r="AC83" s="46">
        <f ca="1" t="shared" si="28"/>
        <v>0.102187606359542</v>
      </c>
      <c r="AD83" s="46">
        <f ca="1" t="shared" si="28"/>
        <v>0.0943560538869275</v>
      </c>
      <c r="AE83" s="46">
        <f ca="1" t="shared" si="28"/>
        <v>0.0871247034967013</v>
      </c>
      <c r="AF83" s="47">
        <f ca="1" t="shared" si="28"/>
        <v>0.0804475563219772</v>
      </c>
    </row>
    <row r="84" spans="2:32">
      <c r="B84" s="15"/>
      <c r="C84" s="35" t="s">
        <v>1132</v>
      </c>
      <c r="D84" s="17">
        <f ca="1">SUM(F84:AF84)</f>
        <v>1709.16653992399</v>
      </c>
      <c r="E84" s="18" t="s">
        <v>24</v>
      </c>
      <c r="F84" s="22"/>
      <c r="G84" s="22"/>
      <c r="H84" s="22"/>
      <c r="I84" s="22"/>
      <c r="J84" s="39">
        <f ca="1">J80*J83</f>
        <v>-6618.64589603191</v>
      </c>
      <c r="K84" s="39">
        <f ca="1" t="shared" ref="K84:AF84" si="29">K80*K83</f>
        <v>-12893.3963006771</v>
      </c>
      <c r="L84" s="39">
        <f ca="1" t="shared" si="29"/>
        <v>3953.53912148167</v>
      </c>
      <c r="M84" s="39">
        <f ca="1" t="shared" si="29"/>
        <v>1985.19658588411</v>
      </c>
      <c r="N84" s="39">
        <f ca="1" t="shared" si="29"/>
        <v>1919.90535785987</v>
      </c>
      <c r="O84" s="39">
        <f ca="1" t="shared" si="29"/>
        <v>1731.0630464635</v>
      </c>
      <c r="P84" s="39">
        <f ca="1" t="shared" si="29"/>
        <v>1570.11298510785</v>
      </c>
      <c r="Q84" s="39">
        <f ca="1" t="shared" si="29"/>
        <v>1432.29580224486</v>
      </c>
      <c r="R84" s="39">
        <f ca="1" t="shared" si="29"/>
        <v>281.4753417848</v>
      </c>
      <c r="S84" s="39">
        <f ca="1" t="shared" si="29"/>
        <v>415.533688091061</v>
      </c>
      <c r="T84" s="39">
        <f ca="1" t="shared" si="29"/>
        <v>417.3045307786</v>
      </c>
      <c r="U84" s="39">
        <f ca="1" t="shared" si="29"/>
        <v>969.998900156101</v>
      </c>
      <c r="V84" s="39">
        <f ca="1" t="shared" si="29"/>
        <v>901.900398075664</v>
      </c>
      <c r="W84" s="39">
        <f ca="1" t="shared" si="29"/>
        <v>739.587502494468</v>
      </c>
      <c r="X84" s="39">
        <f ca="1" t="shared" si="29"/>
        <v>727.67495836854</v>
      </c>
      <c r="Y84" s="39">
        <f ca="1" t="shared" si="29"/>
        <v>653.09505271668</v>
      </c>
      <c r="Z84" s="39">
        <f ca="1" t="shared" si="29"/>
        <v>462.246434802298</v>
      </c>
      <c r="AA84" s="39">
        <f ca="1" t="shared" si="29"/>
        <v>1127.17487950761</v>
      </c>
      <c r="AB84" s="39">
        <f ca="1" t="shared" si="29"/>
        <v>-340.331793272477</v>
      </c>
      <c r="AC84" s="39">
        <f ca="1" t="shared" si="29"/>
        <v>752.767050442816</v>
      </c>
      <c r="AD84" s="39">
        <f ca="1" t="shared" si="29"/>
        <v>678.588855866651</v>
      </c>
      <c r="AE84" s="39">
        <f ca="1" t="shared" si="29"/>
        <v>621.756413026419</v>
      </c>
      <c r="AF84" s="39">
        <f ca="1" t="shared" si="29"/>
        <v>220.323624751938</v>
      </c>
    </row>
    <row r="85" spans="2:32">
      <c r="B85" s="20"/>
      <c r="C85" s="36" t="s">
        <v>1117</v>
      </c>
      <c r="D85" s="22">
        <f>参数输入表!$I$719</f>
        <v>0</v>
      </c>
      <c r="E85" s="18" t="s">
        <v>24</v>
      </c>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row>
    <row r="86" spans="2:32">
      <c r="B86" s="20"/>
      <c r="C86" s="36" t="s">
        <v>1118</v>
      </c>
      <c r="D86" s="22">
        <f>参数输入表!$I$718</f>
        <v>32.587999</v>
      </c>
      <c r="E86" s="18" t="s">
        <v>24</v>
      </c>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row>
    <row r="87" customFormat="1" spans="2:32">
      <c r="B87" s="20"/>
      <c r="C87" s="36" t="s">
        <v>1119</v>
      </c>
      <c r="D87" s="22">
        <f>'表10-资产负债表(标准格式)'!$H$7-'表4-收入税金表'!$I$86</f>
        <v>4374.68657716667</v>
      </c>
      <c r="E87" s="18" t="s">
        <v>24</v>
      </c>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row>
    <row r="88" s="2" customFormat="1" spans="2:32">
      <c r="B88" s="48"/>
      <c r="C88" s="36" t="s">
        <v>1120</v>
      </c>
      <c r="D88" s="22">
        <f>参数输入表!$I$720</f>
        <v>0</v>
      </c>
      <c r="E88" s="18" t="s">
        <v>24</v>
      </c>
      <c r="F88" s="49"/>
      <c r="G88" s="49"/>
      <c r="H88" s="49"/>
      <c r="I88" s="49"/>
      <c r="J88" s="49"/>
      <c r="K88" s="49"/>
      <c r="L88" s="49"/>
      <c r="M88" s="49"/>
      <c r="N88" s="49"/>
      <c r="O88" s="49"/>
      <c r="P88" s="49"/>
      <c r="Q88" s="49"/>
      <c r="R88" s="49"/>
      <c r="S88" s="49"/>
      <c r="T88" s="49"/>
      <c r="U88" s="49"/>
      <c r="V88" s="49"/>
      <c r="W88" s="49"/>
      <c r="X88" s="49"/>
      <c r="Y88" s="49"/>
      <c r="Z88" s="49"/>
      <c r="AA88" s="49"/>
      <c r="AB88" s="49"/>
      <c r="AC88" s="49"/>
      <c r="AD88" s="49"/>
      <c r="AE88" s="49"/>
      <c r="AF88" s="49"/>
    </row>
    <row r="89" spans="2:32">
      <c r="B89" s="15" t="s">
        <v>1133</v>
      </c>
      <c r="C89" s="35" t="s">
        <v>1134</v>
      </c>
      <c r="D89" s="17">
        <f ca="1">D84-D85+D86+D87+D88</f>
        <v>6116.44111609065</v>
      </c>
      <c r="E89" s="18" t="s">
        <v>24</v>
      </c>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row>
    <row r="90" s="3" customFormat="1" spans="2:32">
      <c r="B90" s="52"/>
      <c r="C90" s="53"/>
      <c r="D90" s="49"/>
      <c r="E90" s="54"/>
      <c r="F90" s="49"/>
      <c r="G90" s="49"/>
      <c r="H90" s="49"/>
      <c r="I90" s="49"/>
      <c r="J90" s="49"/>
      <c r="K90" s="49"/>
      <c r="L90" s="49"/>
      <c r="M90" s="49"/>
      <c r="N90" s="49"/>
      <c r="O90" s="49"/>
      <c r="P90" s="49"/>
      <c r="Q90" s="49"/>
      <c r="R90" s="49"/>
      <c r="S90" s="49"/>
      <c r="T90" s="49"/>
      <c r="U90" s="49"/>
      <c r="V90" s="49"/>
      <c r="W90" s="49"/>
      <c r="X90" s="49"/>
      <c r="Y90" s="49"/>
      <c r="Z90" s="49"/>
      <c r="AA90" s="49"/>
      <c r="AB90" s="49"/>
      <c r="AC90" s="49"/>
      <c r="AD90" s="49"/>
      <c r="AE90" s="49"/>
      <c r="AF90" s="49"/>
    </row>
    <row r="91" ht="17.25" spans="2:32">
      <c r="B91" s="55"/>
      <c r="C91" s="56"/>
      <c r="D91" s="57"/>
      <c r="E91" s="58"/>
      <c r="F91" s="57"/>
      <c r="G91" s="57"/>
      <c r="H91" s="57"/>
      <c r="I91" s="57"/>
      <c r="J91" s="57"/>
      <c r="K91" s="57"/>
      <c r="L91" s="57"/>
      <c r="M91" s="57"/>
      <c r="N91" s="57"/>
      <c r="O91" s="57"/>
      <c r="P91" s="57"/>
      <c r="Q91" s="57"/>
      <c r="R91" s="57"/>
      <c r="S91" s="57"/>
      <c r="T91" s="57"/>
      <c r="U91" s="57"/>
      <c r="V91" s="57"/>
      <c r="W91" s="57"/>
      <c r="X91" s="57"/>
      <c r="Y91" s="57"/>
      <c r="Z91" s="57"/>
      <c r="AA91" s="57"/>
      <c r="AB91" s="57"/>
      <c r="AC91" s="57"/>
      <c r="AD91" s="57"/>
      <c r="AE91" s="57"/>
      <c r="AF91" s="57"/>
    </row>
    <row r="94" ht="21.5" spans="3:3">
      <c r="C94" s="59" t="s">
        <v>818</v>
      </c>
    </row>
    <row r="95" ht="21.5" spans="3:3">
      <c r="C95" s="59" t="s">
        <v>819</v>
      </c>
    </row>
    <row r="96" ht="21.5" spans="3:3">
      <c r="C96" s="59" t="s">
        <v>820</v>
      </c>
    </row>
    <row r="98" spans="4:6">
      <c r="D98" s="60" t="s">
        <v>1135</v>
      </c>
      <c r="E98" s="60"/>
      <c r="F98" s="60">
        <v>3000</v>
      </c>
    </row>
    <row r="99" spans="4:6">
      <c r="D99" s="60" t="s">
        <v>1136</v>
      </c>
      <c r="E99" s="60"/>
      <c r="F99" s="60">
        <v>200</v>
      </c>
    </row>
    <row r="100" spans="4:6">
      <c r="D100" s="60"/>
      <c r="E100" s="60"/>
      <c r="F100" s="60"/>
    </row>
    <row r="101" spans="4:32">
      <c r="D101" s="61" t="s">
        <v>1131</v>
      </c>
      <c r="E101" s="62"/>
      <c r="F101" s="63"/>
      <c r="G101" s="63"/>
      <c r="H101" s="63"/>
      <c r="I101" s="63">
        <f>-F98</f>
        <v>-3000</v>
      </c>
      <c r="J101" s="63">
        <f ca="1" t="shared" ref="J101:AF101" si="30">J80</f>
        <v>-6926.50224434175</v>
      </c>
      <c r="K101" s="63">
        <f ca="1" t="shared" si="30"/>
        <v>-15381.9556933999</v>
      </c>
      <c r="L101" s="63">
        <f ca="1" t="shared" si="30"/>
        <v>5581.07912040952</v>
      </c>
      <c r="M101" s="63">
        <f ca="1" t="shared" si="30"/>
        <v>3287.32001906549</v>
      </c>
      <c r="N101" s="63">
        <f ca="1" t="shared" si="30"/>
        <v>3698.15619581329</v>
      </c>
      <c r="O101" s="63">
        <f ca="1" t="shared" si="30"/>
        <v>3859.17736736006</v>
      </c>
      <c r="P101" s="63">
        <f ca="1" t="shared" si="30"/>
        <v>4030.26024831005</v>
      </c>
      <c r="Q101" s="63">
        <f ca="1" t="shared" si="30"/>
        <v>4210.49258600735</v>
      </c>
      <c r="R101" s="63">
        <f ca="1" t="shared" si="30"/>
        <v>939.877421097435</v>
      </c>
      <c r="S101" s="63">
        <f ca="1" t="shared" si="30"/>
        <v>1563.45003509215</v>
      </c>
      <c r="T101" s="63">
        <f ca="1" t="shared" si="30"/>
        <v>1760.1804952699</v>
      </c>
      <c r="U101" s="63">
        <f ca="1" t="shared" si="30"/>
        <v>4565.70113300461</v>
      </c>
      <c r="V101" s="63">
        <f ca="1" t="shared" si="30"/>
        <v>4718.01207232189</v>
      </c>
      <c r="W101" s="63">
        <f ca="1" t="shared" si="30"/>
        <v>4281.76300672626</v>
      </c>
      <c r="X101" s="63">
        <f ca="1" t="shared" si="30"/>
        <v>4641.95033276054</v>
      </c>
      <c r="Y101" s="63">
        <f ca="1" t="shared" si="30"/>
        <v>4569.75199381606</v>
      </c>
      <c r="Z101" s="63">
        <f ca="1" t="shared" si="30"/>
        <v>3531.08563583217</v>
      </c>
      <c r="AA101" s="63">
        <f ca="1" t="shared" si="30"/>
        <v>9378.00740975664</v>
      </c>
      <c r="AB101" s="63">
        <f ca="1" t="shared" si="30"/>
        <v>-3075.21751208668</v>
      </c>
      <c r="AC101" s="63">
        <f ca="1" t="shared" si="30"/>
        <v>7366.52004348002</v>
      </c>
      <c r="AD101" s="63">
        <f ca="1" t="shared" si="30"/>
        <v>7191.78926960897</v>
      </c>
      <c r="AE101" s="63">
        <f ca="1" t="shared" si="30"/>
        <v>7136.39631554052</v>
      </c>
      <c r="AF101" s="63">
        <f ca="1" t="shared" si="30"/>
        <v>2738.72364587597</v>
      </c>
    </row>
    <row r="102" spans="4:32">
      <c r="D102" s="61" t="s">
        <v>1137</v>
      </c>
      <c r="E102" s="62"/>
      <c r="F102" s="63"/>
      <c r="G102" s="63"/>
      <c r="H102" s="63"/>
      <c r="I102" s="63">
        <f>F99</f>
        <v>200</v>
      </c>
      <c r="J102" s="63"/>
      <c r="K102" s="63"/>
      <c r="L102" s="63"/>
      <c r="M102" s="63"/>
      <c r="N102" s="63"/>
      <c r="O102" s="63"/>
      <c r="P102" s="63"/>
      <c r="Q102" s="63"/>
      <c r="R102" s="63"/>
      <c r="S102" s="63"/>
      <c r="T102" s="63"/>
      <c r="U102" s="63"/>
      <c r="V102" s="63"/>
      <c r="W102" s="63"/>
      <c r="X102" s="63"/>
      <c r="Y102" s="63"/>
      <c r="Z102" s="63"/>
      <c r="AA102" s="63"/>
      <c r="AB102" s="63"/>
      <c r="AC102" s="63"/>
      <c r="AD102" s="63"/>
      <c r="AE102" s="63"/>
      <c r="AF102" s="63"/>
    </row>
    <row r="103" spans="4:32">
      <c r="D103" s="61" t="s">
        <v>1138</v>
      </c>
      <c r="E103" s="62"/>
      <c r="F103" s="63"/>
      <c r="G103" s="63"/>
      <c r="H103" s="63"/>
      <c r="I103" s="63">
        <f>SUM(I101:I102)</f>
        <v>-2800</v>
      </c>
      <c r="J103" s="63">
        <f ca="1" t="shared" ref="J103:AF103" si="31">SUM(J101:J102)</f>
        <v>-6926.50224434175</v>
      </c>
      <c r="K103" s="63">
        <f ca="1" t="shared" si="31"/>
        <v>-15381.9556933999</v>
      </c>
      <c r="L103" s="63">
        <f ca="1" t="shared" si="31"/>
        <v>5581.07912040952</v>
      </c>
      <c r="M103" s="63">
        <f ca="1" t="shared" si="31"/>
        <v>3287.32001906549</v>
      </c>
      <c r="N103" s="63">
        <f ca="1" t="shared" si="31"/>
        <v>3698.15619581329</v>
      </c>
      <c r="O103" s="63">
        <f ca="1" t="shared" si="31"/>
        <v>3859.17736736006</v>
      </c>
      <c r="P103" s="63">
        <f ca="1" t="shared" si="31"/>
        <v>4030.26024831005</v>
      </c>
      <c r="Q103" s="63">
        <f ca="1" t="shared" si="31"/>
        <v>4210.49258600735</v>
      </c>
      <c r="R103" s="63">
        <f ca="1" t="shared" si="31"/>
        <v>939.877421097435</v>
      </c>
      <c r="S103" s="63">
        <f ca="1" t="shared" si="31"/>
        <v>1563.45003509215</v>
      </c>
      <c r="T103" s="63">
        <f ca="1" t="shared" si="31"/>
        <v>1760.1804952699</v>
      </c>
      <c r="U103" s="63">
        <f ca="1" t="shared" si="31"/>
        <v>4565.70113300461</v>
      </c>
      <c r="V103" s="63">
        <f ca="1" t="shared" si="31"/>
        <v>4718.01207232189</v>
      </c>
      <c r="W103" s="63">
        <f ca="1" t="shared" si="31"/>
        <v>4281.76300672626</v>
      </c>
      <c r="X103" s="63">
        <f ca="1" t="shared" si="31"/>
        <v>4641.95033276054</v>
      </c>
      <c r="Y103" s="63">
        <f ca="1" t="shared" si="31"/>
        <v>4569.75199381606</v>
      </c>
      <c r="Z103" s="63">
        <f ca="1" t="shared" si="31"/>
        <v>3531.08563583217</v>
      </c>
      <c r="AA103" s="63">
        <f ca="1" t="shared" si="31"/>
        <v>9378.00740975664</v>
      </c>
      <c r="AB103" s="63">
        <f ca="1" t="shared" si="31"/>
        <v>-3075.21751208668</v>
      </c>
      <c r="AC103" s="63">
        <f ca="1" t="shared" si="31"/>
        <v>7366.52004348002</v>
      </c>
      <c r="AD103" s="63">
        <f ca="1" t="shared" si="31"/>
        <v>7191.78926960897</v>
      </c>
      <c r="AE103" s="63">
        <f ca="1" t="shared" si="31"/>
        <v>7136.39631554052</v>
      </c>
      <c r="AF103" s="63">
        <f ca="1" t="shared" si="31"/>
        <v>2738.72364587597</v>
      </c>
    </row>
    <row r="104" spans="4:32">
      <c r="D104" s="64" t="s">
        <v>1139</v>
      </c>
      <c r="E104" s="65"/>
      <c r="F104" s="66">
        <f ca="1">IRR(I103:AF103)</f>
        <v>0.133506468348363</v>
      </c>
      <c r="G104" s="63"/>
      <c r="H104" s="63"/>
      <c r="I104" s="63"/>
      <c r="J104" s="63"/>
      <c r="K104" s="63"/>
      <c r="L104" s="63"/>
      <c r="M104" s="63"/>
      <c r="N104" s="63"/>
      <c r="O104" s="63"/>
      <c r="P104" s="63"/>
      <c r="Q104" s="63"/>
      <c r="R104" s="63"/>
      <c r="S104" s="63"/>
      <c r="T104" s="63"/>
      <c r="U104" s="63"/>
      <c r="V104" s="63"/>
      <c r="W104" s="63"/>
      <c r="X104" s="63"/>
      <c r="Y104" s="63"/>
      <c r="Z104" s="63"/>
      <c r="AA104" s="63"/>
      <c r="AB104" s="63"/>
      <c r="AC104" s="63"/>
      <c r="AD104" s="63"/>
      <c r="AE104" s="63"/>
      <c r="AF104" s="63"/>
    </row>
  </sheetData>
  <mergeCells count="8">
    <mergeCell ref="D101:E101"/>
    <mergeCell ref="D102:E102"/>
    <mergeCell ref="D103:E103"/>
    <mergeCell ref="D104:E104"/>
    <mergeCell ref="B3:B4"/>
    <mergeCell ref="C3:C4"/>
    <mergeCell ref="D3:D4"/>
    <mergeCell ref="E3:E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Company>神州网信技术有限公司</Company>
  <Application>Microsoft Excel</Application>
  <HeadingPairs>
    <vt:vector size="2" baseType="variant">
      <vt:variant>
        <vt:lpstr>工作表</vt:lpstr>
      </vt:variant>
      <vt:variant>
        <vt:i4>16</vt:i4>
      </vt:variant>
    </vt:vector>
  </HeadingPairs>
  <TitlesOfParts>
    <vt:vector size="16" baseType="lpstr">
      <vt:lpstr>说明</vt:lpstr>
      <vt:lpstr>新建及改扩建项目投资概算明细 (光伏)</vt:lpstr>
      <vt:lpstr>参数输入表</vt:lpstr>
      <vt:lpstr>表1-资金筹措及还本付息表</vt:lpstr>
      <vt:lpstr>表2-折旧摊销表</vt:lpstr>
      <vt:lpstr>表3-成本费用表</vt:lpstr>
      <vt:lpstr>表4-收入税金表</vt:lpstr>
      <vt:lpstr>表5-利润表-资本金(标准格式)</vt:lpstr>
      <vt:lpstr>表6-现金流量表-资本金</vt:lpstr>
      <vt:lpstr>表7-利润表-全投资(标准格式)</vt:lpstr>
      <vt:lpstr>表8-现金流量表-全投资</vt:lpstr>
      <vt:lpstr>表9-现金流量表-财务计划(标准格式)</vt:lpstr>
      <vt:lpstr>折现率、非经营、长投计算表</vt:lpstr>
      <vt:lpstr>基准日往来账处理</vt:lpstr>
      <vt:lpstr>表10-资产负债表(标准格式)</vt:lpstr>
      <vt:lpstr>表11-现金流量表-估值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WPS_1591352741</cp:lastModifiedBy>
  <dcterms:created xsi:type="dcterms:W3CDTF">2023-08-01T06:25:00Z</dcterms:created>
  <dcterms:modified xsi:type="dcterms:W3CDTF">2025-08-11T11:59:58Z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862EC9D8A2FF4499B878CE057747C780</vt:lpwstr>
  </property>
  <property fmtid="{D5CDD505-2E9C-101B-9397-08002B2CF9AE}" pid="3" name="KSOProductBuildVer">
    <vt:lpwstr>2052-12.1.0.22215</vt:lpwstr>
  </property>
</Properties>
</file>